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s B\Downloads\GITHUB\"/>
    </mc:Choice>
  </mc:AlternateContent>
  <xr:revisionPtr revIDLastSave="0" documentId="13_ncr:1_{D0F36EC0-4603-4469-B897-F92D881CB507}" xr6:coauthVersionLast="47" xr6:coauthVersionMax="47" xr10:uidLastSave="{00000000-0000-0000-0000-000000000000}"/>
  <bookViews>
    <workbookView xWindow="-120" yWindow="-120" windowWidth="24240" windowHeight="13020" xr2:uid="{0DAA875E-7694-4C9B-B826-CCFD43BB4627}"/>
  </bookViews>
  <sheets>
    <sheet name="JERINGAS QUERÉTARO" sheetId="5" r:id="rId1"/>
  </sheets>
  <externalReferences>
    <externalReference r:id="rId2"/>
  </externalReferences>
  <definedNames>
    <definedName name="Año">#REF!</definedName>
    <definedName name="BigNum">9.99E+307</definedName>
    <definedName name="BigStr">REPT("z",255)</definedName>
    <definedName name="DateVal">IFERROR(#REF!,"")</definedName>
    <definedName name="DayVal">#REF!</definedName>
    <definedName name="Hora_de_finalización">#REF!</definedName>
    <definedName name="Hora_de_inicio">#REF!</definedName>
    <definedName name="Incremento">TIME(0,MinuteInterval,0)</definedName>
    <definedName name="LookUpDateAndTime">#REF!&amp;#REF!</definedName>
    <definedName name="MinuteInterval">--LEFT(MinuteText,2)</definedName>
    <definedName name="MinuteText">#REF!</definedName>
    <definedName name="MonthName">#REF!</definedName>
    <definedName name="MonthNumber">IF(MonthName="",MONTH(TODAY()),MONTH(1&amp;LEFT(MonthName,3)))</definedName>
    <definedName name="ReportDay">IF(DayVal="",DAY(TODAY()),#REF!)</definedName>
    <definedName name="ReportMonth">IF(MonthName="",TEXT(MONTH(TODAY()),"mmm"),MonthName)</definedName>
    <definedName name="ReportYear">IF(Año="",YEAR(TODAY()),Año)</definedName>
    <definedName name="ScheduleHighlight">#REF!</definedName>
    <definedName name="TimesList">#REF!</definedName>
    <definedName name="Title1">#REF!</definedName>
    <definedName name="TOTAL_INF_JURISDICCIÓN">'[1]METAS POR INSTITUCIÓN'!$O$10:$O$55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7" i="5" l="1"/>
  <c r="P6" i="5"/>
  <c r="P5" i="5"/>
  <c r="P4" i="5"/>
  <c r="P3" i="5"/>
</calcChain>
</file>

<file path=xl/sharedStrings.xml><?xml version="1.0" encoding="utf-8"?>
<sst xmlns="http://schemas.openxmlformats.org/spreadsheetml/2006/main" count="44" uniqueCount="44">
  <si>
    <t>Clave</t>
  </si>
  <si>
    <t>Descripción</t>
  </si>
  <si>
    <t>Calibre</t>
  </si>
  <si>
    <t>25411.060-550-2657</t>
  </si>
  <si>
    <t>JERINGAS DE PLÁSTICO, PARA APLICAR BCG Y ANTISARAMPIÓN, CAPACIDAD 0.5 ML CON DOS AGUJAS.UNA CALIBRE 20 X 32 MM PARA CARGAR LA JERINGA CON EL BIOLÓGICO Y OTRA 27 X 13 MM PARA APLICAR LA VACUNA,CADA JERINGA CON LA LEYENDA PROGRAMA DE ATENC</t>
  </si>
  <si>
    <t>27x13</t>
  </si>
  <si>
    <t>25411.060-550-2699</t>
  </si>
  <si>
    <t>JERINGA DESECHABLE PARA APLICAR VACUNA CONTRA HEPATITIS B, CAPACIDAD 1.0 ML. GRADUADA EN DÉCIMAS DE ML.CON DOS AGUJAS: UNA DE CALIBRE 20X32 MM.PARA CARGAR. LA JERINGA CON EL BIOLÓGICO Y OTRA DE CALIBRE 25 X 16 PARA APLICAR LA VACUNA, CON E</t>
  </si>
  <si>
    <t>25x16</t>
  </si>
  <si>
    <t>25411.060-550-2707</t>
  </si>
  <si>
    <t>JERINGA DESECHABLE PARA APLICAR 0.25 ML. DE VACUNA ANTIINFLUENZA; CAPACIDAD DE 0.5 ML. GRADUADA EN DÉCIMAS DE ML. (0.25 ML.) CON DOS AGUJAS:UNA CALIBRE 20X32 MM. PARA CARGAR LA JERINGA CON EL BIOLÓGICO Y OTRA CALIBRE 23X25 MM. PARA APLICA</t>
  </si>
  <si>
    <t>23x25</t>
  </si>
  <si>
    <t>25411.060-550-2715</t>
  </si>
  <si>
    <t>JERINGA DESECHABLE PARA APLICAR 0.5 ML. DE VACUNA ANTIINFLUENZA EN ADULTOS; DPT + HEPATITIS B + HIB; DPT, Y TOXOIDE TETÁNICO; CAPACIDAD DE 0.5 ML. GRADUADA EN DÉCIMAS DE ML. CON DOS AGUJAS: UNA CALIBRE 20X32 MM. PARA CARGAR LA JERINGA CON</t>
  </si>
  <si>
    <t>22x32</t>
  </si>
  <si>
    <t>25411.060X 0059</t>
  </si>
  <si>
    <t>JERINGA PARA INSULINA, INSULIN SYRINGE AGUJA NEEDLE 30G. X 13MM. (30GX1/2) CAP. 1 ML.  ULTRA FINE JERINGA DE PLASTICO ESTERIL ATOXICA SIN PIRÓGENOS, SE CARACTERIZA PORQUE LA AGUJA VIENE ADHERIDA AL CUERPO DE LA JERINGA-CONTENIDO ESTERIL  CAJA CON 100 PIEZAS. </t>
  </si>
  <si>
    <t>Terumo</t>
  </si>
  <si>
    <t>NOMBRE DEL MUNICIPIO</t>
  </si>
  <si>
    <t xml:space="preserve">UNIDAD 1 </t>
  </si>
  <si>
    <t>UNIDAD 2</t>
  </si>
  <si>
    <t>UNIDAD 3</t>
  </si>
  <si>
    <t>UNIDAD 4</t>
  </si>
  <si>
    <t>UNIDAD 5</t>
  </si>
  <si>
    <t>UNIDAD 6</t>
  </si>
  <si>
    <t>UNIDAD 7</t>
  </si>
  <si>
    <t>UNIDAD 8</t>
  </si>
  <si>
    <t>UNIDAD 9</t>
  </si>
  <si>
    <t>UNIDAD 10</t>
  </si>
  <si>
    <t>UNIDAD 11</t>
  </si>
  <si>
    <t>UNIDAD 12</t>
  </si>
  <si>
    <t>Total</t>
  </si>
  <si>
    <t>CLUES 1</t>
  </si>
  <si>
    <t>CLUES 2</t>
  </si>
  <si>
    <t>CLUES 3</t>
  </si>
  <si>
    <t>CLUES 4</t>
  </si>
  <si>
    <t>CLUES 5</t>
  </si>
  <si>
    <t>CLUES 6</t>
  </si>
  <si>
    <t>CLUES 7</t>
  </si>
  <si>
    <t>CLUES 8</t>
  </si>
  <si>
    <t>CLUES 9</t>
  </si>
  <si>
    <t>CLUES 10</t>
  </si>
  <si>
    <t>CLUES 11</t>
  </si>
  <si>
    <t>CLUES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</si>
</sst>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6"/>
      <color rgb="FF10312B"/>
      <name val="Arial Nova"/>
      <family val="2"/>
    </font>
    <font>
      <b/>
      <sz val="12"/>
      <color rgb="FF10312B"/>
      <name val="Arial Nova"/>
      <family val="2"/>
    </font>
    <font>
      <b/>
      <sz val="12"/>
      <color rgb="FFFFFFFF"/>
      <name val="Arial Nova"/>
      <family val="2"/>
    </font>
    <font>
      <b/>
      <sz val="10"/>
      <color rgb="FFFFFFFF"/>
      <name val="Arial Nova"/>
      <family val="2"/>
    </font>
    <font>
      <sz val="12"/>
      <color rgb="FF000000"/>
      <name val="Arial Nova"/>
      <family val="2"/>
    </font>
    <font>
      <sz val="12"/>
      <color theme="1"/>
      <name val="Arial Nova"/>
      <family val="2"/>
    </font>
    <font>
      <sz val="18"/>
      <color rgb="FF000000"/>
      <name val="Arial Nova"/>
      <family val="2"/>
    </font>
    <font>
      <sz val="11"/>
      <color theme="1"/>
      <name val="Arial Nova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4C19C"/>
        <bgColor rgb="FF000000"/>
      </patternFill>
    </fill>
    <fill>
      <patternFill patternType="solid">
        <fgColor rgb="FF223962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3" fillId="2" borderId="3" xfId="1" applyFont="1" applyFill="1" applyBorder="1" applyAlignment="1" applyProtection="1">
      <alignment horizontal="center" vertical="center" textRotation="90" wrapText="1"/>
      <protection hidden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vertical="center" wrapText="1"/>
    </xf>
    <xf numFmtId="0" fontId="6" fillId="4" borderId="7" xfId="0" applyFont="1" applyFill="1" applyBorder="1" applyAlignment="1">
      <alignment vertical="center" wrapText="1"/>
    </xf>
    <xf numFmtId="0" fontId="7" fillId="0" borderId="8" xfId="0" applyFont="1" applyBorder="1" applyAlignment="1">
      <alignment horizontal="center"/>
    </xf>
    <xf numFmtId="0" fontId="8" fillId="4" borderId="6" xfId="0" applyFont="1" applyFill="1" applyBorder="1" applyAlignment="1">
      <alignment vertical="center" wrapText="1"/>
    </xf>
    <xf numFmtId="0" fontId="6" fillId="4" borderId="9" xfId="0" applyFont="1" applyFill="1" applyBorder="1" applyAlignment="1">
      <alignment vertical="center" wrapText="1"/>
    </xf>
    <xf numFmtId="0" fontId="6" fillId="4" borderId="10" xfId="0" applyFont="1" applyFill="1" applyBorder="1" applyAlignment="1">
      <alignment vertical="center" wrapText="1"/>
    </xf>
    <xf numFmtId="0" fontId="7" fillId="0" borderId="11" xfId="0" applyFont="1" applyBorder="1" applyAlignment="1">
      <alignment horizontal="center"/>
    </xf>
    <xf numFmtId="0" fontId="8" fillId="4" borderId="9" xfId="0" applyFont="1" applyFill="1" applyBorder="1" applyAlignment="1">
      <alignment vertical="center" wrapText="1"/>
    </xf>
    <xf numFmtId="0" fontId="6" fillId="4" borderId="13" xfId="0" applyFont="1" applyFill="1" applyBorder="1" applyAlignment="1">
      <alignment vertical="center" wrapText="1"/>
    </xf>
    <xf numFmtId="0" fontId="7" fillId="0" borderId="14" xfId="0" applyFont="1" applyBorder="1" applyAlignment="1">
      <alignment horizontal="center"/>
    </xf>
    <xf numFmtId="0" fontId="9" fillId="0" borderId="0" xfId="0" applyFont="1"/>
    <xf numFmtId="0" fontId="2" fillId="2" borderId="1" xfId="1" applyFont="1" applyFill="1" applyBorder="1" applyAlignment="1" applyProtection="1">
      <alignment horizontal="center" vertical="center" wrapText="1"/>
      <protection hidden="1"/>
    </xf>
    <xf numFmtId="0" fontId="2" fillId="2" borderId="2" xfId="1" applyFont="1" applyFill="1" applyBorder="1" applyAlignment="1" applyProtection="1">
      <alignment horizontal="center" vertical="center" wrapText="1"/>
      <protection hidden="1"/>
    </xf>
    <xf numFmtId="0" fontId="8" fillId="0" borderId="12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left" vertical="center" wrapText="1"/>
    </xf>
  </cellXfs>
  <cellStyles count="2">
    <cellStyle name="Normal" xfId="0" builtinId="0"/>
    <cellStyle name="Normal_PALOTEO" xfId="1" xr:uid="{44D50B0B-56FB-4D29-9358-1A398F4C7C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arlos%20B\Desktop\jeringas%202025.xlsx" TargetMode="External"/><Relationship Id="rId1" Type="http://schemas.openxmlformats.org/officeDocument/2006/relationships/externalLinkPath" Target="file:///\\PC-CARLOS\Carpeta%20perrona\Users\Carlos%20B\Desktop\jeringas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UERÉTARO ENERO"/>
      <sheetName val="QUERÉTARO FEBRERO"/>
      <sheetName val="QUERÉTARO MARZO"/>
      <sheetName val="QUERÉTARO ABRIL"/>
      <sheetName val="QUERÉTARO MAYO"/>
      <sheetName val="QUERÉTARO JUNIO"/>
      <sheetName val="TOTAL QUERÉTARO"/>
      <sheetName val="ESQUEMAS QUERÉTARO"/>
      <sheetName val="JERINGAS QUERÉTARO"/>
      <sheetName val="HUIMILPAN ENERO"/>
      <sheetName val="HUIMILPAN FEBRERO"/>
      <sheetName val="HUIMILPAN MARZO"/>
      <sheetName val="HUIMILPAN ABRIL"/>
      <sheetName val="HUIMILPAN MAYO"/>
      <sheetName val="HUIMILPAN JUNIO"/>
      <sheetName val="TOTAL HUIMILPAN"/>
      <sheetName val="ESQUEMAS HUIMILPAN"/>
      <sheetName val="JERINGAS HUIMILPAN"/>
      <sheetName val="MARQUÉS ENERO"/>
      <sheetName val="MARQUÉS FEBRERO"/>
      <sheetName val="MARQUÉS MARZO"/>
      <sheetName val="MARQUÉS ABRIL"/>
      <sheetName val="MARQUÉS MAYO"/>
      <sheetName val="MARQUÉS JUNIO"/>
      <sheetName val="TOTAL MARQUÉS"/>
      <sheetName val="ESQUEMAS MARQUÉS"/>
      <sheetName val="JERINGAS MARQUÉS"/>
      <sheetName val="CORREGIDORA ENERO"/>
      <sheetName val="CORREGIDORA FEBRERO"/>
      <sheetName val="CORREGIDORA MARZO"/>
      <sheetName val="CORREGIDORA ABRIL"/>
      <sheetName val="CORREGIDORA MAYO"/>
      <sheetName val="CORREGIDORA JUNIO"/>
      <sheetName val="TOTAL CORREGIDORA"/>
      <sheetName val="JERINGAS CORREGIDORA"/>
      <sheetName val="ESQUEMAS CORREGIDORA"/>
      <sheetName val="ESQUEMAS JURISDICCIONAL"/>
      <sheetName val="INDICADORES POR META 0-8 AÑOS"/>
      <sheetName val="INDICADORES ADULTOS"/>
      <sheetName val="COMPARACIÓN 2023 - 2024"/>
      <sheetName val="DATOS"/>
      <sheetName val="TOTAL ANUAL"/>
      <sheetName val="2023"/>
      <sheetName val="METAS POR INSTITUCIÓN"/>
      <sheetName val="TOTAL JURISDICCIONAL"/>
      <sheetName val="SINBA-SIS-IE"/>
      <sheetName val="POBLACIÓ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10">
          <cell r="O10">
            <v>7014</v>
          </cell>
        </row>
        <row r="11">
          <cell r="O11">
            <v>6149</v>
          </cell>
        </row>
        <row r="12">
          <cell r="O12">
            <v>389</v>
          </cell>
        </row>
        <row r="13">
          <cell r="O13">
            <v>688</v>
          </cell>
        </row>
        <row r="14">
          <cell r="O14">
            <v>510</v>
          </cell>
        </row>
        <row r="15">
          <cell r="O15">
            <v>6520</v>
          </cell>
        </row>
        <row r="16">
          <cell r="O16">
            <v>6029</v>
          </cell>
        </row>
        <row r="17">
          <cell r="O17">
            <v>373</v>
          </cell>
        </row>
        <row r="18">
          <cell r="O18">
            <v>379</v>
          </cell>
        </row>
        <row r="19">
          <cell r="O19">
            <v>431</v>
          </cell>
        </row>
        <row r="20">
          <cell r="O20">
            <v>6093</v>
          </cell>
        </row>
        <row r="21">
          <cell r="O21">
            <v>10049</v>
          </cell>
        </row>
        <row r="22">
          <cell r="O22">
            <v>10097</v>
          </cell>
        </row>
        <row r="23">
          <cell r="O23">
            <v>8515</v>
          </cell>
        </row>
        <row r="24">
          <cell r="O24">
            <v>7710</v>
          </cell>
        </row>
        <row r="25">
          <cell r="O25">
            <v>6733</v>
          </cell>
        </row>
        <row r="26">
          <cell r="O26">
            <v>910</v>
          </cell>
        </row>
        <row r="27">
          <cell r="O27">
            <v>9</v>
          </cell>
        </row>
        <row r="28">
          <cell r="O28">
            <v>13</v>
          </cell>
        </row>
        <row r="29">
          <cell r="O29">
            <v>132</v>
          </cell>
        </row>
        <row r="30">
          <cell r="O30">
            <v>44</v>
          </cell>
        </row>
        <row r="31">
          <cell r="O31">
            <v>262</v>
          </cell>
        </row>
        <row r="32">
          <cell r="O32">
            <v>4310</v>
          </cell>
        </row>
        <row r="33">
          <cell r="O33">
            <v>824</v>
          </cell>
        </row>
        <row r="34">
          <cell r="O34">
            <v>1985</v>
          </cell>
        </row>
        <row r="35">
          <cell r="O35">
            <v>2038</v>
          </cell>
        </row>
        <row r="36">
          <cell r="O36">
            <v>72</v>
          </cell>
        </row>
        <row r="37">
          <cell r="O37">
            <v>121</v>
          </cell>
        </row>
        <row r="38">
          <cell r="O38">
            <v>1908</v>
          </cell>
        </row>
        <row r="39">
          <cell r="O39">
            <v>149</v>
          </cell>
        </row>
        <row r="40">
          <cell r="O40">
            <v>279</v>
          </cell>
        </row>
        <row r="41">
          <cell r="O41">
            <v>1401</v>
          </cell>
        </row>
        <row r="42">
          <cell r="O42">
            <v>26</v>
          </cell>
        </row>
        <row r="43">
          <cell r="O43">
            <v>49</v>
          </cell>
        </row>
        <row r="44">
          <cell r="O44">
            <v>362</v>
          </cell>
        </row>
        <row r="45">
          <cell r="O45">
            <v>60</v>
          </cell>
        </row>
        <row r="46">
          <cell r="O46">
            <v>100</v>
          </cell>
        </row>
        <row r="47">
          <cell r="O47">
            <v>116</v>
          </cell>
        </row>
        <row r="48">
          <cell r="O48">
            <v>80</v>
          </cell>
        </row>
        <row r="49">
          <cell r="O49">
            <v>1966</v>
          </cell>
        </row>
        <row r="50">
          <cell r="O50">
            <v>52</v>
          </cell>
        </row>
        <row r="51">
          <cell r="O51">
            <v>100</v>
          </cell>
        </row>
        <row r="52">
          <cell r="O52">
            <v>659</v>
          </cell>
        </row>
        <row r="53">
          <cell r="O53">
            <v>0</v>
          </cell>
        </row>
        <row r="54">
          <cell r="O54">
            <v>0</v>
          </cell>
        </row>
        <row r="55">
          <cell r="O55">
            <v>3</v>
          </cell>
        </row>
      </sheetData>
      <sheetData sheetId="44"/>
      <sheetData sheetId="45"/>
      <sheetData sheetId="4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00ED5-64CD-48B6-95F9-0CFAC64DDBC6}">
  <sheetPr>
    <pageSetUpPr fitToPage="1"/>
  </sheetPr>
  <dimension ref="A1:P7"/>
  <sheetViews>
    <sheetView tabSelected="1" topLeftCell="A3" zoomScale="70" zoomScaleNormal="70" workbookViewId="0">
      <selection activeCell="A4" sqref="A4"/>
    </sheetView>
  </sheetViews>
  <sheetFormatPr baseColWidth="10" defaultRowHeight="15" x14ac:dyDescent="0.25"/>
  <cols>
    <col min="1" max="1" width="18.140625" style="15" bestFit="1" customWidth="1"/>
    <col min="2" max="2" width="55.5703125" style="15" customWidth="1"/>
    <col min="3" max="3" width="11.42578125" style="15"/>
    <col min="4" max="4" width="16.7109375" style="15" customWidth="1"/>
    <col min="5" max="15" width="16.7109375" customWidth="1"/>
    <col min="16" max="16" width="12.7109375" customWidth="1"/>
  </cols>
  <sheetData>
    <row r="1" spans="1:16" ht="75.75" customHeight="1" thickBot="1" x14ac:dyDescent="0.3">
      <c r="A1" s="16" t="s">
        <v>18</v>
      </c>
      <c r="B1" s="17"/>
      <c r="C1" s="17"/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</row>
    <row r="2" spans="1:16" ht="16.5" thickBot="1" x14ac:dyDescent="0.3">
      <c r="A2" s="2" t="s">
        <v>0</v>
      </c>
      <c r="B2" s="3" t="s">
        <v>1</v>
      </c>
      <c r="C2" s="3" t="s">
        <v>2</v>
      </c>
      <c r="D2" s="4" t="s">
        <v>32</v>
      </c>
      <c r="E2" s="4" t="s">
        <v>33</v>
      </c>
      <c r="F2" s="4" t="s">
        <v>34</v>
      </c>
      <c r="G2" s="4" t="s">
        <v>35</v>
      </c>
      <c r="H2" s="4" t="s">
        <v>36</v>
      </c>
      <c r="I2" s="4" t="s">
        <v>37</v>
      </c>
      <c r="J2" s="4" t="s">
        <v>38</v>
      </c>
      <c r="K2" s="4" t="s">
        <v>39</v>
      </c>
      <c r="L2" s="4" t="s">
        <v>40</v>
      </c>
      <c r="M2" s="4" t="s">
        <v>41</v>
      </c>
      <c r="N2" s="4" t="s">
        <v>42</v>
      </c>
      <c r="O2" s="4" t="s">
        <v>43</v>
      </c>
      <c r="P2" s="4"/>
    </row>
    <row r="3" spans="1:16" ht="110.25" x14ac:dyDescent="0.25">
      <c r="A3" s="5" t="s">
        <v>3</v>
      </c>
      <c r="B3" s="6" t="s">
        <v>4</v>
      </c>
      <c r="C3" s="7" t="s">
        <v>5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>
        <f>SUM(D3:O3)</f>
        <v>0</v>
      </c>
    </row>
    <row r="4" spans="1:16" ht="110.25" x14ac:dyDescent="0.25">
      <c r="A4" s="9" t="s">
        <v>6</v>
      </c>
      <c r="B4" s="10" t="s">
        <v>7</v>
      </c>
      <c r="C4" s="11" t="s">
        <v>8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>
        <f>SUM(D4:O4)</f>
        <v>0</v>
      </c>
    </row>
    <row r="5" spans="1:16" ht="94.5" x14ac:dyDescent="0.25">
      <c r="A5" s="9" t="s">
        <v>9</v>
      </c>
      <c r="B5" s="10" t="s">
        <v>10</v>
      </c>
      <c r="C5" s="11" t="s">
        <v>11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>
        <f>SUM(D5:O5)</f>
        <v>0</v>
      </c>
    </row>
    <row r="6" spans="1:16" ht="94.5" x14ac:dyDescent="0.25">
      <c r="A6" s="9" t="s">
        <v>12</v>
      </c>
      <c r="B6" s="10" t="s">
        <v>13</v>
      </c>
      <c r="C6" s="11" t="s">
        <v>14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>
        <f>SUM(D6:O6)</f>
        <v>0</v>
      </c>
    </row>
    <row r="7" spans="1:16" ht="111" thickBot="1" x14ac:dyDescent="0.3">
      <c r="A7" s="19" t="s">
        <v>15</v>
      </c>
      <c r="B7" s="13" t="s">
        <v>16</v>
      </c>
      <c r="C7" s="14" t="s">
        <v>17</v>
      </c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2">
        <f>SUM(D7:O7)</f>
        <v>0</v>
      </c>
    </row>
  </sheetData>
  <mergeCells count="1">
    <mergeCell ref="A1:C1"/>
  </mergeCells>
  <phoneticPr fontId="10" type="noConversion"/>
  <pageMargins left="0.11811023622047245" right="0.11811023622047245" top="0.74803149606299213" bottom="0.74803149606299213" header="0.31496062992125984" footer="0.31496062992125984"/>
  <pageSetup paperSize="166" scale="40" fitToWidth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JERINGAS QUERÉTARO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Becerra</dc:creator>
  <cp:lastModifiedBy>Carlos Becerra</cp:lastModifiedBy>
  <cp:lastPrinted>2024-08-05T15:05:41Z</cp:lastPrinted>
  <dcterms:created xsi:type="dcterms:W3CDTF">2024-07-30T14:06:51Z</dcterms:created>
  <dcterms:modified xsi:type="dcterms:W3CDTF">2026-08-07T20:43:09Z</dcterms:modified>
</cp:coreProperties>
</file>