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s B\Downloads\"/>
    </mc:Choice>
  </mc:AlternateContent>
  <xr:revisionPtr revIDLastSave="0" documentId="13_ncr:1_{B175AD18-BC1B-4C28-90AD-73544EE63B28}" xr6:coauthVersionLast="47" xr6:coauthVersionMax="47" xr10:uidLastSave="{00000000-0000-0000-0000-000000000000}"/>
  <bookViews>
    <workbookView xWindow="-120" yWindow="-120" windowWidth="24240" windowHeight="13020" activeTab="2" xr2:uid="{7D9B892B-7FD5-4D81-9687-C3240BDC7712}"/>
  </bookViews>
  <sheets>
    <sheet name="ENE" sheetId="43" r:id="rId1"/>
    <sheet name="FEB" sheetId="45" r:id="rId2"/>
    <sheet name="MAR" sheetId="46" r:id="rId3"/>
    <sheet name="ABR" sheetId="47" r:id="rId4"/>
    <sheet name="MAY" sheetId="48" r:id="rId5"/>
    <sheet name="JUN" sheetId="49" r:id="rId6"/>
    <sheet name="JUL" sheetId="50" r:id="rId7"/>
    <sheet name="AGO" sheetId="51" r:id="rId8"/>
    <sheet name="SEP" sheetId="52" r:id="rId9"/>
    <sheet name="OCT" sheetId="53" r:id="rId10"/>
    <sheet name="NOV" sheetId="54" r:id="rId11"/>
    <sheet name="DIC" sheetId="55" r:id="rId12"/>
    <sheet name="DATOS" sheetId="2" state="hidden" r:id="rId13"/>
  </sheets>
  <externalReferences>
    <externalReference r:id="rId14"/>
  </externalReferences>
  <definedNames>
    <definedName name="Print_Area" localSheetId="3">ABR!$A$1:$Q$120</definedName>
    <definedName name="Print_Area" localSheetId="7">AGO!$A$1:$Q$169</definedName>
    <definedName name="Print_Area" localSheetId="11">DIC!$A$1:$Q$169</definedName>
    <definedName name="Print_Area" localSheetId="0">ENE!$A$1:$Q$116</definedName>
    <definedName name="Print_Area" localSheetId="1">FEB!$A$1:$Q$119</definedName>
    <definedName name="Print_Area" localSheetId="6">JUL!$A$1:$Q$169</definedName>
    <definedName name="Print_Area" localSheetId="5">JUN!$A$1:$Q$169</definedName>
    <definedName name="Print_Area" localSheetId="2">MAR!$A$1:$Q$122</definedName>
    <definedName name="Print_Area" localSheetId="4">MAY!$A$1:$Q$169</definedName>
    <definedName name="Print_Area" localSheetId="10">NOV!$A$1:$Q$169</definedName>
    <definedName name="Print_Area" localSheetId="9">OCT!$A$1:$Q$169</definedName>
    <definedName name="Print_Area" localSheetId="8">SEP!$A$1:$Q$169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9" i="55" l="1"/>
  <c r="H199" i="55"/>
  <c r="E199" i="55"/>
  <c r="B199" i="55"/>
  <c r="N198" i="55"/>
  <c r="N197" i="55"/>
  <c r="N196" i="55"/>
  <c r="N195" i="55"/>
  <c r="N194" i="55"/>
  <c r="N193" i="55"/>
  <c r="N192" i="55"/>
  <c r="N191" i="55"/>
  <c r="N190" i="55"/>
  <c r="N199" i="55" s="1"/>
  <c r="K189" i="55"/>
  <c r="H189" i="55"/>
  <c r="E189" i="55"/>
  <c r="B189" i="55"/>
  <c r="N188" i="55"/>
  <c r="N187" i="55"/>
  <c r="N186" i="55"/>
  <c r="N185" i="55"/>
  <c r="N184" i="55"/>
  <c r="N183" i="55"/>
  <c r="N182" i="55"/>
  <c r="N181" i="55"/>
  <c r="N180" i="55"/>
  <c r="N189" i="55" s="1"/>
  <c r="K179" i="55"/>
  <c r="H179" i="55"/>
  <c r="E179" i="55"/>
  <c r="B179" i="55"/>
  <c r="N178" i="55"/>
  <c r="N177" i="55"/>
  <c r="N176" i="55"/>
  <c r="N175" i="55"/>
  <c r="N174" i="55"/>
  <c r="N173" i="55"/>
  <c r="N172" i="55"/>
  <c r="N171" i="55"/>
  <c r="N170" i="55"/>
  <c r="N179" i="55" s="1"/>
  <c r="N168" i="55"/>
  <c r="N167" i="55"/>
  <c r="N166" i="55"/>
  <c r="N165" i="55"/>
  <c r="N164" i="55"/>
  <c r="N163" i="55"/>
  <c r="N162" i="55"/>
  <c r="N161" i="55"/>
  <c r="N160" i="55"/>
  <c r="M159" i="55"/>
  <c r="J159" i="55"/>
  <c r="N159" i="55" s="1"/>
  <c r="M158" i="55"/>
  <c r="J158" i="55"/>
  <c r="N158" i="55" s="1"/>
  <c r="M157" i="55"/>
  <c r="J157" i="55"/>
  <c r="N157" i="55" s="1"/>
  <c r="M156" i="55"/>
  <c r="J156" i="55"/>
  <c r="N156" i="55" s="1"/>
  <c r="M155" i="55"/>
  <c r="K169" i="55" s="1"/>
  <c r="J155" i="55"/>
  <c r="K154" i="55"/>
  <c r="H154" i="55"/>
  <c r="E154" i="55"/>
  <c r="B154" i="55"/>
  <c r="N153" i="55"/>
  <c r="N152" i="55"/>
  <c r="N151" i="55"/>
  <c r="N150" i="55"/>
  <c r="N149" i="55"/>
  <c r="N148" i="55"/>
  <c r="N147" i="55"/>
  <c r="N146" i="55"/>
  <c r="N145" i="55"/>
  <c r="N154" i="55" s="1"/>
  <c r="K144" i="55"/>
  <c r="H144" i="55"/>
  <c r="E144" i="55"/>
  <c r="B144" i="55"/>
  <c r="N143" i="55"/>
  <c r="N142" i="55"/>
  <c r="N141" i="55"/>
  <c r="N140" i="55"/>
  <c r="N139" i="55"/>
  <c r="N138" i="55"/>
  <c r="N137" i="55"/>
  <c r="N136" i="55"/>
  <c r="N135" i="55"/>
  <c r="N144" i="55" s="1"/>
  <c r="K134" i="55"/>
  <c r="H134" i="55"/>
  <c r="E134" i="55"/>
  <c r="B134" i="55"/>
  <c r="N133" i="55"/>
  <c r="N132" i="55"/>
  <c r="N131" i="55"/>
  <c r="N130" i="55"/>
  <c r="N129" i="55"/>
  <c r="N128" i="55"/>
  <c r="N127" i="55"/>
  <c r="N126" i="55"/>
  <c r="N125" i="55"/>
  <c r="N134" i="55" s="1"/>
  <c r="K124" i="55"/>
  <c r="H124" i="55"/>
  <c r="E124" i="55"/>
  <c r="B124" i="55"/>
  <c r="N123" i="55"/>
  <c r="N122" i="55"/>
  <c r="N121" i="55"/>
  <c r="N120" i="55"/>
  <c r="N119" i="55"/>
  <c r="N118" i="55"/>
  <c r="N117" i="55"/>
  <c r="N116" i="55"/>
  <c r="N115" i="55"/>
  <c r="N124" i="55" s="1"/>
  <c r="K114" i="55"/>
  <c r="H114" i="55"/>
  <c r="E114" i="55"/>
  <c r="B114" i="55"/>
  <c r="N113" i="55"/>
  <c r="N112" i="55"/>
  <c r="N111" i="55"/>
  <c r="N110" i="55"/>
  <c r="N109" i="55"/>
  <c r="N108" i="55"/>
  <c r="N107" i="55"/>
  <c r="N106" i="55"/>
  <c r="N105" i="55"/>
  <c r="N114" i="55" s="1"/>
  <c r="D100" i="55"/>
  <c r="O99" i="55"/>
  <c r="I99" i="55"/>
  <c r="O97" i="55"/>
  <c r="F99" i="55" s="1"/>
  <c r="K92" i="55"/>
  <c r="H92" i="55"/>
  <c r="E92" i="55"/>
  <c r="B92" i="55"/>
  <c r="N91" i="55"/>
  <c r="N90" i="55"/>
  <c r="N89" i="55"/>
  <c r="N88" i="55"/>
  <c r="N87" i="55"/>
  <c r="N86" i="55"/>
  <c r="N85" i="55"/>
  <c r="N84" i="55"/>
  <c r="N83" i="55"/>
  <c r="N92" i="55" s="1"/>
  <c r="K82" i="55"/>
  <c r="H82" i="55"/>
  <c r="E82" i="55"/>
  <c r="B82" i="55"/>
  <c r="N81" i="55"/>
  <c r="N80" i="55"/>
  <c r="N79" i="55"/>
  <c r="N78" i="55"/>
  <c r="N77" i="55"/>
  <c r="N76" i="55"/>
  <c r="N75" i="55"/>
  <c r="N74" i="55"/>
  <c r="N73" i="55"/>
  <c r="N82" i="55" s="1"/>
  <c r="K72" i="55"/>
  <c r="H72" i="55"/>
  <c r="E72" i="55"/>
  <c r="B72" i="55"/>
  <c r="N71" i="55"/>
  <c r="N70" i="55"/>
  <c r="N69" i="55"/>
  <c r="N68" i="55"/>
  <c r="N67" i="55"/>
  <c r="N66" i="55"/>
  <c r="N65" i="55"/>
  <c r="N64" i="55"/>
  <c r="N63" i="55"/>
  <c r="N72" i="55" s="1"/>
  <c r="K62" i="55"/>
  <c r="H62" i="55"/>
  <c r="E62" i="55"/>
  <c r="B62" i="55"/>
  <c r="N61" i="55"/>
  <c r="N60" i="55"/>
  <c r="N59" i="55"/>
  <c r="N58" i="55"/>
  <c r="N57" i="55"/>
  <c r="N56" i="55"/>
  <c r="N55" i="55"/>
  <c r="N54" i="55"/>
  <c r="N53" i="55"/>
  <c r="N62" i="55" s="1"/>
  <c r="K52" i="55"/>
  <c r="H52" i="55"/>
  <c r="E52" i="55"/>
  <c r="B52" i="55"/>
  <c r="N51" i="55"/>
  <c r="N50" i="55"/>
  <c r="N49" i="55"/>
  <c r="N48" i="55"/>
  <c r="N47" i="55"/>
  <c r="N46" i="55"/>
  <c r="N45" i="55"/>
  <c r="N44" i="55"/>
  <c r="N43" i="55"/>
  <c r="N52" i="55" s="1"/>
  <c r="K42" i="55"/>
  <c r="H42" i="55"/>
  <c r="E42" i="55"/>
  <c r="B42" i="55"/>
  <c r="N41" i="55"/>
  <c r="N40" i="55"/>
  <c r="N39" i="55"/>
  <c r="N38" i="55"/>
  <c r="N37" i="55"/>
  <c r="N36" i="55"/>
  <c r="N35" i="55"/>
  <c r="N34" i="55"/>
  <c r="N33" i="55"/>
  <c r="N42" i="55" s="1"/>
  <c r="E32" i="55"/>
  <c r="B32" i="55"/>
  <c r="M31" i="55"/>
  <c r="J31" i="55"/>
  <c r="N31" i="55" s="1"/>
  <c r="M30" i="55"/>
  <c r="J30" i="55"/>
  <c r="N30" i="55" s="1"/>
  <c r="M29" i="55"/>
  <c r="J29" i="55"/>
  <c r="N29" i="55" s="1"/>
  <c r="M28" i="55"/>
  <c r="J28" i="55"/>
  <c r="N28" i="55" s="1"/>
  <c r="M27" i="55"/>
  <c r="J27" i="55"/>
  <c r="N27" i="55" s="1"/>
  <c r="M26" i="55"/>
  <c r="J26" i="55"/>
  <c r="N26" i="55" s="1"/>
  <c r="M25" i="55"/>
  <c r="J25" i="55"/>
  <c r="N25" i="55" s="1"/>
  <c r="M24" i="55"/>
  <c r="J24" i="55"/>
  <c r="N24" i="55" s="1"/>
  <c r="M23" i="55"/>
  <c r="K32" i="55" s="1"/>
  <c r="J23" i="55"/>
  <c r="K22" i="55"/>
  <c r="H22" i="55"/>
  <c r="E22" i="55"/>
  <c r="B22" i="55"/>
  <c r="N21" i="55"/>
  <c r="N20" i="55"/>
  <c r="N19" i="55"/>
  <c r="N18" i="55"/>
  <c r="N17" i="55"/>
  <c r="N16" i="55"/>
  <c r="N15" i="55"/>
  <c r="N14" i="55"/>
  <c r="N13" i="55"/>
  <c r="N22" i="55" s="1"/>
  <c r="C7" i="55"/>
  <c r="C99" i="55" s="1"/>
  <c r="K199" i="54"/>
  <c r="H199" i="54"/>
  <c r="E199" i="54"/>
  <c r="B199" i="54"/>
  <c r="N198" i="54"/>
  <c r="N197" i="54"/>
  <c r="N196" i="54"/>
  <c r="N195" i="54"/>
  <c r="N194" i="54"/>
  <c r="N193" i="54"/>
  <c r="N192" i="54"/>
  <c r="N191" i="54"/>
  <c r="N190" i="54"/>
  <c r="N199" i="54" s="1"/>
  <c r="K189" i="54"/>
  <c r="H189" i="54"/>
  <c r="E189" i="54"/>
  <c r="B189" i="54"/>
  <c r="N188" i="54"/>
  <c r="N187" i="54"/>
  <c r="N186" i="54"/>
  <c r="N185" i="54"/>
  <c r="N184" i="54"/>
  <c r="N183" i="54"/>
  <c r="N182" i="54"/>
  <c r="N181" i="54"/>
  <c r="N180" i="54"/>
  <c r="N189" i="54" s="1"/>
  <c r="K179" i="54"/>
  <c r="H179" i="54"/>
  <c r="E179" i="54"/>
  <c r="B179" i="54"/>
  <c r="N178" i="54"/>
  <c r="N177" i="54"/>
  <c r="N176" i="54"/>
  <c r="N175" i="54"/>
  <c r="N174" i="54"/>
  <c r="N173" i="54"/>
  <c r="N172" i="54"/>
  <c r="N171" i="54"/>
  <c r="N170" i="54"/>
  <c r="N179" i="54" s="1"/>
  <c r="N168" i="54"/>
  <c r="N167" i="54"/>
  <c r="N166" i="54"/>
  <c r="N165" i="54"/>
  <c r="N164" i="54"/>
  <c r="N163" i="54"/>
  <c r="N162" i="54"/>
  <c r="N161" i="54"/>
  <c r="N160" i="54"/>
  <c r="M159" i="54"/>
  <c r="J159" i="54"/>
  <c r="N159" i="54" s="1"/>
  <c r="M158" i="54"/>
  <c r="J158" i="54"/>
  <c r="N158" i="54" s="1"/>
  <c r="M157" i="54"/>
  <c r="J157" i="54"/>
  <c r="N157" i="54" s="1"/>
  <c r="M156" i="54"/>
  <c r="J156" i="54"/>
  <c r="N156" i="54" s="1"/>
  <c r="N155" i="54"/>
  <c r="N169" i="54" s="1"/>
  <c r="M155" i="54"/>
  <c r="K169" i="54" s="1"/>
  <c r="J155" i="54"/>
  <c r="H169" i="54" s="1"/>
  <c r="K154" i="54"/>
  <c r="H154" i="54"/>
  <c r="E154" i="54"/>
  <c r="B154" i="54"/>
  <c r="N153" i="54"/>
  <c r="N152" i="54"/>
  <c r="N151" i="54"/>
  <c r="N150" i="54"/>
  <c r="N149" i="54"/>
  <c r="N148" i="54"/>
  <c r="N147" i="54"/>
  <c r="N146" i="54"/>
  <c r="N145" i="54"/>
  <c r="N154" i="54" s="1"/>
  <c r="K144" i="54"/>
  <c r="H144" i="54"/>
  <c r="E144" i="54"/>
  <c r="B144" i="54"/>
  <c r="N143" i="54"/>
  <c r="N142" i="54"/>
  <c r="N141" i="54"/>
  <c r="N140" i="54"/>
  <c r="N139" i="54"/>
  <c r="N138" i="54"/>
  <c r="N137" i="54"/>
  <c r="N136" i="54"/>
  <c r="N135" i="54"/>
  <c r="N144" i="54" s="1"/>
  <c r="K134" i="54"/>
  <c r="H134" i="54"/>
  <c r="E134" i="54"/>
  <c r="B134" i="54"/>
  <c r="N133" i="54"/>
  <c r="N132" i="54"/>
  <c r="N131" i="54"/>
  <c r="N130" i="54"/>
  <c r="N129" i="54"/>
  <c r="N128" i="54"/>
  <c r="N127" i="54"/>
  <c r="N126" i="54"/>
  <c r="N125" i="54"/>
  <c r="N134" i="54" s="1"/>
  <c r="K124" i="54"/>
  <c r="H124" i="54"/>
  <c r="E124" i="54"/>
  <c r="B124" i="54"/>
  <c r="N123" i="54"/>
  <c r="N122" i="54"/>
  <c r="N121" i="54"/>
  <c r="N120" i="54"/>
  <c r="N119" i="54"/>
  <c r="N118" i="54"/>
  <c r="N117" i="54"/>
  <c r="N116" i="54"/>
  <c r="N115" i="54"/>
  <c r="N124" i="54" s="1"/>
  <c r="K114" i="54"/>
  <c r="H114" i="54"/>
  <c r="E114" i="54"/>
  <c r="B114" i="54"/>
  <c r="N113" i="54"/>
  <c r="N112" i="54"/>
  <c r="N111" i="54"/>
  <c r="N110" i="54"/>
  <c r="N109" i="54"/>
  <c r="N108" i="54"/>
  <c r="N107" i="54"/>
  <c r="N106" i="54"/>
  <c r="N105" i="54"/>
  <c r="N114" i="54" s="1"/>
  <c r="D100" i="54"/>
  <c r="O99" i="54"/>
  <c r="I99" i="54"/>
  <c r="O97" i="54"/>
  <c r="F99" i="54" s="1"/>
  <c r="K92" i="54"/>
  <c r="H92" i="54"/>
  <c r="E92" i="54"/>
  <c r="B92" i="54"/>
  <c r="N91" i="54"/>
  <c r="N90" i="54"/>
  <c r="N89" i="54"/>
  <c r="N88" i="54"/>
  <c r="N87" i="54"/>
  <c r="N86" i="54"/>
  <c r="N85" i="54"/>
  <c r="N84" i="54"/>
  <c r="N83" i="54"/>
  <c r="N92" i="54" s="1"/>
  <c r="K82" i="54"/>
  <c r="H82" i="54"/>
  <c r="E82" i="54"/>
  <c r="B82" i="54"/>
  <c r="N81" i="54"/>
  <c r="N80" i="54"/>
  <c r="N79" i="54"/>
  <c r="N78" i="54"/>
  <c r="N77" i="54"/>
  <c r="N76" i="54"/>
  <c r="N75" i="54"/>
  <c r="N74" i="54"/>
  <c r="N73" i="54"/>
  <c r="N82" i="54" s="1"/>
  <c r="K72" i="54"/>
  <c r="H72" i="54"/>
  <c r="E72" i="54"/>
  <c r="B72" i="54"/>
  <c r="N71" i="54"/>
  <c r="N70" i="54"/>
  <c r="N69" i="54"/>
  <c r="N68" i="54"/>
  <c r="N67" i="54"/>
  <c r="N66" i="54"/>
  <c r="N65" i="54"/>
  <c r="N64" i="54"/>
  <c r="N63" i="54"/>
  <c r="N72" i="54" s="1"/>
  <c r="K62" i="54"/>
  <c r="H62" i="54"/>
  <c r="E62" i="54"/>
  <c r="B62" i="54"/>
  <c r="N61" i="54"/>
  <c r="N60" i="54"/>
  <c r="N59" i="54"/>
  <c r="N58" i="54"/>
  <c r="N57" i="54"/>
  <c r="N56" i="54"/>
  <c r="N55" i="54"/>
  <c r="N54" i="54"/>
  <c r="N53" i="54"/>
  <c r="N62" i="54" s="1"/>
  <c r="K52" i="54"/>
  <c r="H52" i="54"/>
  <c r="E52" i="54"/>
  <c r="B52" i="54"/>
  <c r="N51" i="54"/>
  <c r="N50" i="54"/>
  <c r="N49" i="54"/>
  <c r="N48" i="54"/>
  <c r="N47" i="54"/>
  <c r="N46" i="54"/>
  <c r="N45" i="54"/>
  <c r="N44" i="54"/>
  <c r="N43" i="54"/>
  <c r="N52" i="54" s="1"/>
  <c r="K42" i="54"/>
  <c r="H42" i="54"/>
  <c r="E42" i="54"/>
  <c r="B42" i="54"/>
  <c r="N41" i="54"/>
  <c r="N40" i="54"/>
  <c r="N39" i="54"/>
  <c r="N38" i="54"/>
  <c r="N37" i="54"/>
  <c r="N36" i="54"/>
  <c r="N35" i="54"/>
  <c r="N34" i="54"/>
  <c r="N33" i="54"/>
  <c r="N42" i="54" s="1"/>
  <c r="E32" i="54"/>
  <c r="B32" i="54"/>
  <c r="M31" i="54"/>
  <c r="J31" i="54"/>
  <c r="N31" i="54" s="1"/>
  <c r="M30" i="54"/>
  <c r="J30" i="54"/>
  <c r="N30" i="54" s="1"/>
  <c r="M29" i="54"/>
  <c r="J29" i="54"/>
  <c r="N29" i="54" s="1"/>
  <c r="M28" i="54"/>
  <c r="J28" i="54"/>
  <c r="N28" i="54" s="1"/>
  <c r="M27" i="54"/>
  <c r="J27" i="54"/>
  <c r="N27" i="54" s="1"/>
  <c r="M26" i="54"/>
  <c r="J26" i="54"/>
  <c r="N26" i="54" s="1"/>
  <c r="M25" i="54"/>
  <c r="J25" i="54"/>
  <c r="N25" i="54" s="1"/>
  <c r="M24" i="54"/>
  <c r="J24" i="54"/>
  <c r="N24" i="54" s="1"/>
  <c r="M23" i="54"/>
  <c r="K32" i="54" s="1"/>
  <c r="J23" i="54"/>
  <c r="K22" i="54"/>
  <c r="H22" i="54"/>
  <c r="E22" i="54"/>
  <c r="B22" i="54"/>
  <c r="N21" i="54"/>
  <c r="N20" i="54"/>
  <c r="N19" i="54"/>
  <c r="N18" i="54"/>
  <c r="N17" i="54"/>
  <c r="N16" i="54"/>
  <c r="N15" i="54"/>
  <c r="N14" i="54"/>
  <c r="N13" i="54"/>
  <c r="N22" i="54" s="1"/>
  <c r="C7" i="54"/>
  <c r="C99" i="54" s="1"/>
  <c r="K199" i="53"/>
  <c r="H199" i="53"/>
  <c r="E199" i="53"/>
  <c r="B199" i="53"/>
  <c r="N198" i="53"/>
  <c r="N197" i="53"/>
  <c r="N196" i="53"/>
  <c r="N195" i="53"/>
  <c r="N194" i="53"/>
  <c r="N193" i="53"/>
  <c r="N192" i="53"/>
  <c r="N191" i="53"/>
  <c r="N190" i="53"/>
  <c r="N199" i="53" s="1"/>
  <c r="K189" i="53"/>
  <c r="H189" i="53"/>
  <c r="E189" i="53"/>
  <c r="B189" i="53"/>
  <c r="N188" i="53"/>
  <c r="N187" i="53"/>
  <c r="N186" i="53"/>
  <c r="N185" i="53"/>
  <c r="N184" i="53"/>
  <c r="N183" i="53"/>
  <c r="N182" i="53"/>
  <c r="N181" i="53"/>
  <c r="N180" i="53"/>
  <c r="N189" i="53" s="1"/>
  <c r="K179" i="53"/>
  <c r="H179" i="53"/>
  <c r="E179" i="53"/>
  <c r="B179" i="53"/>
  <c r="N178" i="53"/>
  <c r="N177" i="53"/>
  <c r="N176" i="53"/>
  <c r="N175" i="53"/>
  <c r="N174" i="53"/>
  <c r="N173" i="53"/>
  <c r="N172" i="53"/>
  <c r="N171" i="53"/>
  <c r="N170" i="53"/>
  <c r="N179" i="53" s="1"/>
  <c r="N168" i="53"/>
  <c r="N167" i="53"/>
  <c r="N166" i="53"/>
  <c r="N165" i="53"/>
  <c r="N164" i="53"/>
  <c r="N163" i="53"/>
  <c r="N162" i="53"/>
  <c r="N161" i="53"/>
  <c r="N160" i="53"/>
  <c r="M159" i="53"/>
  <c r="J159" i="53"/>
  <c r="N159" i="53" s="1"/>
  <c r="M158" i="53"/>
  <c r="J158" i="53"/>
  <c r="N158" i="53" s="1"/>
  <c r="M157" i="53"/>
  <c r="J157" i="53"/>
  <c r="N157" i="53" s="1"/>
  <c r="M156" i="53"/>
  <c r="J156" i="53"/>
  <c r="N156" i="53" s="1"/>
  <c r="M155" i="53"/>
  <c r="K169" i="53" s="1"/>
  <c r="J155" i="53"/>
  <c r="K154" i="53"/>
  <c r="H154" i="53"/>
  <c r="E154" i="53"/>
  <c r="B154" i="53"/>
  <c r="N153" i="53"/>
  <c r="N152" i="53"/>
  <c r="N151" i="53"/>
  <c r="N150" i="53"/>
  <c r="N149" i="53"/>
  <c r="N148" i="53"/>
  <c r="N147" i="53"/>
  <c r="N146" i="53"/>
  <c r="N145" i="53"/>
  <c r="N154" i="53" s="1"/>
  <c r="K144" i="53"/>
  <c r="H144" i="53"/>
  <c r="E144" i="53"/>
  <c r="B144" i="53"/>
  <c r="N143" i="53"/>
  <c r="N142" i="53"/>
  <c r="N141" i="53"/>
  <c r="N140" i="53"/>
  <c r="N139" i="53"/>
  <c r="N138" i="53"/>
  <c r="N137" i="53"/>
  <c r="N136" i="53"/>
  <c r="N135" i="53"/>
  <c r="N144" i="53" s="1"/>
  <c r="K134" i="53"/>
  <c r="H134" i="53"/>
  <c r="E134" i="53"/>
  <c r="B134" i="53"/>
  <c r="N133" i="53"/>
  <c r="N132" i="53"/>
  <c r="N131" i="53"/>
  <c r="N130" i="53"/>
  <c r="N129" i="53"/>
  <c r="N128" i="53"/>
  <c r="N127" i="53"/>
  <c r="N126" i="53"/>
  <c r="N125" i="53"/>
  <c r="N134" i="53" s="1"/>
  <c r="K124" i="53"/>
  <c r="H124" i="53"/>
  <c r="E124" i="53"/>
  <c r="B124" i="53"/>
  <c r="N123" i="53"/>
  <c r="N122" i="53"/>
  <c r="N121" i="53"/>
  <c r="N120" i="53"/>
  <c r="N119" i="53"/>
  <c r="N118" i="53"/>
  <c r="N117" i="53"/>
  <c r="N116" i="53"/>
  <c r="N115" i="53"/>
  <c r="N124" i="53" s="1"/>
  <c r="K114" i="53"/>
  <c r="H114" i="53"/>
  <c r="E114" i="53"/>
  <c r="B114" i="53"/>
  <c r="N113" i="53"/>
  <c r="N112" i="53"/>
  <c r="N111" i="53"/>
  <c r="N110" i="53"/>
  <c r="N109" i="53"/>
  <c r="N108" i="53"/>
  <c r="N107" i="53"/>
  <c r="N106" i="53"/>
  <c r="N105" i="53"/>
  <c r="N114" i="53" s="1"/>
  <c r="D100" i="53"/>
  <c r="O99" i="53"/>
  <c r="I99" i="53"/>
  <c r="O97" i="53"/>
  <c r="F99" i="53" s="1"/>
  <c r="K92" i="53"/>
  <c r="H92" i="53"/>
  <c r="E92" i="53"/>
  <c r="B92" i="53"/>
  <c r="N91" i="53"/>
  <c r="N90" i="53"/>
  <c r="N89" i="53"/>
  <c r="N88" i="53"/>
  <c r="N87" i="53"/>
  <c r="N86" i="53"/>
  <c r="N85" i="53"/>
  <c r="N84" i="53"/>
  <c r="N83" i="53"/>
  <c r="N92" i="53" s="1"/>
  <c r="K82" i="53"/>
  <c r="H82" i="53"/>
  <c r="E82" i="53"/>
  <c r="B82" i="53"/>
  <c r="N81" i="53"/>
  <c r="N80" i="53"/>
  <c r="N79" i="53"/>
  <c r="N78" i="53"/>
  <c r="N77" i="53"/>
  <c r="N76" i="53"/>
  <c r="N75" i="53"/>
  <c r="N74" i="53"/>
  <c r="N73" i="53"/>
  <c r="N82" i="53" s="1"/>
  <c r="K72" i="53"/>
  <c r="H72" i="53"/>
  <c r="E72" i="53"/>
  <c r="B72" i="53"/>
  <c r="N71" i="53"/>
  <c r="N70" i="53"/>
  <c r="N69" i="53"/>
  <c r="N68" i="53"/>
  <c r="N67" i="53"/>
  <c r="N66" i="53"/>
  <c r="N65" i="53"/>
  <c r="N64" i="53"/>
  <c r="N63" i="53"/>
  <c r="N72" i="53" s="1"/>
  <c r="K62" i="53"/>
  <c r="H62" i="53"/>
  <c r="E62" i="53"/>
  <c r="B62" i="53"/>
  <c r="N61" i="53"/>
  <c r="N60" i="53"/>
  <c r="N59" i="53"/>
  <c r="N58" i="53"/>
  <c r="N57" i="53"/>
  <c r="N56" i="53"/>
  <c r="N55" i="53"/>
  <c r="N54" i="53"/>
  <c r="N53" i="53"/>
  <c r="N62" i="53" s="1"/>
  <c r="K52" i="53"/>
  <c r="H52" i="53"/>
  <c r="E52" i="53"/>
  <c r="B52" i="53"/>
  <c r="N51" i="53"/>
  <c r="N50" i="53"/>
  <c r="N49" i="53"/>
  <c r="N48" i="53"/>
  <c r="N47" i="53"/>
  <c r="N46" i="53"/>
  <c r="N45" i="53"/>
  <c r="N44" i="53"/>
  <c r="N43" i="53"/>
  <c r="N52" i="53" s="1"/>
  <c r="K42" i="53"/>
  <c r="H42" i="53"/>
  <c r="E42" i="53"/>
  <c r="B42" i="53"/>
  <c r="N41" i="53"/>
  <c r="N40" i="53"/>
  <c r="N39" i="53"/>
  <c r="N38" i="53"/>
  <c r="N37" i="53"/>
  <c r="N36" i="53"/>
  <c r="N35" i="53"/>
  <c r="N34" i="53"/>
  <c r="N33" i="53"/>
  <c r="N42" i="53" s="1"/>
  <c r="E32" i="53"/>
  <c r="B32" i="53"/>
  <c r="M31" i="53"/>
  <c r="J31" i="53"/>
  <c r="N31" i="53" s="1"/>
  <c r="M30" i="53"/>
  <c r="J30" i="53"/>
  <c r="N30" i="53" s="1"/>
  <c r="M29" i="53"/>
  <c r="J29" i="53"/>
  <c r="N29" i="53" s="1"/>
  <c r="M28" i="53"/>
  <c r="J28" i="53"/>
  <c r="N28" i="53" s="1"/>
  <c r="M27" i="53"/>
  <c r="J27" i="53"/>
  <c r="N27" i="53" s="1"/>
  <c r="M26" i="53"/>
  <c r="J26" i="53"/>
  <c r="N26" i="53" s="1"/>
  <c r="M25" i="53"/>
  <c r="J25" i="53"/>
  <c r="N25" i="53" s="1"/>
  <c r="M24" i="53"/>
  <c r="J24" i="53"/>
  <c r="N24" i="53" s="1"/>
  <c r="N23" i="53"/>
  <c r="N32" i="53" s="1"/>
  <c r="M23" i="53"/>
  <c r="K32" i="53" s="1"/>
  <c r="J23" i="53"/>
  <c r="H32" i="53" s="1"/>
  <c r="K22" i="53"/>
  <c r="H22" i="53"/>
  <c r="E22" i="53"/>
  <c r="B22" i="53"/>
  <c r="N21" i="53"/>
  <c r="N20" i="53"/>
  <c r="N19" i="53"/>
  <c r="N18" i="53"/>
  <c r="N17" i="53"/>
  <c r="N16" i="53"/>
  <c r="N15" i="53"/>
  <c r="N14" i="53"/>
  <c r="N13" i="53"/>
  <c r="N22" i="53" s="1"/>
  <c r="C7" i="53"/>
  <c r="C99" i="53" s="1"/>
  <c r="K199" i="52"/>
  <c r="H199" i="52"/>
  <c r="E199" i="52"/>
  <c r="B199" i="52"/>
  <c r="N198" i="52"/>
  <c r="N197" i="52"/>
  <c r="N196" i="52"/>
  <c r="N195" i="52"/>
  <c r="N194" i="52"/>
  <c r="N193" i="52"/>
  <c r="N192" i="52"/>
  <c r="N191" i="52"/>
  <c r="N190" i="52"/>
  <c r="N199" i="52" s="1"/>
  <c r="K189" i="52"/>
  <c r="H189" i="52"/>
  <c r="E189" i="52"/>
  <c r="B189" i="52"/>
  <c r="N188" i="52"/>
  <c r="N187" i="52"/>
  <c r="N186" i="52"/>
  <c r="N185" i="52"/>
  <c r="N184" i="52"/>
  <c r="N183" i="52"/>
  <c r="N182" i="52"/>
  <c r="N181" i="52"/>
  <c r="N180" i="52"/>
  <c r="N189" i="52" s="1"/>
  <c r="K179" i="52"/>
  <c r="H179" i="52"/>
  <c r="E179" i="52"/>
  <c r="B179" i="52"/>
  <c r="N178" i="52"/>
  <c r="N177" i="52"/>
  <c r="N176" i="52"/>
  <c r="N175" i="52"/>
  <c r="N174" i="52"/>
  <c r="N173" i="52"/>
  <c r="N172" i="52"/>
  <c r="N171" i="52"/>
  <c r="N170" i="52"/>
  <c r="N179" i="52" s="1"/>
  <c r="N168" i="52"/>
  <c r="N167" i="52"/>
  <c r="N166" i="52"/>
  <c r="N165" i="52"/>
  <c r="N164" i="52"/>
  <c r="N163" i="52"/>
  <c r="N162" i="52"/>
  <c r="N161" i="52"/>
  <c r="N160" i="52"/>
  <c r="M159" i="52"/>
  <c r="J159" i="52"/>
  <c r="N159" i="52" s="1"/>
  <c r="M158" i="52"/>
  <c r="J158" i="52"/>
  <c r="N158" i="52" s="1"/>
  <c r="M157" i="52"/>
  <c r="J157" i="52"/>
  <c r="N157" i="52" s="1"/>
  <c r="M156" i="52"/>
  <c r="J156" i="52"/>
  <c r="N156" i="52" s="1"/>
  <c r="M155" i="52"/>
  <c r="K169" i="52" s="1"/>
  <c r="J155" i="52"/>
  <c r="K154" i="52"/>
  <c r="H154" i="52"/>
  <c r="E154" i="52"/>
  <c r="B154" i="52"/>
  <c r="N153" i="52"/>
  <c r="N152" i="52"/>
  <c r="N151" i="52"/>
  <c r="N150" i="52"/>
  <c r="N149" i="52"/>
  <c r="N148" i="52"/>
  <c r="N147" i="52"/>
  <c r="N146" i="52"/>
  <c r="N145" i="52"/>
  <c r="N154" i="52" s="1"/>
  <c r="K144" i="52"/>
  <c r="H144" i="52"/>
  <c r="E144" i="52"/>
  <c r="B144" i="52"/>
  <c r="N143" i="52"/>
  <c r="N142" i="52"/>
  <c r="N141" i="52"/>
  <c r="N140" i="52"/>
  <c r="N139" i="52"/>
  <c r="N138" i="52"/>
  <c r="N137" i="52"/>
  <c r="N136" i="52"/>
  <c r="N135" i="52"/>
  <c r="N144" i="52" s="1"/>
  <c r="K134" i="52"/>
  <c r="H134" i="52"/>
  <c r="E134" i="52"/>
  <c r="B134" i="52"/>
  <c r="N133" i="52"/>
  <c r="N132" i="52"/>
  <c r="N131" i="52"/>
  <c r="N130" i="52"/>
  <c r="N129" i="52"/>
  <c r="N128" i="52"/>
  <c r="N127" i="52"/>
  <c r="N126" i="52"/>
  <c r="N125" i="52"/>
  <c r="N134" i="52" s="1"/>
  <c r="K124" i="52"/>
  <c r="H124" i="52"/>
  <c r="E124" i="52"/>
  <c r="B124" i="52"/>
  <c r="N123" i="52"/>
  <c r="N122" i="52"/>
  <c r="N121" i="52"/>
  <c r="N120" i="52"/>
  <c r="N119" i="52"/>
  <c r="N118" i="52"/>
  <c r="N117" i="52"/>
  <c r="N116" i="52"/>
  <c r="N115" i="52"/>
  <c r="N124" i="52" s="1"/>
  <c r="K114" i="52"/>
  <c r="H114" i="52"/>
  <c r="E114" i="52"/>
  <c r="B114" i="52"/>
  <c r="N113" i="52"/>
  <c r="N112" i="52"/>
  <c r="N111" i="52"/>
  <c r="N110" i="52"/>
  <c r="N109" i="52"/>
  <c r="N108" i="52"/>
  <c r="N107" i="52"/>
  <c r="N106" i="52"/>
  <c r="N105" i="52"/>
  <c r="N114" i="52" s="1"/>
  <c r="D100" i="52"/>
  <c r="O99" i="52"/>
  <c r="I99" i="52"/>
  <c r="O97" i="52"/>
  <c r="F99" i="52" s="1"/>
  <c r="K92" i="52"/>
  <c r="H92" i="52"/>
  <c r="E92" i="52"/>
  <c r="B92" i="52"/>
  <c r="N91" i="52"/>
  <c r="N90" i="52"/>
  <c r="N89" i="52"/>
  <c r="N88" i="52"/>
  <c r="N87" i="52"/>
  <c r="N86" i="52"/>
  <c r="N85" i="52"/>
  <c r="N84" i="52"/>
  <c r="N83" i="52"/>
  <c r="N92" i="52" s="1"/>
  <c r="K82" i="52"/>
  <c r="H82" i="52"/>
  <c r="E82" i="52"/>
  <c r="B82" i="52"/>
  <c r="N81" i="52"/>
  <c r="N80" i="52"/>
  <c r="N79" i="52"/>
  <c r="N78" i="52"/>
  <c r="N77" i="52"/>
  <c r="N76" i="52"/>
  <c r="N75" i="52"/>
  <c r="N74" i="52"/>
  <c r="N73" i="52"/>
  <c r="N82" i="52" s="1"/>
  <c r="K72" i="52"/>
  <c r="H72" i="52"/>
  <c r="E72" i="52"/>
  <c r="B72" i="52"/>
  <c r="N71" i="52"/>
  <c r="N70" i="52"/>
  <c r="N69" i="52"/>
  <c r="N68" i="52"/>
  <c r="N67" i="52"/>
  <c r="N66" i="52"/>
  <c r="N65" i="52"/>
  <c r="N64" i="52"/>
  <c r="N63" i="52"/>
  <c r="N72" i="52" s="1"/>
  <c r="K62" i="52"/>
  <c r="H62" i="52"/>
  <c r="E62" i="52"/>
  <c r="B62" i="52"/>
  <c r="N61" i="52"/>
  <c r="N60" i="52"/>
  <c r="N59" i="52"/>
  <c r="N58" i="52"/>
  <c r="N57" i="52"/>
  <c r="N56" i="52"/>
  <c r="N55" i="52"/>
  <c r="N54" i="52"/>
  <c r="N53" i="52"/>
  <c r="N62" i="52" s="1"/>
  <c r="K52" i="52"/>
  <c r="H52" i="52"/>
  <c r="E52" i="52"/>
  <c r="B52" i="52"/>
  <c r="N51" i="52"/>
  <c r="N50" i="52"/>
  <c r="N49" i="52"/>
  <c r="N48" i="52"/>
  <c r="N47" i="52"/>
  <c r="N46" i="52"/>
  <c r="N45" i="52"/>
  <c r="N44" i="52"/>
  <c r="N43" i="52"/>
  <c r="N52" i="52" s="1"/>
  <c r="K42" i="52"/>
  <c r="H42" i="52"/>
  <c r="E42" i="52"/>
  <c r="B42" i="52"/>
  <c r="N41" i="52"/>
  <c r="N40" i="52"/>
  <c r="N39" i="52"/>
  <c r="N38" i="52"/>
  <c r="N37" i="52"/>
  <c r="N36" i="52"/>
  <c r="N35" i="52"/>
  <c r="N34" i="52"/>
  <c r="N33" i="52"/>
  <c r="N42" i="52" s="1"/>
  <c r="E32" i="52"/>
  <c r="B32" i="52"/>
  <c r="M31" i="52"/>
  <c r="J31" i="52"/>
  <c r="N31" i="52" s="1"/>
  <c r="M30" i="52"/>
  <c r="J30" i="52"/>
  <c r="N30" i="52" s="1"/>
  <c r="M29" i="52"/>
  <c r="J29" i="52"/>
  <c r="N29" i="52" s="1"/>
  <c r="M28" i="52"/>
  <c r="J28" i="52"/>
  <c r="N28" i="52" s="1"/>
  <c r="M27" i="52"/>
  <c r="J27" i="52"/>
  <c r="N27" i="52" s="1"/>
  <c r="M26" i="52"/>
  <c r="J26" i="52"/>
  <c r="N26" i="52" s="1"/>
  <c r="M25" i="52"/>
  <c r="J25" i="52"/>
  <c r="N25" i="52" s="1"/>
  <c r="M24" i="52"/>
  <c r="J24" i="52"/>
  <c r="N24" i="52" s="1"/>
  <c r="M23" i="52"/>
  <c r="K32" i="52" s="1"/>
  <c r="J23" i="52"/>
  <c r="K22" i="52"/>
  <c r="H22" i="52"/>
  <c r="E22" i="52"/>
  <c r="B22" i="52"/>
  <c r="N21" i="52"/>
  <c r="N20" i="52"/>
  <c r="N19" i="52"/>
  <c r="N18" i="52"/>
  <c r="N17" i="52"/>
  <c r="N16" i="52"/>
  <c r="N15" i="52"/>
  <c r="N14" i="52"/>
  <c r="N13" i="52"/>
  <c r="N22" i="52" s="1"/>
  <c r="C7" i="52"/>
  <c r="C99" i="52" s="1"/>
  <c r="K199" i="51"/>
  <c r="H199" i="51"/>
  <c r="E199" i="51"/>
  <c r="B199" i="51"/>
  <c r="N198" i="51"/>
  <c r="N197" i="51"/>
  <c r="N196" i="51"/>
  <c r="N195" i="51"/>
  <c r="N194" i="51"/>
  <c r="N193" i="51"/>
  <c r="N192" i="51"/>
  <c r="N191" i="51"/>
  <c r="N190" i="51"/>
  <c r="N199" i="51" s="1"/>
  <c r="K189" i="51"/>
  <c r="H189" i="51"/>
  <c r="E189" i="51"/>
  <c r="B189" i="51"/>
  <c r="N188" i="51"/>
  <c r="N187" i="51"/>
  <c r="N186" i="51"/>
  <c r="N185" i="51"/>
  <c r="N184" i="51"/>
  <c r="N183" i="51"/>
  <c r="N182" i="51"/>
  <c r="N181" i="51"/>
  <c r="N180" i="51"/>
  <c r="N189" i="51" s="1"/>
  <c r="K179" i="51"/>
  <c r="H179" i="51"/>
  <c r="E179" i="51"/>
  <c r="B179" i="51"/>
  <c r="N178" i="51"/>
  <c r="N177" i="51"/>
  <c r="N176" i="51"/>
  <c r="N175" i="51"/>
  <c r="N174" i="51"/>
  <c r="N173" i="51"/>
  <c r="N172" i="51"/>
  <c r="N171" i="51"/>
  <c r="N170" i="51"/>
  <c r="N179" i="51" s="1"/>
  <c r="N168" i="51"/>
  <c r="N167" i="51"/>
  <c r="N166" i="51"/>
  <c r="N165" i="51"/>
  <c r="N164" i="51"/>
  <c r="N163" i="51"/>
  <c r="N162" i="51"/>
  <c r="N161" i="51"/>
  <c r="N160" i="51"/>
  <c r="M159" i="51"/>
  <c r="J159" i="51"/>
  <c r="N159" i="51" s="1"/>
  <c r="M158" i="51"/>
  <c r="J158" i="51"/>
  <c r="N158" i="51" s="1"/>
  <c r="M157" i="51"/>
  <c r="J157" i="51"/>
  <c r="N157" i="51" s="1"/>
  <c r="M156" i="51"/>
  <c r="J156" i="51"/>
  <c r="N156" i="51" s="1"/>
  <c r="M155" i="51"/>
  <c r="K169" i="51" s="1"/>
  <c r="J155" i="51"/>
  <c r="K154" i="51"/>
  <c r="H154" i="51"/>
  <c r="E154" i="51"/>
  <c r="B154" i="51"/>
  <c r="N153" i="51"/>
  <c r="N152" i="51"/>
  <c r="N151" i="51"/>
  <c r="N150" i="51"/>
  <c r="N149" i="51"/>
  <c r="N148" i="51"/>
  <c r="N147" i="51"/>
  <c r="N146" i="51"/>
  <c r="N145" i="51"/>
  <c r="N154" i="51" s="1"/>
  <c r="K144" i="51"/>
  <c r="H144" i="51"/>
  <c r="E144" i="51"/>
  <c r="B144" i="51"/>
  <c r="N143" i="51"/>
  <c r="N142" i="51"/>
  <c r="N141" i="51"/>
  <c r="N140" i="51"/>
  <c r="N139" i="51"/>
  <c r="N138" i="51"/>
  <c r="N137" i="51"/>
  <c r="N136" i="51"/>
  <c r="N135" i="51"/>
  <c r="N144" i="51" s="1"/>
  <c r="K134" i="51"/>
  <c r="H134" i="51"/>
  <c r="E134" i="51"/>
  <c r="B134" i="51"/>
  <c r="N133" i="51"/>
  <c r="N132" i="51"/>
  <c r="N131" i="51"/>
  <c r="N130" i="51"/>
  <c r="N129" i="51"/>
  <c r="N128" i="51"/>
  <c r="N127" i="51"/>
  <c r="N126" i="51"/>
  <c r="N125" i="51"/>
  <c r="N134" i="51" s="1"/>
  <c r="K124" i="51"/>
  <c r="H124" i="51"/>
  <c r="E124" i="51"/>
  <c r="B124" i="51"/>
  <c r="N123" i="51"/>
  <c r="N122" i="51"/>
  <c r="N121" i="51"/>
  <c r="N120" i="51"/>
  <c r="N119" i="51"/>
  <c r="N118" i="51"/>
  <c r="N117" i="51"/>
  <c r="N116" i="51"/>
  <c r="N115" i="51"/>
  <c r="N124" i="51" s="1"/>
  <c r="K114" i="51"/>
  <c r="H114" i="51"/>
  <c r="E114" i="51"/>
  <c r="B114" i="51"/>
  <c r="N113" i="51"/>
  <c r="N112" i="51"/>
  <c r="N111" i="51"/>
  <c r="N110" i="51"/>
  <c r="N109" i="51"/>
  <c r="N108" i="51"/>
  <c r="N107" i="51"/>
  <c r="N106" i="51"/>
  <c r="N105" i="51"/>
  <c r="N114" i="51" s="1"/>
  <c r="D100" i="51"/>
  <c r="O99" i="51"/>
  <c r="I99" i="51"/>
  <c r="O97" i="51"/>
  <c r="F99" i="51" s="1"/>
  <c r="K92" i="51"/>
  <c r="H92" i="51"/>
  <c r="E92" i="51"/>
  <c r="B92" i="51"/>
  <c r="N91" i="51"/>
  <c r="N90" i="51"/>
  <c r="N89" i="51"/>
  <c r="N88" i="51"/>
  <c r="N87" i="51"/>
  <c r="N86" i="51"/>
  <c r="N85" i="51"/>
  <c r="N84" i="51"/>
  <c r="N83" i="51"/>
  <c r="N92" i="51" s="1"/>
  <c r="K82" i="51"/>
  <c r="H82" i="51"/>
  <c r="E82" i="51"/>
  <c r="B82" i="51"/>
  <c r="N81" i="51"/>
  <c r="N80" i="51"/>
  <c r="N79" i="51"/>
  <c r="N78" i="51"/>
  <c r="N77" i="51"/>
  <c r="N76" i="51"/>
  <c r="N75" i="51"/>
  <c r="N74" i="51"/>
  <c r="N73" i="51"/>
  <c r="N82" i="51" s="1"/>
  <c r="K72" i="51"/>
  <c r="H72" i="51"/>
  <c r="E72" i="51"/>
  <c r="B72" i="51"/>
  <c r="N71" i="51"/>
  <c r="N70" i="51"/>
  <c r="N69" i="51"/>
  <c r="N68" i="51"/>
  <c r="N67" i="51"/>
  <c r="N66" i="51"/>
  <c r="N65" i="51"/>
  <c r="N64" i="51"/>
  <c r="N63" i="51"/>
  <c r="N72" i="51" s="1"/>
  <c r="K62" i="51"/>
  <c r="H62" i="51"/>
  <c r="E62" i="51"/>
  <c r="B62" i="51"/>
  <c r="N61" i="51"/>
  <c r="N60" i="51"/>
  <c r="N59" i="51"/>
  <c r="N58" i="51"/>
  <c r="N57" i="51"/>
  <c r="N56" i="51"/>
  <c r="N55" i="51"/>
  <c r="N54" i="51"/>
  <c r="N53" i="51"/>
  <c r="N62" i="51" s="1"/>
  <c r="K52" i="51"/>
  <c r="H52" i="51"/>
  <c r="E52" i="51"/>
  <c r="B52" i="51"/>
  <c r="N51" i="51"/>
  <c r="N50" i="51"/>
  <c r="N49" i="51"/>
  <c r="N48" i="51"/>
  <c r="N47" i="51"/>
  <c r="N46" i="51"/>
  <c r="N45" i="51"/>
  <c r="N44" i="51"/>
  <c r="N43" i="51"/>
  <c r="N52" i="51" s="1"/>
  <c r="K42" i="51"/>
  <c r="H42" i="51"/>
  <c r="E42" i="51"/>
  <c r="B42" i="51"/>
  <c r="N41" i="51"/>
  <c r="N40" i="51"/>
  <c r="N39" i="51"/>
  <c r="N38" i="51"/>
  <c r="N37" i="51"/>
  <c r="N36" i="51"/>
  <c r="N35" i="51"/>
  <c r="N34" i="51"/>
  <c r="N33" i="51"/>
  <c r="N42" i="51" s="1"/>
  <c r="E32" i="51"/>
  <c r="B32" i="51"/>
  <c r="M31" i="51"/>
  <c r="J31" i="51"/>
  <c r="N31" i="51" s="1"/>
  <c r="M30" i="51"/>
  <c r="J30" i="51"/>
  <c r="N30" i="51" s="1"/>
  <c r="M29" i="51"/>
  <c r="J29" i="51"/>
  <c r="N29" i="51" s="1"/>
  <c r="M28" i="51"/>
  <c r="J28" i="51"/>
  <c r="N28" i="51" s="1"/>
  <c r="M27" i="51"/>
  <c r="J27" i="51"/>
  <c r="N27" i="51" s="1"/>
  <c r="M26" i="51"/>
  <c r="J26" i="51"/>
  <c r="N26" i="51" s="1"/>
  <c r="M25" i="51"/>
  <c r="J25" i="51"/>
  <c r="N25" i="51" s="1"/>
  <c r="M24" i="51"/>
  <c r="J24" i="51"/>
  <c r="N24" i="51" s="1"/>
  <c r="M23" i="51"/>
  <c r="K32" i="51" s="1"/>
  <c r="J23" i="51"/>
  <c r="K22" i="51"/>
  <c r="H22" i="51"/>
  <c r="E22" i="51"/>
  <c r="B22" i="51"/>
  <c r="N21" i="51"/>
  <c r="N20" i="51"/>
  <c r="N19" i="51"/>
  <c r="N18" i="51"/>
  <c r="N17" i="51"/>
  <c r="N16" i="51"/>
  <c r="N15" i="51"/>
  <c r="N14" i="51"/>
  <c r="N13" i="51"/>
  <c r="N22" i="51" s="1"/>
  <c r="C7" i="51"/>
  <c r="C99" i="51" s="1"/>
  <c r="K199" i="50"/>
  <c r="H199" i="50"/>
  <c r="E199" i="50"/>
  <c r="B199" i="50"/>
  <c r="N198" i="50"/>
  <c r="N197" i="50"/>
  <c r="N196" i="50"/>
  <c r="N195" i="50"/>
  <c r="N194" i="50"/>
  <c r="N193" i="50"/>
  <c r="N192" i="50"/>
  <c r="N191" i="50"/>
  <c r="N190" i="50"/>
  <c r="N199" i="50" s="1"/>
  <c r="K189" i="50"/>
  <c r="H189" i="50"/>
  <c r="E189" i="50"/>
  <c r="B189" i="50"/>
  <c r="N188" i="50"/>
  <c r="N187" i="50"/>
  <c r="N186" i="50"/>
  <c r="N185" i="50"/>
  <c r="N184" i="50"/>
  <c r="N183" i="50"/>
  <c r="N182" i="50"/>
  <c r="N181" i="50"/>
  <c r="N180" i="50"/>
  <c r="N189" i="50" s="1"/>
  <c r="K179" i="50"/>
  <c r="H179" i="50"/>
  <c r="E179" i="50"/>
  <c r="B179" i="50"/>
  <c r="N178" i="50"/>
  <c r="N177" i="50"/>
  <c r="N176" i="50"/>
  <c r="N175" i="50"/>
  <c r="N174" i="50"/>
  <c r="N173" i="50"/>
  <c r="N172" i="50"/>
  <c r="N171" i="50"/>
  <c r="N170" i="50"/>
  <c r="N179" i="50" s="1"/>
  <c r="N168" i="50"/>
  <c r="N167" i="50"/>
  <c r="N166" i="50"/>
  <c r="N165" i="50"/>
  <c r="N164" i="50"/>
  <c r="N163" i="50"/>
  <c r="N162" i="50"/>
  <c r="N161" i="50"/>
  <c r="N160" i="50"/>
  <c r="M159" i="50"/>
  <c r="J159" i="50"/>
  <c r="N159" i="50" s="1"/>
  <c r="M158" i="50"/>
  <c r="J158" i="50"/>
  <c r="N158" i="50" s="1"/>
  <c r="M157" i="50"/>
  <c r="J157" i="50"/>
  <c r="N157" i="50" s="1"/>
  <c r="M156" i="50"/>
  <c r="J156" i="50"/>
  <c r="N156" i="50" s="1"/>
  <c r="M155" i="50"/>
  <c r="K169" i="50" s="1"/>
  <c r="J155" i="50"/>
  <c r="K154" i="50"/>
  <c r="H154" i="50"/>
  <c r="E154" i="50"/>
  <c r="B154" i="50"/>
  <c r="N153" i="50"/>
  <c r="N152" i="50"/>
  <c r="N151" i="50"/>
  <c r="N150" i="50"/>
  <c r="N149" i="50"/>
  <c r="N148" i="50"/>
  <c r="N147" i="50"/>
  <c r="N146" i="50"/>
  <c r="N145" i="50"/>
  <c r="N154" i="50" s="1"/>
  <c r="K144" i="50"/>
  <c r="H144" i="50"/>
  <c r="E144" i="50"/>
  <c r="B144" i="50"/>
  <c r="N143" i="50"/>
  <c r="N142" i="50"/>
  <c r="N141" i="50"/>
  <c r="N140" i="50"/>
  <c r="N139" i="50"/>
  <c r="N138" i="50"/>
  <c r="N137" i="50"/>
  <c r="N136" i="50"/>
  <c r="N135" i="50"/>
  <c r="N144" i="50" s="1"/>
  <c r="K134" i="50"/>
  <c r="H134" i="50"/>
  <c r="E134" i="50"/>
  <c r="B134" i="50"/>
  <c r="N133" i="50"/>
  <c r="N132" i="50"/>
  <c r="N131" i="50"/>
  <c r="N130" i="50"/>
  <c r="N129" i="50"/>
  <c r="N128" i="50"/>
  <c r="N127" i="50"/>
  <c r="N126" i="50"/>
  <c r="N125" i="50"/>
  <c r="N134" i="50" s="1"/>
  <c r="K124" i="50"/>
  <c r="H124" i="50"/>
  <c r="E124" i="50"/>
  <c r="B124" i="50"/>
  <c r="N123" i="50"/>
  <c r="N122" i="50"/>
  <c r="N121" i="50"/>
  <c r="N120" i="50"/>
  <c r="N119" i="50"/>
  <c r="N118" i="50"/>
  <c r="N117" i="50"/>
  <c r="N116" i="50"/>
  <c r="N115" i="50"/>
  <c r="N124" i="50" s="1"/>
  <c r="K114" i="50"/>
  <c r="H114" i="50"/>
  <c r="E114" i="50"/>
  <c r="B114" i="50"/>
  <c r="N113" i="50"/>
  <c r="N112" i="50"/>
  <c r="N111" i="50"/>
  <c r="N110" i="50"/>
  <c r="N109" i="50"/>
  <c r="N108" i="50"/>
  <c r="N107" i="50"/>
  <c r="N106" i="50"/>
  <c r="N105" i="50"/>
  <c r="N114" i="50" s="1"/>
  <c r="D100" i="50"/>
  <c r="O99" i="50"/>
  <c r="I99" i="50"/>
  <c r="O97" i="50"/>
  <c r="F99" i="50" s="1"/>
  <c r="K92" i="50"/>
  <c r="H92" i="50"/>
  <c r="E92" i="50"/>
  <c r="B92" i="50"/>
  <c r="N91" i="50"/>
  <c r="N90" i="50"/>
  <c r="N89" i="50"/>
  <c r="N88" i="50"/>
  <c r="N87" i="50"/>
  <c r="N86" i="50"/>
  <c r="N85" i="50"/>
  <c r="N84" i="50"/>
  <c r="N83" i="50"/>
  <c r="N92" i="50" s="1"/>
  <c r="K82" i="50"/>
  <c r="H82" i="50"/>
  <c r="E82" i="50"/>
  <c r="B82" i="50"/>
  <c r="N81" i="50"/>
  <c r="N80" i="50"/>
  <c r="N79" i="50"/>
  <c r="N78" i="50"/>
  <c r="N77" i="50"/>
  <c r="N76" i="50"/>
  <c r="N75" i="50"/>
  <c r="N74" i="50"/>
  <c r="N73" i="50"/>
  <c r="N82" i="50" s="1"/>
  <c r="K72" i="50"/>
  <c r="H72" i="50"/>
  <c r="E72" i="50"/>
  <c r="B72" i="50"/>
  <c r="N71" i="50"/>
  <c r="N70" i="50"/>
  <c r="N69" i="50"/>
  <c r="N68" i="50"/>
  <c r="N67" i="50"/>
  <c r="N66" i="50"/>
  <c r="N65" i="50"/>
  <c r="N64" i="50"/>
  <c r="N63" i="50"/>
  <c r="N72" i="50" s="1"/>
  <c r="K62" i="50"/>
  <c r="H62" i="50"/>
  <c r="E62" i="50"/>
  <c r="B62" i="50"/>
  <c r="N61" i="50"/>
  <c r="N60" i="50"/>
  <c r="N59" i="50"/>
  <c r="N58" i="50"/>
  <c r="N57" i="50"/>
  <c r="N56" i="50"/>
  <c r="N55" i="50"/>
  <c r="N54" i="50"/>
  <c r="N53" i="50"/>
  <c r="N62" i="50" s="1"/>
  <c r="K52" i="50"/>
  <c r="H52" i="50"/>
  <c r="E52" i="50"/>
  <c r="B52" i="50"/>
  <c r="N51" i="50"/>
  <c r="N50" i="50"/>
  <c r="N49" i="50"/>
  <c r="N48" i="50"/>
  <c r="N47" i="50"/>
  <c r="N46" i="50"/>
  <c r="N45" i="50"/>
  <c r="N44" i="50"/>
  <c r="N43" i="50"/>
  <c r="N52" i="50" s="1"/>
  <c r="K42" i="50"/>
  <c r="H42" i="50"/>
  <c r="E42" i="50"/>
  <c r="B42" i="50"/>
  <c r="N41" i="50"/>
  <c r="N40" i="50"/>
  <c r="N39" i="50"/>
  <c r="N38" i="50"/>
  <c r="N37" i="50"/>
  <c r="N36" i="50"/>
  <c r="N35" i="50"/>
  <c r="N34" i="50"/>
  <c r="N33" i="50"/>
  <c r="N42" i="50" s="1"/>
  <c r="E32" i="50"/>
  <c r="B32" i="50"/>
  <c r="M31" i="50"/>
  <c r="J31" i="50"/>
  <c r="N31" i="50" s="1"/>
  <c r="M30" i="50"/>
  <c r="J30" i="50"/>
  <c r="N30" i="50" s="1"/>
  <c r="M29" i="50"/>
  <c r="J29" i="50"/>
  <c r="N29" i="50" s="1"/>
  <c r="M28" i="50"/>
  <c r="J28" i="50"/>
  <c r="N28" i="50" s="1"/>
  <c r="M27" i="50"/>
  <c r="J27" i="50"/>
  <c r="N27" i="50" s="1"/>
  <c r="M26" i="50"/>
  <c r="J26" i="50"/>
  <c r="N26" i="50" s="1"/>
  <c r="M25" i="50"/>
  <c r="J25" i="50"/>
  <c r="N25" i="50" s="1"/>
  <c r="M24" i="50"/>
  <c r="J24" i="50"/>
  <c r="N24" i="50" s="1"/>
  <c r="M23" i="50"/>
  <c r="K32" i="50" s="1"/>
  <c r="J23" i="50"/>
  <c r="K22" i="50"/>
  <c r="H22" i="50"/>
  <c r="E22" i="50"/>
  <c r="B22" i="50"/>
  <c r="N21" i="50"/>
  <c r="N20" i="50"/>
  <c r="N19" i="50"/>
  <c r="N18" i="50"/>
  <c r="N17" i="50"/>
  <c r="N16" i="50"/>
  <c r="N15" i="50"/>
  <c r="N14" i="50"/>
  <c r="N13" i="50"/>
  <c r="N22" i="50" s="1"/>
  <c r="C7" i="50"/>
  <c r="C99" i="50" s="1"/>
  <c r="K199" i="49"/>
  <c r="H199" i="49"/>
  <c r="E199" i="49"/>
  <c r="B199" i="49"/>
  <c r="N198" i="49"/>
  <c r="N197" i="49"/>
  <c r="N196" i="49"/>
  <c r="N195" i="49"/>
  <c r="N194" i="49"/>
  <c r="N193" i="49"/>
  <c r="N192" i="49"/>
  <c r="N191" i="49"/>
  <c r="N190" i="49"/>
  <c r="N199" i="49" s="1"/>
  <c r="K189" i="49"/>
  <c r="H189" i="49"/>
  <c r="E189" i="49"/>
  <c r="B189" i="49"/>
  <c r="N188" i="49"/>
  <c r="N187" i="49"/>
  <c r="N186" i="49"/>
  <c r="N185" i="49"/>
  <c r="N184" i="49"/>
  <c r="N183" i="49"/>
  <c r="N182" i="49"/>
  <c r="N181" i="49"/>
  <c r="N180" i="49"/>
  <c r="N189" i="49" s="1"/>
  <c r="K179" i="49"/>
  <c r="H179" i="49"/>
  <c r="E179" i="49"/>
  <c r="B179" i="49"/>
  <c r="N178" i="49"/>
  <c r="N177" i="49"/>
  <c r="N176" i="49"/>
  <c r="N175" i="49"/>
  <c r="N174" i="49"/>
  <c r="N173" i="49"/>
  <c r="N172" i="49"/>
  <c r="N171" i="49"/>
  <c r="N170" i="49"/>
  <c r="N179" i="49" s="1"/>
  <c r="N168" i="49"/>
  <c r="N167" i="49"/>
  <c r="N166" i="49"/>
  <c r="N165" i="49"/>
  <c r="N164" i="49"/>
  <c r="N163" i="49"/>
  <c r="N162" i="49"/>
  <c r="N161" i="49"/>
  <c r="N160" i="49"/>
  <c r="M159" i="49"/>
  <c r="J159" i="49"/>
  <c r="N159" i="49" s="1"/>
  <c r="M158" i="49"/>
  <c r="J158" i="49"/>
  <c r="N158" i="49" s="1"/>
  <c r="M157" i="49"/>
  <c r="J157" i="49"/>
  <c r="N157" i="49" s="1"/>
  <c r="M156" i="49"/>
  <c r="J156" i="49"/>
  <c r="N156" i="49" s="1"/>
  <c r="M155" i="49"/>
  <c r="K169" i="49" s="1"/>
  <c r="J155" i="49"/>
  <c r="K154" i="49"/>
  <c r="H154" i="49"/>
  <c r="E154" i="49"/>
  <c r="B154" i="49"/>
  <c r="N153" i="49"/>
  <c r="N152" i="49"/>
  <c r="N151" i="49"/>
  <c r="N150" i="49"/>
  <c r="N149" i="49"/>
  <c r="N148" i="49"/>
  <c r="N147" i="49"/>
  <c r="N146" i="49"/>
  <c r="N145" i="49"/>
  <c r="N154" i="49" s="1"/>
  <c r="K144" i="49"/>
  <c r="H144" i="49"/>
  <c r="E144" i="49"/>
  <c r="B144" i="49"/>
  <c r="N143" i="49"/>
  <c r="N142" i="49"/>
  <c r="N141" i="49"/>
  <c r="N140" i="49"/>
  <c r="N139" i="49"/>
  <c r="N138" i="49"/>
  <c r="N137" i="49"/>
  <c r="N136" i="49"/>
  <c r="N135" i="49"/>
  <c r="N144" i="49" s="1"/>
  <c r="K134" i="49"/>
  <c r="H134" i="49"/>
  <c r="E134" i="49"/>
  <c r="B134" i="49"/>
  <c r="N133" i="49"/>
  <c r="N132" i="49"/>
  <c r="N131" i="49"/>
  <c r="N130" i="49"/>
  <c r="N129" i="49"/>
  <c r="N128" i="49"/>
  <c r="N127" i="49"/>
  <c r="N126" i="49"/>
  <c r="N125" i="49"/>
  <c r="N134" i="49" s="1"/>
  <c r="K124" i="49"/>
  <c r="H124" i="49"/>
  <c r="E124" i="49"/>
  <c r="B124" i="49"/>
  <c r="N123" i="49"/>
  <c r="N122" i="49"/>
  <c r="N121" i="49"/>
  <c r="N120" i="49"/>
  <c r="N119" i="49"/>
  <c r="N118" i="49"/>
  <c r="N117" i="49"/>
  <c r="N116" i="49"/>
  <c r="N115" i="49"/>
  <c r="N124" i="49" s="1"/>
  <c r="K114" i="49"/>
  <c r="H114" i="49"/>
  <c r="E114" i="49"/>
  <c r="B114" i="49"/>
  <c r="N113" i="49"/>
  <c r="N112" i="49"/>
  <c r="N111" i="49"/>
  <c r="N110" i="49"/>
  <c r="N109" i="49"/>
  <c r="N108" i="49"/>
  <c r="N107" i="49"/>
  <c r="N106" i="49"/>
  <c r="N105" i="49"/>
  <c r="N114" i="49" s="1"/>
  <c r="D100" i="49"/>
  <c r="O99" i="49"/>
  <c r="I99" i="49"/>
  <c r="O97" i="49"/>
  <c r="F99" i="49" s="1"/>
  <c r="K92" i="49"/>
  <c r="H92" i="49"/>
  <c r="E92" i="49"/>
  <c r="B92" i="49"/>
  <c r="N91" i="49"/>
  <c r="N90" i="49"/>
  <c r="N89" i="49"/>
  <c r="N88" i="49"/>
  <c r="N87" i="49"/>
  <c r="N86" i="49"/>
  <c r="N85" i="49"/>
  <c r="N84" i="49"/>
  <c r="N83" i="49"/>
  <c r="N92" i="49" s="1"/>
  <c r="K82" i="49"/>
  <c r="H82" i="49"/>
  <c r="E82" i="49"/>
  <c r="B82" i="49"/>
  <c r="N81" i="49"/>
  <c r="N80" i="49"/>
  <c r="N79" i="49"/>
  <c r="N78" i="49"/>
  <c r="N77" i="49"/>
  <c r="N76" i="49"/>
  <c r="N75" i="49"/>
  <c r="N74" i="49"/>
  <c r="N73" i="49"/>
  <c r="N82" i="49" s="1"/>
  <c r="K72" i="49"/>
  <c r="H72" i="49"/>
  <c r="E72" i="49"/>
  <c r="B72" i="49"/>
  <c r="N71" i="49"/>
  <c r="N70" i="49"/>
  <c r="N69" i="49"/>
  <c r="N68" i="49"/>
  <c r="N67" i="49"/>
  <c r="N66" i="49"/>
  <c r="N65" i="49"/>
  <c r="N64" i="49"/>
  <c r="N63" i="49"/>
  <c r="N72" i="49" s="1"/>
  <c r="K62" i="49"/>
  <c r="H62" i="49"/>
  <c r="E62" i="49"/>
  <c r="B62" i="49"/>
  <c r="N61" i="49"/>
  <c r="N60" i="49"/>
  <c r="N59" i="49"/>
  <c r="N58" i="49"/>
  <c r="N57" i="49"/>
  <c r="N56" i="49"/>
  <c r="N55" i="49"/>
  <c r="N54" i="49"/>
  <c r="N53" i="49"/>
  <c r="N62" i="49" s="1"/>
  <c r="K52" i="49"/>
  <c r="H52" i="49"/>
  <c r="E52" i="49"/>
  <c r="B52" i="49"/>
  <c r="N51" i="49"/>
  <c r="N50" i="49"/>
  <c r="N49" i="49"/>
  <c r="N48" i="49"/>
  <c r="N47" i="49"/>
  <c r="N46" i="49"/>
  <c r="N45" i="49"/>
  <c r="N44" i="49"/>
  <c r="N43" i="49"/>
  <c r="N52" i="49" s="1"/>
  <c r="K42" i="49"/>
  <c r="H42" i="49"/>
  <c r="E42" i="49"/>
  <c r="B42" i="49"/>
  <c r="N41" i="49"/>
  <c r="N40" i="49"/>
  <c r="N39" i="49"/>
  <c r="N38" i="49"/>
  <c r="N37" i="49"/>
  <c r="N36" i="49"/>
  <c r="N35" i="49"/>
  <c r="N34" i="49"/>
  <c r="N33" i="49"/>
  <c r="N42" i="49" s="1"/>
  <c r="E32" i="49"/>
  <c r="B32" i="49"/>
  <c r="M31" i="49"/>
  <c r="J31" i="49"/>
  <c r="N31" i="49" s="1"/>
  <c r="M30" i="49"/>
  <c r="J30" i="49"/>
  <c r="N30" i="49" s="1"/>
  <c r="M29" i="49"/>
  <c r="J29" i="49"/>
  <c r="N29" i="49" s="1"/>
  <c r="M28" i="49"/>
  <c r="K32" i="49" s="1"/>
  <c r="J28" i="49"/>
  <c r="N27" i="49"/>
  <c r="M27" i="49"/>
  <c r="J27" i="49"/>
  <c r="M26" i="49"/>
  <c r="J26" i="49"/>
  <c r="N26" i="49" s="1"/>
  <c r="M25" i="49"/>
  <c r="J25" i="49"/>
  <c r="N25" i="49" s="1"/>
  <c r="M24" i="49"/>
  <c r="J24" i="49"/>
  <c r="N24" i="49" s="1"/>
  <c r="M23" i="49"/>
  <c r="J23" i="49"/>
  <c r="N23" i="49" s="1"/>
  <c r="K22" i="49"/>
  <c r="H22" i="49"/>
  <c r="E22" i="49"/>
  <c r="B22" i="49"/>
  <c r="N21" i="49"/>
  <c r="N20" i="49"/>
  <c r="N19" i="49"/>
  <c r="N18" i="49"/>
  <c r="N17" i="49"/>
  <c r="N16" i="49"/>
  <c r="N15" i="49"/>
  <c r="N14" i="49"/>
  <c r="N13" i="49"/>
  <c r="N22" i="49" s="1"/>
  <c r="C7" i="49"/>
  <c r="C99" i="49" s="1"/>
  <c r="N34" i="48"/>
  <c r="N35" i="48"/>
  <c r="N36" i="48"/>
  <c r="N37" i="48"/>
  <c r="N38" i="48"/>
  <c r="N39" i="48"/>
  <c r="N40" i="48"/>
  <c r="N41" i="48"/>
  <c r="N44" i="48"/>
  <c r="N45" i="48"/>
  <c r="N46" i="48"/>
  <c r="N47" i="48"/>
  <c r="N48" i="48"/>
  <c r="N49" i="48"/>
  <c r="N50" i="48"/>
  <c r="N51" i="48"/>
  <c r="N54" i="48"/>
  <c r="N55" i="48"/>
  <c r="N56" i="48"/>
  <c r="N57" i="48"/>
  <c r="N58" i="48"/>
  <c r="N59" i="48"/>
  <c r="N60" i="48"/>
  <c r="N61" i="48"/>
  <c r="N64" i="48"/>
  <c r="N65" i="48"/>
  <c r="N66" i="48"/>
  <c r="N67" i="48"/>
  <c r="N68" i="48"/>
  <c r="N69" i="48"/>
  <c r="N70" i="48"/>
  <c r="N71" i="48"/>
  <c r="N74" i="48"/>
  <c r="N75" i="48"/>
  <c r="N76" i="48"/>
  <c r="N77" i="48"/>
  <c r="N78" i="48"/>
  <c r="N79" i="48"/>
  <c r="N80" i="48"/>
  <c r="N81" i="48"/>
  <c r="N82" i="48"/>
  <c r="N84" i="48"/>
  <c r="N85" i="48"/>
  <c r="N86" i="48"/>
  <c r="N87" i="48"/>
  <c r="N88" i="48"/>
  <c r="N89" i="48"/>
  <c r="N90" i="48"/>
  <c r="N91" i="48"/>
  <c r="N106" i="48"/>
  <c r="N107" i="48"/>
  <c r="N108" i="48"/>
  <c r="N109" i="48"/>
  <c r="N110" i="48"/>
  <c r="N111" i="48"/>
  <c r="N112" i="48"/>
  <c r="N113" i="48"/>
  <c r="N114" i="48"/>
  <c r="N116" i="48"/>
  <c r="N117" i="48"/>
  <c r="N118" i="48"/>
  <c r="N119" i="48"/>
  <c r="N120" i="48"/>
  <c r="N121" i="48"/>
  <c r="N122" i="48"/>
  <c r="N123" i="48"/>
  <c r="N126" i="48"/>
  <c r="N127" i="48"/>
  <c r="N128" i="48"/>
  <c r="N129" i="48"/>
  <c r="N130" i="48"/>
  <c r="N131" i="48"/>
  <c r="N132" i="48"/>
  <c r="N133" i="48"/>
  <c r="N134" i="48"/>
  <c r="N136" i="48"/>
  <c r="N137" i="48"/>
  <c r="N138" i="48"/>
  <c r="N139" i="48"/>
  <c r="N140" i="48"/>
  <c r="N141" i="48"/>
  <c r="N142" i="48"/>
  <c r="N143" i="48"/>
  <c r="N144" i="48"/>
  <c r="N146" i="48"/>
  <c r="N147" i="48"/>
  <c r="N148" i="48"/>
  <c r="N149" i="48"/>
  <c r="N150" i="48"/>
  <c r="N151" i="48"/>
  <c r="N152" i="48"/>
  <c r="N153" i="48"/>
  <c r="N167" i="48"/>
  <c r="N166" i="48"/>
  <c r="N171" i="48"/>
  <c r="N172" i="48"/>
  <c r="N173" i="48"/>
  <c r="N174" i="48"/>
  <c r="N175" i="48"/>
  <c r="N176" i="48"/>
  <c r="N177" i="48"/>
  <c r="N178" i="48"/>
  <c r="N181" i="48"/>
  <c r="N182" i="48"/>
  <c r="N183" i="48"/>
  <c r="N184" i="48"/>
  <c r="N185" i="48"/>
  <c r="N186" i="48"/>
  <c r="N187" i="48"/>
  <c r="N188" i="48"/>
  <c r="N191" i="48"/>
  <c r="N192" i="48"/>
  <c r="N193" i="48"/>
  <c r="N194" i="48"/>
  <c r="N195" i="48"/>
  <c r="N196" i="48"/>
  <c r="N197" i="48"/>
  <c r="N198" i="48"/>
  <c r="N199" i="48"/>
  <c r="K199" i="48"/>
  <c r="H199" i="48"/>
  <c r="E199" i="48"/>
  <c r="B199" i="48"/>
  <c r="N189" i="48"/>
  <c r="K189" i="48"/>
  <c r="H189" i="48"/>
  <c r="E189" i="48"/>
  <c r="B189" i="48"/>
  <c r="N179" i="48"/>
  <c r="K179" i="48"/>
  <c r="H179" i="48"/>
  <c r="E179" i="48"/>
  <c r="B179" i="48"/>
  <c r="N154" i="48"/>
  <c r="K154" i="48"/>
  <c r="H154" i="48"/>
  <c r="E154" i="48"/>
  <c r="B154" i="48"/>
  <c r="K144" i="48"/>
  <c r="H144" i="48"/>
  <c r="E144" i="48"/>
  <c r="B144" i="48"/>
  <c r="K134" i="48"/>
  <c r="H134" i="48"/>
  <c r="E134" i="48"/>
  <c r="B134" i="48"/>
  <c r="N124" i="48"/>
  <c r="K124" i="48"/>
  <c r="H124" i="48"/>
  <c r="E124" i="48"/>
  <c r="B124" i="48"/>
  <c r="K114" i="48"/>
  <c r="H114" i="48"/>
  <c r="E114" i="48"/>
  <c r="B114" i="48"/>
  <c r="N92" i="48"/>
  <c r="K92" i="48"/>
  <c r="H92" i="48"/>
  <c r="E92" i="48"/>
  <c r="B92" i="48"/>
  <c r="K82" i="48"/>
  <c r="H82" i="48"/>
  <c r="E82" i="48"/>
  <c r="B82" i="48"/>
  <c r="N72" i="48"/>
  <c r="K72" i="48"/>
  <c r="H72" i="48"/>
  <c r="E72" i="48"/>
  <c r="B72" i="48"/>
  <c r="N62" i="48"/>
  <c r="K62" i="48"/>
  <c r="H62" i="48"/>
  <c r="E62" i="48"/>
  <c r="B62" i="48"/>
  <c r="N52" i="48"/>
  <c r="K52" i="48"/>
  <c r="H52" i="48"/>
  <c r="E52" i="48"/>
  <c r="B52" i="48"/>
  <c r="N42" i="48"/>
  <c r="K42" i="48"/>
  <c r="H42" i="48"/>
  <c r="E42" i="48"/>
  <c r="B42" i="48"/>
  <c r="K169" i="48"/>
  <c r="H169" i="48"/>
  <c r="N160" i="48"/>
  <c r="N161" i="48"/>
  <c r="N162" i="48"/>
  <c r="N156" i="48"/>
  <c r="N157" i="48"/>
  <c r="N158" i="48"/>
  <c r="N159" i="48"/>
  <c r="M156" i="48"/>
  <c r="M157" i="48"/>
  <c r="M158" i="48"/>
  <c r="M159" i="48"/>
  <c r="J156" i="48"/>
  <c r="J157" i="48"/>
  <c r="J158" i="48"/>
  <c r="J159" i="48"/>
  <c r="B32" i="48"/>
  <c r="J29" i="48"/>
  <c r="J30" i="48"/>
  <c r="J31" i="48"/>
  <c r="M29" i="48"/>
  <c r="M30" i="48"/>
  <c r="M31" i="48"/>
  <c r="M24" i="48"/>
  <c r="M25" i="48"/>
  <c r="M26" i="48"/>
  <c r="M27" i="48"/>
  <c r="J23" i="48"/>
  <c r="J24" i="48"/>
  <c r="N24" i="48" s="1"/>
  <c r="J25" i="48"/>
  <c r="B22" i="48"/>
  <c r="N19" i="48"/>
  <c r="N20" i="48"/>
  <c r="N21" i="48"/>
  <c r="N14" i="48"/>
  <c r="N15" i="48"/>
  <c r="N16" i="48"/>
  <c r="N17" i="48"/>
  <c r="N190" i="48"/>
  <c r="E92" i="47"/>
  <c r="H132" i="47"/>
  <c r="J132" i="47"/>
  <c r="I132" i="47"/>
  <c r="H126" i="47"/>
  <c r="N88" i="47"/>
  <c r="J19" i="47"/>
  <c r="B18" i="47"/>
  <c r="E132" i="47"/>
  <c r="H65" i="47"/>
  <c r="M104" i="47"/>
  <c r="L104" i="47"/>
  <c r="K104" i="47"/>
  <c r="J104" i="47"/>
  <c r="I104" i="47"/>
  <c r="H104" i="47"/>
  <c r="E104" i="47"/>
  <c r="M111" i="47"/>
  <c r="L111" i="47"/>
  <c r="K111" i="47"/>
  <c r="J111" i="47"/>
  <c r="I111" i="47"/>
  <c r="H111" i="47"/>
  <c r="E111" i="47"/>
  <c r="M39" i="47"/>
  <c r="L39" i="47"/>
  <c r="K39" i="47"/>
  <c r="J39" i="47"/>
  <c r="I39" i="47"/>
  <c r="H39" i="47"/>
  <c r="E39" i="47"/>
  <c r="M18" i="47"/>
  <c r="L18" i="47"/>
  <c r="K18" i="47"/>
  <c r="J18" i="47"/>
  <c r="I18" i="47"/>
  <c r="H18" i="47"/>
  <c r="M33" i="47"/>
  <c r="L33" i="47"/>
  <c r="K33" i="47"/>
  <c r="J33" i="47"/>
  <c r="I33" i="47"/>
  <c r="H33" i="47"/>
  <c r="K45" i="47"/>
  <c r="M45" i="47"/>
  <c r="L45" i="47"/>
  <c r="J45" i="47"/>
  <c r="I45" i="47"/>
  <c r="H45" i="47"/>
  <c r="E45" i="47"/>
  <c r="M52" i="47"/>
  <c r="L52" i="47"/>
  <c r="K52" i="47"/>
  <c r="J52" i="47"/>
  <c r="I52" i="47"/>
  <c r="H52" i="47"/>
  <c r="E52" i="47"/>
  <c r="B132" i="47"/>
  <c r="B126" i="47"/>
  <c r="B111" i="47"/>
  <c r="B104" i="47"/>
  <c r="B98" i="47"/>
  <c r="B92" i="47"/>
  <c r="B85" i="47"/>
  <c r="N60" i="47"/>
  <c r="N62" i="47"/>
  <c r="B52" i="47"/>
  <c r="B45" i="47"/>
  <c r="B39" i="47"/>
  <c r="N30" i="47"/>
  <c r="N31" i="47"/>
  <c r="B24" i="47"/>
  <c r="H169" i="55" l="1"/>
  <c r="N155" i="55"/>
  <c r="N169" i="55" s="1"/>
  <c r="H32" i="55"/>
  <c r="N23" i="55"/>
  <c r="N32" i="55" s="1"/>
  <c r="N23" i="54"/>
  <c r="N32" i="54" s="1"/>
  <c r="H32" i="54"/>
  <c r="N155" i="53"/>
  <c r="N169" i="53" s="1"/>
  <c r="H169" i="53"/>
  <c r="N155" i="52"/>
  <c r="N169" i="52" s="1"/>
  <c r="H169" i="52"/>
  <c r="H32" i="52"/>
  <c r="N23" i="52"/>
  <c r="N32" i="52" s="1"/>
  <c r="N155" i="51"/>
  <c r="N169" i="51" s="1"/>
  <c r="H169" i="51"/>
  <c r="N23" i="51"/>
  <c r="N32" i="51" s="1"/>
  <c r="H32" i="51"/>
  <c r="H169" i="50"/>
  <c r="N155" i="50"/>
  <c r="N169" i="50" s="1"/>
  <c r="H32" i="50"/>
  <c r="N23" i="50"/>
  <c r="N32" i="50" s="1"/>
  <c r="H169" i="49"/>
  <c r="N155" i="49"/>
  <c r="N169" i="49" s="1"/>
  <c r="H32" i="49"/>
  <c r="N28" i="49"/>
  <c r="N32" i="49"/>
  <c r="N29" i="48"/>
  <c r="N31" i="48"/>
  <c r="N25" i="48"/>
  <c r="N30" i="48"/>
  <c r="N126" i="47"/>
  <c r="N132" i="47"/>
  <c r="E45" i="46"/>
  <c r="J19" i="46"/>
  <c r="J128" i="46"/>
  <c r="I128" i="46"/>
  <c r="H128" i="46"/>
  <c r="N83" i="46" l="1"/>
  <c r="B87" i="46"/>
  <c r="N62" i="46"/>
  <c r="N63" i="46"/>
  <c r="B66" i="46"/>
  <c r="E113" i="46"/>
  <c r="E106" i="46"/>
  <c r="E39" i="46"/>
  <c r="E53" i="46"/>
  <c r="B134" i="46" l="1"/>
  <c r="B128" i="46"/>
  <c r="B113" i="46"/>
  <c r="B106" i="46"/>
  <c r="B100" i="46"/>
  <c r="B94" i="46"/>
  <c r="N89" i="46"/>
  <c r="B53" i="46"/>
  <c r="N48" i="46"/>
  <c r="B45" i="46"/>
  <c r="B39" i="46"/>
  <c r="N30" i="46"/>
  <c r="N31" i="46"/>
  <c r="B24" i="46"/>
  <c r="B18" i="46" l="1"/>
  <c r="B33" i="45"/>
  <c r="N25" i="43"/>
  <c r="N31" i="45"/>
  <c r="N30" i="45"/>
  <c r="B58" i="45" l="1"/>
  <c r="E52" i="45"/>
  <c r="J19" i="45" l="1"/>
  <c r="J20" i="45"/>
  <c r="E110" i="45" l="1"/>
  <c r="E103" i="45"/>
  <c r="N87" i="45"/>
  <c r="E91" i="45"/>
  <c r="E97" i="45" s="1"/>
  <c r="E45" i="45"/>
  <c r="B131" i="45" l="1"/>
  <c r="E131" i="45"/>
  <c r="J131" i="45"/>
  <c r="I131" i="45"/>
  <c r="H131" i="45"/>
  <c r="B125" i="45"/>
  <c r="E125" i="45"/>
  <c r="J125" i="45"/>
  <c r="I125" i="45"/>
  <c r="H125" i="45"/>
  <c r="M125" i="45"/>
  <c r="L125" i="45"/>
  <c r="K125" i="45"/>
  <c r="B119" i="45"/>
  <c r="I119" i="45"/>
  <c r="H119" i="45"/>
  <c r="B110" i="45"/>
  <c r="B103" i="45"/>
  <c r="B97" i="45"/>
  <c r="B91" i="45"/>
  <c r="B84" i="45"/>
  <c r="B52" i="45"/>
  <c r="B45" i="45"/>
  <c r="B39" i="45"/>
  <c r="B24" i="45"/>
  <c r="B18" i="45"/>
  <c r="H122" i="43"/>
  <c r="J19" i="43"/>
  <c r="H24" i="43" s="1"/>
  <c r="E128" i="43" l="1"/>
  <c r="B128" i="43"/>
  <c r="B122" i="43"/>
  <c r="N180" i="48" l="1"/>
  <c r="N170" i="48"/>
  <c r="N168" i="48"/>
  <c r="N165" i="48"/>
  <c r="N164" i="48"/>
  <c r="N163" i="48"/>
  <c r="M155" i="48"/>
  <c r="J155" i="48"/>
  <c r="N155" i="48" s="1"/>
  <c r="N145" i="48"/>
  <c r="N135" i="48"/>
  <c r="N125" i="48"/>
  <c r="N115" i="48"/>
  <c r="N105" i="48"/>
  <c r="D100" i="48"/>
  <c r="O99" i="48"/>
  <c r="I99" i="48"/>
  <c r="O97" i="48"/>
  <c r="F99" i="48" s="1"/>
  <c r="N83" i="48"/>
  <c r="N73" i="48"/>
  <c r="N63" i="48"/>
  <c r="N53" i="48"/>
  <c r="N43" i="48"/>
  <c r="N33" i="48"/>
  <c r="E32" i="48"/>
  <c r="M28" i="48"/>
  <c r="J28" i="48"/>
  <c r="J27" i="48"/>
  <c r="N27" i="48" s="1"/>
  <c r="J26" i="48"/>
  <c r="N26" i="48" s="1"/>
  <c r="M23" i="48"/>
  <c r="K22" i="48"/>
  <c r="H22" i="48"/>
  <c r="E22" i="48"/>
  <c r="N18" i="48"/>
  <c r="N13" i="48"/>
  <c r="C7" i="48"/>
  <c r="C99" i="48" s="1"/>
  <c r="N131" i="47"/>
  <c r="N130" i="47"/>
  <c r="N129" i="47"/>
  <c r="N128" i="47"/>
  <c r="N127" i="47"/>
  <c r="N125" i="47"/>
  <c r="N124" i="47"/>
  <c r="N123" i="47"/>
  <c r="N122" i="47"/>
  <c r="N121" i="47"/>
  <c r="N119" i="47"/>
  <c r="N118" i="47"/>
  <c r="N117" i="47"/>
  <c r="N116" i="47"/>
  <c r="M114" i="47"/>
  <c r="J114" i="47"/>
  <c r="N114" i="47" s="1"/>
  <c r="M113" i="47"/>
  <c r="J113" i="47"/>
  <c r="M112" i="47"/>
  <c r="J112" i="47"/>
  <c r="N110" i="47"/>
  <c r="N109" i="47"/>
  <c r="N108" i="47"/>
  <c r="N107" i="47"/>
  <c r="N106" i="47"/>
  <c r="N105" i="47"/>
  <c r="N103" i="47"/>
  <c r="N102" i="47"/>
  <c r="N101" i="47"/>
  <c r="N100" i="47"/>
  <c r="N99" i="47"/>
  <c r="K98" i="47"/>
  <c r="H98" i="47"/>
  <c r="N97" i="47"/>
  <c r="N96" i="47"/>
  <c r="N95" i="47"/>
  <c r="N94" i="47"/>
  <c r="N93" i="47"/>
  <c r="K92" i="47"/>
  <c r="H92" i="47"/>
  <c r="N91" i="47"/>
  <c r="N90" i="47"/>
  <c r="N89" i="47"/>
  <c r="N87" i="47"/>
  <c r="N86" i="47"/>
  <c r="K85" i="47"/>
  <c r="H85" i="47"/>
  <c r="N84" i="47"/>
  <c r="N83" i="47"/>
  <c r="N82" i="47"/>
  <c r="N81" i="47"/>
  <c r="N80" i="47"/>
  <c r="N79" i="47"/>
  <c r="N78" i="47"/>
  <c r="D73" i="47"/>
  <c r="O72" i="47"/>
  <c r="I72" i="47"/>
  <c r="O70" i="47"/>
  <c r="F72" i="47" s="1"/>
  <c r="K65" i="47"/>
  <c r="E65" i="47"/>
  <c r="B65" i="47"/>
  <c r="N64" i="47"/>
  <c r="N63" i="47"/>
  <c r="N61" i="47"/>
  <c r="N59" i="47"/>
  <c r="K58" i="47"/>
  <c r="H58" i="47"/>
  <c r="N57" i="47"/>
  <c r="N56" i="47"/>
  <c r="N55" i="47"/>
  <c r="N54" i="47"/>
  <c r="N53" i="47"/>
  <c r="N51" i="47"/>
  <c r="N50" i="47"/>
  <c r="N49" i="47"/>
  <c r="N48" i="47"/>
  <c r="N47" i="47"/>
  <c r="N46" i="47"/>
  <c r="N44" i="47"/>
  <c r="N43" i="47"/>
  <c r="N42" i="47"/>
  <c r="N41" i="47"/>
  <c r="N40" i="47"/>
  <c r="N38" i="47"/>
  <c r="N37" i="47"/>
  <c r="N36" i="47"/>
  <c r="N35" i="47"/>
  <c r="N34" i="47"/>
  <c r="E33" i="47"/>
  <c r="B33" i="47"/>
  <c r="N32" i="47"/>
  <c r="N29" i="47"/>
  <c r="N28" i="47"/>
  <c r="N27" i="47"/>
  <c r="N26" i="47"/>
  <c r="N25" i="47"/>
  <c r="E24" i="47"/>
  <c r="M23" i="47"/>
  <c r="J23" i="47"/>
  <c r="M22" i="47"/>
  <c r="J22" i="47"/>
  <c r="M21" i="47"/>
  <c r="J21" i="47"/>
  <c r="M20" i="47"/>
  <c r="J20" i="47"/>
  <c r="M19" i="47"/>
  <c r="N19" i="47" s="1"/>
  <c r="E18" i="47"/>
  <c r="N17" i="47"/>
  <c r="N16" i="47"/>
  <c r="N15" i="47"/>
  <c r="N14" i="47"/>
  <c r="N13" i="47"/>
  <c r="C7" i="47"/>
  <c r="C72" i="47" s="1"/>
  <c r="N133" i="46"/>
  <c r="N132" i="46"/>
  <c r="N131" i="46"/>
  <c r="N130" i="46"/>
  <c r="N129" i="46"/>
  <c r="N127" i="46"/>
  <c r="N126" i="46"/>
  <c r="N125" i="46"/>
  <c r="N124" i="46"/>
  <c r="N123" i="46"/>
  <c r="N121" i="46"/>
  <c r="N120" i="46"/>
  <c r="N119" i="46"/>
  <c r="N118" i="46"/>
  <c r="M116" i="46"/>
  <c r="J116" i="46"/>
  <c r="M115" i="46"/>
  <c r="J115" i="46"/>
  <c r="M114" i="46"/>
  <c r="J114" i="46"/>
  <c r="N114" i="46" s="1"/>
  <c r="K113" i="46"/>
  <c r="H113" i="46"/>
  <c r="N112" i="46"/>
  <c r="N111" i="46"/>
  <c r="N110" i="46"/>
  <c r="N109" i="46"/>
  <c r="N108" i="46"/>
  <c r="N107" i="46"/>
  <c r="K106" i="46"/>
  <c r="H106" i="46"/>
  <c r="N105" i="46"/>
  <c r="N104" i="46"/>
  <c r="N103" i="46"/>
  <c r="N102" i="46"/>
  <c r="N101" i="46"/>
  <c r="K100" i="46"/>
  <c r="H100" i="46"/>
  <c r="N99" i="46"/>
  <c r="N98" i="46"/>
  <c r="N97" i="46"/>
  <c r="N96" i="46"/>
  <c r="N95" i="46"/>
  <c r="K94" i="46"/>
  <c r="H94" i="46"/>
  <c r="N93" i="46"/>
  <c r="N92" i="46"/>
  <c r="N91" i="46"/>
  <c r="N90" i="46"/>
  <c r="N88" i="46"/>
  <c r="K87" i="46"/>
  <c r="H87" i="46"/>
  <c r="N86" i="46"/>
  <c r="N85" i="46"/>
  <c r="N84" i="46"/>
  <c r="N82" i="46"/>
  <c r="N81" i="46"/>
  <c r="N80" i="46"/>
  <c r="N79" i="46"/>
  <c r="D74" i="46"/>
  <c r="O73" i="46"/>
  <c r="I73" i="46"/>
  <c r="O71" i="46"/>
  <c r="F73" i="46" s="1"/>
  <c r="K66" i="46"/>
  <c r="H66" i="46"/>
  <c r="E66" i="46"/>
  <c r="N65" i="46"/>
  <c r="N64" i="46"/>
  <c r="N61" i="46"/>
  <c r="N60" i="46"/>
  <c r="K59" i="46"/>
  <c r="H59" i="46"/>
  <c r="N58" i="46"/>
  <c r="N57" i="46"/>
  <c r="N56" i="46"/>
  <c r="N55" i="46"/>
  <c r="N54" i="46"/>
  <c r="K53" i="46"/>
  <c r="H53" i="46"/>
  <c r="N52" i="46"/>
  <c r="N51" i="46"/>
  <c r="N50" i="46"/>
  <c r="N49" i="46"/>
  <c r="N47" i="46"/>
  <c r="N46" i="46"/>
  <c r="K45" i="46"/>
  <c r="H45" i="46"/>
  <c r="N44" i="46"/>
  <c r="N43" i="46"/>
  <c r="N42" i="46"/>
  <c r="N41" i="46"/>
  <c r="N40" i="46"/>
  <c r="K39" i="46"/>
  <c r="H39" i="46"/>
  <c r="N38" i="46"/>
  <c r="N37" i="46"/>
  <c r="N36" i="46"/>
  <c r="N35" i="46"/>
  <c r="N34" i="46"/>
  <c r="K33" i="46"/>
  <c r="H33" i="46"/>
  <c r="E33" i="46"/>
  <c r="B33" i="46"/>
  <c r="N32" i="46"/>
  <c r="N29" i="46"/>
  <c r="N28" i="46"/>
  <c r="N27" i="46"/>
  <c r="N26" i="46"/>
  <c r="E24" i="46"/>
  <c r="M23" i="46"/>
  <c r="J23" i="46"/>
  <c r="M22" i="46"/>
  <c r="J22" i="46"/>
  <c r="M21" i="46"/>
  <c r="J21" i="46"/>
  <c r="M20" i="46"/>
  <c r="J20" i="46"/>
  <c r="M19" i="46"/>
  <c r="N19" i="46" s="1"/>
  <c r="K18" i="46"/>
  <c r="H18" i="46"/>
  <c r="E18" i="46"/>
  <c r="N17" i="46"/>
  <c r="N16" i="46"/>
  <c r="N15" i="46"/>
  <c r="N14" i="46"/>
  <c r="N13" i="46"/>
  <c r="C7" i="46"/>
  <c r="C73" i="46" s="1"/>
  <c r="N130" i="45"/>
  <c r="N129" i="45"/>
  <c r="N128" i="45"/>
  <c r="N127" i="45"/>
  <c r="N126" i="45"/>
  <c r="N124" i="45"/>
  <c r="N123" i="45"/>
  <c r="N122" i="45"/>
  <c r="N121" i="45"/>
  <c r="N120" i="45"/>
  <c r="N125" i="45" s="1"/>
  <c r="N118" i="45"/>
  <c r="N117" i="45"/>
  <c r="N116" i="45"/>
  <c r="N115" i="45"/>
  <c r="M113" i="45"/>
  <c r="J113" i="45"/>
  <c r="M112" i="45"/>
  <c r="J112" i="45"/>
  <c r="N112" i="45" s="1"/>
  <c r="M111" i="45"/>
  <c r="J111" i="45"/>
  <c r="K110" i="45"/>
  <c r="H110" i="45"/>
  <c r="N109" i="45"/>
  <c r="N108" i="45"/>
  <c r="N107" i="45"/>
  <c r="N106" i="45"/>
  <c r="N105" i="45"/>
  <c r="N104" i="45"/>
  <c r="K103" i="45"/>
  <c r="H103" i="45"/>
  <c r="N102" i="45"/>
  <c r="N101" i="45"/>
  <c r="N100" i="45"/>
  <c r="N99" i="45"/>
  <c r="N98" i="45"/>
  <c r="K97" i="45"/>
  <c r="H97" i="45"/>
  <c r="N96" i="45"/>
  <c r="N95" i="45"/>
  <c r="N94" i="45"/>
  <c r="N93" i="45"/>
  <c r="N92" i="45"/>
  <c r="K91" i="45"/>
  <c r="H91" i="45"/>
  <c r="N90" i="45"/>
  <c r="N89" i="45"/>
  <c r="N88" i="45"/>
  <c r="N86" i="45"/>
  <c r="N85" i="45"/>
  <c r="K84" i="45"/>
  <c r="H84" i="45"/>
  <c r="N83" i="45"/>
  <c r="N82" i="45"/>
  <c r="N81" i="45"/>
  <c r="N80" i="45"/>
  <c r="N79" i="45"/>
  <c r="N78" i="45"/>
  <c r="N77" i="45"/>
  <c r="D72" i="45"/>
  <c r="O71" i="45"/>
  <c r="I71" i="45"/>
  <c r="O69" i="45"/>
  <c r="F71" i="45" s="1"/>
  <c r="K64" i="45"/>
  <c r="H64" i="45"/>
  <c r="E64" i="45"/>
  <c r="B64" i="45"/>
  <c r="N63" i="45"/>
  <c r="N62" i="45"/>
  <c r="N61" i="45"/>
  <c r="N60" i="45"/>
  <c r="N59" i="45"/>
  <c r="K58" i="45"/>
  <c r="H58" i="45"/>
  <c r="N57" i="45"/>
  <c r="N56" i="45"/>
  <c r="N55" i="45"/>
  <c r="N54" i="45"/>
  <c r="N53" i="45"/>
  <c r="K52" i="45"/>
  <c r="H52" i="45"/>
  <c r="N51" i="45"/>
  <c r="N50" i="45"/>
  <c r="N49" i="45"/>
  <c r="N48" i="45"/>
  <c r="N47" i="45"/>
  <c r="N46" i="45"/>
  <c r="K45" i="45"/>
  <c r="H45" i="45"/>
  <c r="N44" i="45"/>
  <c r="N43" i="45"/>
  <c r="N42" i="45"/>
  <c r="N41" i="45"/>
  <c r="N40" i="45"/>
  <c r="K39" i="45"/>
  <c r="H39" i="45"/>
  <c r="N38" i="45"/>
  <c r="N37" i="45"/>
  <c r="N36" i="45"/>
  <c r="N35" i="45"/>
  <c r="N34" i="45"/>
  <c r="K33" i="45"/>
  <c r="H33" i="45"/>
  <c r="E33" i="45"/>
  <c r="N32" i="45"/>
  <c r="N29" i="45"/>
  <c r="N28" i="45"/>
  <c r="N27" i="45"/>
  <c r="N26" i="45"/>
  <c r="N25" i="45"/>
  <c r="E24" i="45"/>
  <c r="M23" i="45"/>
  <c r="J23" i="45"/>
  <c r="M22" i="45"/>
  <c r="J22" i="45"/>
  <c r="M21" i="45"/>
  <c r="J21" i="45"/>
  <c r="N21" i="45" s="1"/>
  <c r="M20" i="45"/>
  <c r="M19" i="45"/>
  <c r="N19" i="45" s="1"/>
  <c r="K18" i="45"/>
  <c r="H18" i="45"/>
  <c r="E18" i="45"/>
  <c r="N17" i="45"/>
  <c r="N16" i="45"/>
  <c r="N15" i="45"/>
  <c r="N14" i="45"/>
  <c r="N13" i="45"/>
  <c r="C7" i="45"/>
  <c r="C71" i="45" s="1"/>
  <c r="O127" i="43"/>
  <c r="N127" i="43"/>
  <c r="O126" i="43"/>
  <c r="N126" i="43"/>
  <c r="O125" i="43"/>
  <c r="N125" i="43"/>
  <c r="O124" i="43"/>
  <c r="N124" i="43"/>
  <c r="N123" i="43"/>
  <c r="O121" i="43"/>
  <c r="N121" i="43"/>
  <c r="O120" i="43"/>
  <c r="N120" i="43"/>
  <c r="N119" i="43"/>
  <c r="N118" i="43"/>
  <c r="N117" i="43"/>
  <c r="E116" i="43"/>
  <c r="B116" i="43"/>
  <c r="P115" i="43"/>
  <c r="O115" i="43"/>
  <c r="N115" i="43"/>
  <c r="P114" i="43"/>
  <c r="O114" i="43"/>
  <c r="N114" i="43"/>
  <c r="P113" i="43"/>
  <c r="O113" i="43"/>
  <c r="N113" i="43"/>
  <c r="N112" i="43"/>
  <c r="M110" i="43"/>
  <c r="J110" i="43"/>
  <c r="P109" i="43"/>
  <c r="O109" i="43"/>
  <c r="M109" i="43"/>
  <c r="J109" i="43"/>
  <c r="M108" i="43"/>
  <c r="J108" i="43"/>
  <c r="K107" i="43"/>
  <c r="H107" i="43"/>
  <c r="E107" i="43"/>
  <c r="B107" i="43"/>
  <c r="N106" i="43"/>
  <c r="N105" i="43"/>
  <c r="N104" i="43"/>
  <c r="O103" i="43"/>
  <c r="N103" i="43"/>
  <c r="O102" i="43"/>
  <c r="N102" i="43"/>
  <c r="N101" i="43"/>
  <c r="K100" i="43"/>
  <c r="H100" i="43"/>
  <c r="E100" i="43"/>
  <c r="B100" i="43"/>
  <c r="P99" i="43"/>
  <c r="O99" i="43"/>
  <c r="N99" i="43"/>
  <c r="P98" i="43"/>
  <c r="O98" i="43"/>
  <c r="N98" i="43"/>
  <c r="P97" i="43"/>
  <c r="O97" i="43"/>
  <c r="N97" i="43"/>
  <c r="P96" i="43"/>
  <c r="O96" i="43"/>
  <c r="N96" i="43"/>
  <c r="N95" i="43"/>
  <c r="N100" i="43" s="1"/>
  <c r="K94" i="43"/>
  <c r="H94" i="43"/>
  <c r="E94" i="43"/>
  <c r="B94" i="43"/>
  <c r="P93" i="43"/>
  <c r="O93" i="43"/>
  <c r="N93" i="43"/>
  <c r="N92" i="43"/>
  <c r="N91" i="43"/>
  <c r="N90" i="43"/>
  <c r="N89" i="43"/>
  <c r="K88" i="43"/>
  <c r="H88" i="43"/>
  <c r="E88" i="43"/>
  <c r="B88" i="43"/>
  <c r="N87" i="43"/>
  <c r="N86" i="43"/>
  <c r="N85" i="43"/>
  <c r="N84" i="43"/>
  <c r="N83" i="43"/>
  <c r="N88" i="43" s="1"/>
  <c r="K82" i="43"/>
  <c r="H82" i="43"/>
  <c r="E82" i="43"/>
  <c r="B82" i="43"/>
  <c r="P81" i="43"/>
  <c r="O81" i="43"/>
  <c r="N81" i="43"/>
  <c r="P80" i="43"/>
  <c r="O80" i="43"/>
  <c r="N80" i="43"/>
  <c r="N79" i="43"/>
  <c r="N78" i="43"/>
  <c r="N77" i="43"/>
  <c r="N76" i="43"/>
  <c r="N75" i="43"/>
  <c r="D70" i="43"/>
  <c r="O69" i="43"/>
  <c r="I69" i="43"/>
  <c r="O67" i="43"/>
  <c r="F69" i="43" s="1"/>
  <c r="K62" i="43"/>
  <c r="H62" i="43"/>
  <c r="E62" i="43"/>
  <c r="B62" i="43"/>
  <c r="N61" i="43"/>
  <c r="N60" i="43"/>
  <c r="N59" i="43"/>
  <c r="N58" i="43"/>
  <c r="N57" i="43"/>
  <c r="K56" i="43"/>
  <c r="H56" i="43"/>
  <c r="E56" i="43"/>
  <c r="B56" i="43"/>
  <c r="P55" i="43"/>
  <c r="O55" i="43"/>
  <c r="N55" i="43"/>
  <c r="N54" i="43"/>
  <c r="P53" i="43"/>
  <c r="O53" i="43"/>
  <c r="N53" i="43"/>
  <c r="P52" i="43"/>
  <c r="O52" i="43"/>
  <c r="N52" i="43"/>
  <c r="O51" i="43"/>
  <c r="N51" i="43"/>
  <c r="N56" i="43" s="1"/>
  <c r="K50" i="43"/>
  <c r="H50" i="43"/>
  <c r="E50" i="43"/>
  <c r="B50" i="43"/>
  <c r="N49" i="43"/>
  <c r="N48" i="43"/>
  <c r="N47" i="43"/>
  <c r="N46" i="43"/>
  <c r="N45" i="43"/>
  <c r="N44" i="43"/>
  <c r="K43" i="43"/>
  <c r="H43" i="43"/>
  <c r="E43" i="43"/>
  <c r="B43" i="43"/>
  <c r="N42" i="43"/>
  <c r="N41" i="43"/>
  <c r="N40" i="43"/>
  <c r="N39" i="43"/>
  <c r="N38" i="43"/>
  <c r="K37" i="43"/>
  <c r="H37" i="43"/>
  <c r="E37" i="43"/>
  <c r="B37" i="43"/>
  <c r="P36" i="43"/>
  <c r="O36" i="43"/>
  <c r="N36" i="43"/>
  <c r="N35" i="43"/>
  <c r="N34" i="43"/>
  <c r="N33" i="43"/>
  <c r="N32" i="43"/>
  <c r="N37" i="43" s="1"/>
  <c r="K31" i="43"/>
  <c r="H31" i="43"/>
  <c r="E31" i="43"/>
  <c r="B31" i="43"/>
  <c r="N30" i="43"/>
  <c r="N29" i="43"/>
  <c r="N28" i="43"/>
  <c r="N27" i="43"/>
  <c r="N26" i="43"/>
  <c r="E24" i="43"/>
  <c r="B24" i="43"/>
  <c r="M23" i="43"/>
  <c r="J23" i="43"/>
  <c r="N23" i="43" s="1"/>
  <c r="N22" i="43"/>
  <c r="M22" i="43"/>
  <c r="J22" i="43"/>
  <c r="M21" i="43"/>
  <c r="N21" i="43" s="1"/>
  <c r="J21" i="43"/>
  <c r="M20" i="43"/>
  <c r="J20" i="43"/>
  <c r="M19" i="43"/>
  <c r="K24" i="43" s="1"/>
  <c r="K18" i="43"/>
  <c r="H18" i="43"/>
  <c r="E18" i="43"/>
  <c r="B18" i="43"/>
  <c r="P17" i="43"/>
  <c r="O17" i="43"/>
  <c r="N17" i="43"/>
  <c r="N16" i="43"/>
  <c r="N15" i="43"/>
  <c r="N14" i="43"/>
  <c r="N13" i="43"/>
  <c r="C69" i="43"/>
  <c r="N28" i="48" l="1"/>
  <c r="N22" i="48"/>
  <c r="N169" i="48"/>
  <c r="H32" i="48"/>
  <c r="K32" i="48"/>
  <c r="N23" i="48"/>
  <c r="N98" i="47"/>
  <c r="N85" i="47"/>
  <c r="N45" i="47"/>
  <c r="N39" i="47"/>
  <c r="N20" i="47"/>
  <c r="N112" i="47"/>
  <c r="N23" i="47"/>
  <c r="N92" i="47"/>
  <c r="N113" i="47"/>
  <c r="N22" i="47"/>
  <c r="N58" i="47"/>
  <c r="N65" i="47"/>
  <c r="N111" i="47"/>
  <c r="N120" i="47"/>
  <c r="K24" i="47"/>
  <c r="N21" i="47"/>
  <c r="N52" i="47"/>
  <c r="N104" i="47"/>
  <c r="N33" i="47"/>
  <c r="N18" i="47"/>
  <c r="N66" i="46"/>
  <c r="N134" i="46"/>
  <c r="N116" i="46"/>
  <c r="N23" i="46"/>
  <c r="N45" i="46"/>
  <c r="N100" i="46"/>
  <c r="N115" i="46"/>
  <c r="N122" i="46" s="1"/>
  <c r="N128" i="46" s="1"/>
  <c r="N20" i="46"/>
  <c r="N22" i="46"/>
  <c r="N39" i="46"/>
  <c r="N94" i="46"/>
  <c r="N113" i="46"/>
  <c r="N59" i="46"/>
  <c r="K24" i="46"/>
  <c r="N21" i="46"/>
  <c r="N33" i="46"/>
  <c r="N53" i="46"/>
  <c r="N87" i="46"/>
  <c r="N106" i="46"/>
  <c r="N18" i="46"/>
  <c r="N23" i="45"/>
  <c r="N113" i="45"/>
  <c r="N58" i="45"/>
  <c r="N91" i="45"/>
  <c r="N22" i="45"/>
  <c r="N131" i="45"/>
  <c r="H24" i="45"/>
  <c r="N111" i="45"/>
  <c r="N119" i="45" s="1"/>
  <c r="J119" i="45"/>
  <c r="N20" i="45"/>
  <c r="N24" i="45" s="1"/>
  <c r="K24" i="45"/>
  <c r="N103" i="45"/>
  <c r="N52" i="45"/>
  <c r="N33" i="45"/>
  <c r="N18" i="45"/>
  <c r="N110" i="43"/>
  <c r="H24" i="47"/>
  <c r="H24" i="46"/>
  <c r="N97" i="45"/>
  <c r="N84" i="45"/>
  <c r="N110" i="45"/>
  <c r="N64" i="45"/>
  <c r="N45" i="45"/>
  <c r="N39" i="45"/>
  <c r="N109" i="43"/>
  <c r="N108" i="43"/>
  <c r="N107" i="43"/>
  <c r="N94" i="43"/>
  <c r="N82" i="43"/>
  <c r="N62" i="43"/>
  <c r="N50" i="43"/>
  <c r="N43" i="43"/>
  <c r="N31" i="43"/>
  <c r="N19" i="43"/>
  <c r="N24" i="43" s="1"/>
  <c r="N18" i="43"/>
  <c r="N32" i="48" l="1"/>
  <c r="N24" i="47"/>
  <c r="N24" i="46"/>
  <c r="N116" i="43"/>
</calcChain>
</file>

<file path=xl/sharedStrings.xml><?xml version="1.0" encoding="utf-8"?>
<sst xmlns="http://schemas.openxmlformats.org/spreadsheetml/2006/main" count="1916" uniqueCount="150">
  <si>
    <t>Anverso</t>
  </si>
  <si>
    <t>SERVICIOS DE SALUD DEL ESTADO DE QUERÉTARO</t>
  </si>
  <si>
    <t>CENTRO NACIONAL PARA LA SALUD DE LA INFANCIA Y ADOLESCENCIA</t>
  </si>
  <si>
    <t>INFORME MENSUAL DE MOVIMIENTO DE BIOLOGICO</t>
  </si>
  <si>
    <r>
      <t xml:space="preserve">1. Identificación: </t>
    </r>
    <r>
      <rPr>
        <b/>
        <sz val="10"/>
        <rFont val="Arial Nova"/>
        <family val="2"/>
      </rPr>
      <t>JURISDICCION SANITARIA N° 1</t>
    </r>
  </si>
  <si>
    <t>MES QUE SE REPORTA:</t>
  </si>
  <si>
    <r>
      <t xml:space="preserve">Entidad Federativa: </t>
    </r>
    <r>
      <rPr>
        <b/>
        <sz val="10"/>
        <rFont val="Arial Nova"/>
        <family val="2"/>
      </rPr>
      <t xml:space="preserve"> QUERÉTARO</t>
    </r>
  </si>
  <si>
    <t>Fecha del corte:</t>
  </si>
  <si>
    <t xml:space="preserve">DIA:  </t>
  </si>
  <si>
    <t>MES:</t>
  </si>
  <si>
    <t>AÑO:</t>
  </si>
  <si>
    <t>UNIDAD DE SALUD:</t>
  </si>
  <si>
    <t xml:space="preserve">Responsable de la Elaboración del Informe: </t>
  </si>
  <si>
    <t>2.Movimiento de Biológico</t>
  </si>
  <si>
    <t>Biológico</t>
  </si>
  <si>
    <r>
      <t xml:space="preserve">Existencia Anterior en 
</t>
    </r>
    <r>
      <rPr>
        <b/>
        <sz val="16"/>
        <color rgb="FFFF0000"/>
        <rFont val="Arial Nova"/>
        <family val="2"/>
      </rPr>
      <t>FRASCOS</t>
    </r>
  </si>
  <si>
    <r>
      <rPr>
        <b/>
        <sz val="16"/>
        <color rgb="FFFF0000"/>
        <rFont val="Arial Nova"/>
        <family val="2"/>
      </rPr>
      <t>FRASCOS</t>
    </r>
    <r>
      <rPr>
        <b/>
        <sz val="16"/>
        <rFont val="Arial Nova"/>
        <family val="2"/>
      </rPr>
      <t xml:space="preserve"> </t>
    </r>
    <r>
      <rPr>
        <b/>
        <sz val="11"/>
        <rFont val="Arial Nova"/>
        <family val="2"/>
      </rPr>
      <t xml:space="preserve">
recibidos con formato de requisición mensual</t>
    </r>
  </si>
  <si>
    <r>
      <rPr>
        <b/>
        <sz val="16"/>
        <color rgb="FFFF0000"/>
        <rFont val="Arial Nova"/>
        <family val="2"/>
      </rPr>
      <t>DOSIS</t>
    </r>
    <r>
      <rPr>
        <b/>
        <sz val="11"/>
        <color rgb="FFFF0000"/>
        <rFont val="Arial Nova"/>
        <family val="2"/>
      </rPr>
      <t xml:space="preserve">
</t>
    </r>
    <r>
      <rPr>
        <b/>
        <sz val="11"/>
        <rFont val="Arial Nova"/>
        <family val="2"/>
      </rPr>
      <t>Aplicadas</t>
    </r>
  </si>
  <si>
    <r>
      <rPr>
        <b/>
        <sz val="16"/>
        <color rgb="FFFF0000"/>
        <rFont val="Arial Nova"/>
        <family val="2"/>
      </rPr>
      <t>DOSIS</t>
    </r>
    <r>
      <rPr>
        <b/>
        <sz val="11"/>
        <rFont val="Arial Nova"/>
        <family val="2"/>
      </rPr>
      <t xml:space="preserve">
Desechadas</t>
    </r>
  </si>
  <si>
    <r>
      <t xml:space="preserve">Existencia final al corte del informe en
</t>
    </r>
    <r>
      <rPr>
        <b/>
        <sz val="16"/>
        <color rgb="FFFF0000"/>
        <rFont val="Arial Nova"/>
        <family val="2"/>
      </rPr>
      <t>FRASCOS</t>
    </r>
  </si>
  <si>
    <t>Observaciones</t>
  </si>
  <si>
    <t>Cantidad</t>
  </si>
  <si>
    <t>Lote</t>
  </si>
  <si>
    <t>Caducidad</t>
  </si>
  <si>
    <r>
      <t xml:space="preserve">B.C.G.
</t>
    </r>
    <r>
      <rPr>
        <sz val="10"/>
        <rFont val="Arial Nova"/>
        <family val="2"/>
      </rPr>
      <t>frasco multidosis</t>
    </r>
  </si>
  <si>
    <r>
      <rPr>
        <b/>
        <sz val="10"/>
        <color rgb="FFFF0000"/>
        <rFont val="Arial Nova"/>
        <family val="2"/>
      </rPr>
      <t>A.R.F.</t>
    </r>
    <r>
      <rPr>
        <sz val="10"/>
        <color theme="1"/>
        <rFont val="Arial Nova"/>
        <family val="2"/>
      </rPr>
      <t xml:space="preserve">
En dictamen o canje</t>
    </r>
  </si>
  <si>
    <t>Total</t>
  </si>
  <si>
    <r>
      <t xml:space="preserve">Hepatitis "B" </t>
    </r>
    <r>
      <rPr>
        <sz val="10"/>
        <rFont val="Arial Nova"/>
        <family val="2"/>
      </rPr>
      <t xml:space="preserve">frasco </t>
    </r>
    <r>
      <rPr>
        <b/>
        <sz val="10"/>
        <color rgb="FFFF0000"/>
        <rFont val="Arial Nova"/>
        <family val="2"/>
      </rPr>
      <t>multidosis</t>
    </r>
  </si>
  <si>
    <r>
      <t xml:space="preserve">Hexavalente </t>
    </r>
    <r>
      <rPr>
        <sz val="10"/>
        <rFont val="Arial Nova"/>
        <family val="2"/>
      </rPr>
      <t>frasco unidosis</t>
    </r>
  </si>
  <si>
    <r>
      <t xml:space="preserve">DPT
 </t>
    </r>
    <r>
      <rPr>
        <sz val="10"/>
        <rFont val="Arial Nova"/>
        <family val="2"/>
      </rPr>
      <t>frasco  multidosis</t>
    </r>
  </si>
  <si>
    <r>
      <t xml:space="preserve">Rotavirus </t>
    </r>
    <r>
      <rPr>
        <b/>
        <sz val="10"/>
        <color rgb="FFFF0000"/>
        <rFont val="Arial Nova"/>
        <family val="2"/>
      </rPr>
      <t>RV1</t>
    </r>
    <r>
      <rPr>
        <b/>
        <sz val="10"/>
        <rFont val="Arial Nova"/>
        <family val="2"/>
      </rPr>
      <t xml:space="preserve">      </t>
    </r>
    <r>
      <rPr>
        <sz val="10"/>
        <rFont val="Arial Nova"/>
        <family val="2"/>
      </rPr>
      <t>frasco unidosis</t>
    </r>
  </si>
  <si>
    <r>
      <t xml:space="preserve">Neumocócica conjugada
</t>
    </r>
    <r>
      <rPr>
        <sz val="10"/>
        <rFont val="Arial Nova"/>
        <family val="2"/>
      </rPr>
      <t>(13 valente)</t>
    </r>
  </si>
  <si>
    <r>
      <t xml:space="preserve">Neumocócica polisacarida
</t>
    </r>
    <r>
      <rPr>
        <sz val="10"/>
        <rFont val="Arial Nova"/>
        <family val="2"/>
      </rPr>
      <t>(23 serotipos)</t>
    </r>
  </si>
  <si>
    <t>Reverso</t>
  </si>
  <si>
    <t xml:space="preserve">Responsable de la Elaboración del Informe:  </t>
  </si>
  <si>
    <r>
      <t xml:space="preserve">SRP 
</t>
    </r>
    <r>
      <rPr>
        <sz val="10"/>
        <rFont val="Arial Nova"/>
        <family val="2"/>
      </rPr>
      <t xml:space="preserve">Triple Viral frasco </t>
    </r>
    <r>
      <rPr>
        <b/>
        <sz val="10"/>
        <color rgb="FFFF0000"/>
        <rFont val="Arial Nova"/>
        <family val="2"/>
      </rPr>
      <t>unidosis</t>
    </r>
  </si>
  <si>
    <r>
      <t>Antiinfluenza Estacional</t>
    </r>
    <r>
      <rPr>
        <sz val="10"/>
        <rFont val="Arial Nova"/>
        <family val="2"/>
      </rPr>
      <t xml:space="preserve"> frasco   10 dosis</t>
    </r>
  </si>
  <si>
    <r>
      <t xml:space="preserve">SR
</t>
    </r>
    <r>
      <rPr>
        <sz val="10"/>
        <rFont val="Arial Nova"/>
        <family val="2"/>
      </rPr>
      <t>frasco multidosis</t>
    </r>
  </si>
  <si>
    <r>
      <t xml:space="preserve">V.P.H.
</t>
    </r>
    <r>
      <rPr>
        <sz val="10"/>
        <rFont val="Arial Nova"/>
        <family val="2"/>
      </rPr>
      <t>Bivalente / Tetravalente</t>
    </r>
  </si>
  <si>
    <r>
      <t xml:space="preserve">Td                   </t>
    </r>
    <r>
      <rPr>
        <sz val="10"/>
        <rFont val="Arial Nova"/>
        <family val="2"/>
      </rPr>
      <t>frasco                  multidosis</t>
    </r>
  </si>
  <si>
    <r>
      <t xml:space="preserve">TDPa
</t>
    </r>
    <r>
      <rPr>
        <sz val="10"/>
        <rFont val="Arial Nova"/>
        <family val="2"/>
      </rPr>
      <t>frasco unidosis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</si>
  <si>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</si>
  <si>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</si>
  <si>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</si>
  <si>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</si>
  <si>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</si>
  <si>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</si>
  <si>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</si>
  <si>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</si>
  <si>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</si>
  <si>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</si>
  <si>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</si>
  <si>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</si>
  <si>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QUERÉTARO</t>
  </si>
  <si>
    <t>CORREGIDORA</t>
  </si>
  <si>
    <t xml:space="preserve">MARQUÉS </t>
  </si>
  <si>
    <t>HUIMILPAN</t>
  </si>
  <si>
    <t>0130W071</t>
  </si>
  <si>
    <t>AC37B393AA</t>
  </si>
  <si>
    <t>Y002782</t>
  </si>
  <si>
    <t>L.E. ANA MARÍA RAMÍREZ MUNGUÍA</t>
  </si>
  <si>
    <t xml:space="preserve"> </t>
  </si>
  <si>
    <t>X3B801V</t>
  </si>
  <si>
    <t>HF2622</t>
  </si>
  <si>
    <t>0353L025</t>
  </si>
  <si>
    <t>AC37B455BG</t>
  </si>
  <si>
    <t>0373G008</t>
  </si>
  <si>
    <t>X3D591V</t>
  </si>
  <si>
    <t>2823X015A</t>
  </si>
  <si>
    <t>AROLD744AA</t>
  </si>
  <si>
    <t>AC37B468BA</t>
  </si>
  <si>
    <t>HF2614</t>
  </si>
  <si>
    <t>0353L020</t>
  </si>
  <si>
    <t>0123W057</t>
  </si>
  <si>
    <t>0133M081B</t>
  </si>
  <si>
    <t>Varicela</t>
  </si>
  <si>
    <t>Hepatitis "A"</t>
  </si>
  <si>
    <t>Y009969</t>
  </si>
  <si>
    <t>29.04.2026</t>
  </si>
  <si>
    <r>
      <t xml:space="preserve">ARF: SP </t>
    </r>
    <r>
      <rPr>
        <sz val="11"/>
        <rFont val="Arial Nova"/>
        <family val="2"/>
      </rPr>
      <t xml:space="preserve">3 Y002782. </t>
    </r>
    <r>
      <rPr>
        <b/>
        <sz val="11"/>
        <rFont val="Arial Nova"/>
        <family val="2"/>
      </rPr>
      <t xml:space="preserve">MENCHACA </t>
    </r>
    <r>
      <rPr>
        <sz val="11"/>
        <rFont val="Arial Nova"/>
        <family val="2"/>
      </rPr>
      <t>1  Y002782</t>
    </r>
  </si>
  <si>
    <t>X3G792V</t>
  </si>
  <si>
    <t>0124W117</t>
  </si>
  <si>
    <t>AROLD821AA</t>
  </si>
  <si>
    <t>0133N090A</t>
  </si>
  <si>
    <t>Z003785</t>
  </si>
  <si>
    <t>CANJE</t>
  </si>
  <si>
    <t>2824Q011A</t>
  </si>
  <si>
    <t>Z008285</t>
  </si>
  <si>
    <t>2805X003A</t>
  </si>
  <si>
    <t>FAZ00046</t>
  </si>
  <si>
    <t>MT4635</t>
  </si>
  <si>
    <t>Z004298</t>
  </si>
  <si>
    <r>
      <t xml:space="preserve">COVID-19
</t>
    </r>
    <r>
      <rPr>
        <b/>
        <sz val="10"/>
        <color rgb="FFC00000"/>
        <rFont val="Arial Nova"/>
        <family val="2"/>
      </rPr>
      <t>MODERNA</t>
    </r>
  </si>
  <si>
    <r>
      <t xml:space="preserve">COVID-19
</t>
    </r>
    <r>
      <rPr>
        <b/>
        <sz val="10"/>
        <color theme="2" tint="-0.499984740745262"/>
        <rFont val="Arial Nova"/>
        <family val="2"/>
      </rPr>
      <t>PFIZER</t>
    </r>
  </si>
  <si>
    <t>0133M086A</t>
  </si>
  <si>
    <t>Y005993</t>
  </si>
  <si>
    <t>FAZ00064</t>
  </si>
  <si>
    <t>FAZ00072</t>
  </si>
  <si>
    <t>0374MA109</t>
  </si>
  <si>
    <r>
      <t>ARF: SP</t>
    </r>
    <r>
      <rPr>
        <sz val="10"/>
        <rFont val="Arial Nova"/>
        <family val="2"/>
      </rPr>
      <t xml:space="preserve"> 0.9 0353L025/1.0 0353L020.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>0.4 0353L025/1.0 0353L020</t>
    </r>
  </si>
  <si>
    <r>
      <t xml:space="preserve">ARF: SP </t>
    </r>
    <r>
      <rPr>
        <sz val="10"/>
        <rFont val="Arial Nova"/>
        <family val="2"/>
      </rPr>
      <t xml:space="preserve">53 X3D591V. </t>
    </r>
    <r>
      <rPr>
        <b/>
        <sz val="10"/>
        <rFont val="Arial Nova"/>
        <family val="2"/>
      </rPr>
      <t>MENCHACA</t>
    </r>
    <r>
      <rPr>
        <sz val="10"/>
        <rFont val="Arial Nova"/>
        <family val="2"/>
      </rPr>
      <t xml:space="preserve"> 36 X3D591V/ 1 X3B801V</t>
    </r>
    <r>
      <rPr>
        <b/>
        <sz val="10"/>
        <rFont val="Arial Nova"/>
        <family val="2"/>
      </rPr>
      <t xml:space="preserve"> SAP</t>
    </r>
    <r>
      <rPr>
        <sz val="10"/>
        <rFont val="Arial Nova"/>
        <family val="2"/>
      </rPr>
      <t xml:space="preserve"> 25 X3D591V</t>
    </r>
  </si>
  <si>
    <r>
      <t>ARF: SP</t>
    </r>
    <r>
      <rPr>
        <sz val="10"/>
        <rFont val="Arial Nova"/>
        <family val="2"/>
      </rPr>
      <t xml:space="preserve"> 2.0 2823X015A.</t>
    </r>
    <r>
      <rPr>
        <b/>
        <sz val="10"/>
        <rFont val="Arial Nova"/>
        <family val="2"/>
      </rPr>
      <t xml:space="preserve"> MENCHACA</t>
    </r>
    <r>
      <rPr>
        <sz val="10"/>
        <rFont val="Arial Nova"/>
        <family val="2"/>
      </rPr>
      <t xml:space="preserve"> 1.9 2823X015A</t>
    </r>
  </si>
  <si>
    <r>
      <t xml:space="preserve">ARF: SP </t>
    </r>
    <r>
      <rPr>
        <sz val="9"/>
        <rFont val="Arial Nova"/>
        <family val="2"/>
      </rPr>
      <t>34 AROLD744AA/</t>
    </r>
    <r>
      <rPr>
        <b/>
        <sz val="9"/>
        <rFont val="Arial Nova"/>
        <family val="2"/>
      </rPr>
      <t xml:space="preserve">MENCHACA </t>
    </r>
    <r>
      <rPr>
        <sz val="9"/>
        <rFont val="Arial Nova"/>
        <family val="2"/>
      </rPr>
      <t xml:space="preserve">43 AROLD744AA </t>
    </r>
    <r>
      <rPr>
        <b/>
        <sz val="9"/>
        <rFont val="Arial Nova"/>
        <family val="2"/>
      </rPr>
      <t>SAP</t>
    </r>
    <r>
      <rPr>
        <sz val="9"/>
        <rFont val="Arial Nova"/>
        <family val="2"/>
      </rPr>
      <t xml:space="preserve"> 8 AROLD744AA. 10 AROLD821AA</t>
    </r>
  </si>
  <si>
    <r>
      <t xml:space="preserve">ARF: SP </t>
    </r>
    <r>
      <rPr>
        <sz val="10"/>
        <rFont val="Arial Nova"/>
        <family val="2"/>
      </rPr>
      <t>15 HF2622/ 30 HF2614.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>50 HF2614/3 HF2622.</t>
    </r>
    <r>
      <rPr>
        <b/>
        <sz val="10"/>
        <rFont val="Arial Nova"/>
        <family val="2"/>
      </rPr>
      <t xml:space="preserve"> SAP </t>
    </r>
    <r>
      <rPr>
        <sz val="10"/>
        <rFont val="Arial Nova"/>
        <family val="2"/>
      </rPr>
      <t>10 HF2622/ 12 HF2614</t>
    </r>
  </si>
  <si>
    <r>
      <t xml:space="preserve">ARF: SP </t>
    </r>
    <r>
      <rPr>
        <sz val="10"/>
        <rFont val="Arial Nova"/>
        <family val="2"/>
      </rPr>
      <t xml:space="preserve">27 0133M081B. </t>
    </r>
    <r>
      <rPr>
        <b/>
        <sz val="10"/>
        <rFont val="Arial Nova"/>
        <family val="2"/>
      </rPr>
      <t xml:space="preserve">MENCHACA </t>
    </r>
    <r>
      <rPr>
        <sz val="10"/>
        <rFont val="Arial Nova"/>
        <family val="2"/>
      </rPr>
      <t>20 0133M081B.</t>
    </r>
    <r>
      <rPr>
        <b/>
        <sz val="10"/>
        <rFont val="Arial Nova"/>
        <family val="2"/>
      </rPr>
      <t xml:space="preserve"> SAP </t>
    </r>
    <r>
      <rPr>
        <sz val="10"/>
        <rFont val="Arial Nova"/>
        <family val="2"/>
      </rPr>
      <t>40 0133M081B</t>
    </r>
  </si>
  <si>
    <r>
      <t xml:space="preserve">ARF: MENCHACA </t>
    </r>
    <r>
      <rPr>
        <sz val="11"/>
        <rFont val="Arial Nova"/>
        <family val="2"/>
      </rPr>
      <t>1.0 0123W057.</t>
    </r>
    <r>
      <rPr>
        <b/>
        <sz val="11"/>
        <rFont val="Arial Nova"/>
        <family val="2"/>
      </rPr>
      <t xml:space="preserve"> SAP </t>
    </r>
    <r>
      <rPr>
        <sz val="11"/>
        <rFont val="Arial Nova"/>
        <family val="2"/>
      </rPr>
      <t>1.0 0124W117</t>
    </r>
  </si>
  <si>
    <r>
      <t xml:space="preserve">ARF: SAP </t>
    </r>
    <r>
      <rPr>
        <sz val="11"/>
        <rFont val="Arial Nova"/>
        <family val="2"/>
      </rPr>
      <t>10 Z003785</t>
    </r>
  </si>
  <si>
    <r>
      <t>ARF: SP</t>
    </r>
    <r>
      <rPr>
        <sz val="10"/>
        <rFont val="Arial Nova"/>
        <family val="2"/>
      </rPr>
      <t xml:space="preserve"> 9 AC37B455BG/15 AC37B468BA.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 xml:space="preserve">21 AC37B468BA. </t>
    </r>
    <r>
      <rPr>
        <b/>
        <sz val="10"/>
        <rFont val="Arial Nova"/>
        <family val="2"/>
      </rPr>
      <t xml:space="preserve">SAP </t>
    </r>
    <r>
      <rPr>
        <sz val="10"/>
        <rFont val="Arial Nova"/>
        <family val="2"/>
      </rPr>
      <t>8 AC37B468BA.</t>
    </r>
  </si>
  <si>
    <t>X3H143V</t>
  </si>
  <si>
    <t>3CA38C5</t>
  </si>
  <si>
    <t>FAZ00112</t>
  </si>
  <si>
    <t>FAZ00106</t>
  </si>
  <si>
    <t>Y3A532V</t>
  </si>
  <si>
    <t>LC5884</t>
  </si>
  <si>
    <t>0133N091A</t>
  </si>
  <si>
    <r>
      <t xml:space="preserve">ARF: SP </t>
    </r>
    <r>
      <rPr>
        <sz val="10"/>
        <rFont val="Arial Nova"/>
        <family val="2"/>
      </rPr>
      <t>15 HF2622/ 30 HF2614.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>50 HF2614/3 HF2622.</t>
    </r>
    <r>
      <rPr>
        <b/>
        <sz val="10"/>
        <rFont val="Arial Nova"/>
        <family val="2"/>
      </rPr>
      <t xml:space="preserve"> SAP</t>
    </r>
    <r>
      <rPr>
        <sz val="10"/>
        <rFont val="Arial Nova"/>
        <family val="2"/>
      </rPr>
      <t xml:space="preserve"> 10 HF2622/ 12 HF2614</t>
    </r>
  </si>
  <si>
    <r>
      <t xml:space="preserve">ARF: SP </t>
    </r>
    <r>
      <rPr>
        <sz val="10"/>
        <rFont val="Arial Nova"/>
        <family val="2"/>
      </rPr>
      <t>27 0133M081B.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>20 0133M081B.</t>
    </r>
    <r>
      <rPr>
        <b/>
        <sz val="10"/>
        <rFont val="Arial Nova"/>
        <family val="2"/>
      </rPr>
      <t xml:space="preserve"> SAP </t>
    </r>
    <r>
      <rPr>
        <sz val="10"/>
        <rFont val="Arial Nova"/>
        <family val="2"/>
      </rPr>
      <t>40 0133M081B</t>
    </r>
  </si>
  <si>
    <r>
      <t xml:space="preserve">ARF: SP </t>
    </r>
    <r>
      <rPr>
        <sz val="10"/>
        <rFont val="Arial Nova"/>
        <family val="2"/>
      </rPr>
      <t>9 AC37B455BG/15 AC37B468BA.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>21 AC37B468BA.</t>
    </r>
    <r>
      <rPr>
        <b/>
        <sz val="10"/>
        <rFont val="Arial Nova"/>
        <family val="2"/>
      </rPr>
      <t xml:space="preserve"> SAP </t>
    </r>
    <r>
      <rPr>
        <sz val="10"/>
        <rFont val="Arial Nova"/>
        <family val="2"/>
      </rPr>
      <t>8 AC37B468BA.</t>
    </r>
  </si>
  <si>
    <t>AROLD903AA</t>
  </si>
  <si>
    <t>0125N118A</t>
  </si>
  <si>
    <t>0125N126A</t>
  </si>
  <si>
    <t>0125N124B</t>
  </si>
  <si>
    <t>Y006661</t>
  </si>
  <si>
    <r>
      <t xml:space="preserve">ARF: SP </t>
    </r>
    <r>
      <rPr>
        <sz val="10"/>
        <rFont val="Arial Nova"/>
        <family val="2"/>
      </rPr>
      <t xml:space="preserve">53 X3D591V. </t>
    </r>
    <r>
      <rPr>
        <b/>
        <sz val="10"/>
        <rFont val="Arial Nova"/>
        <family val="2"/>
      </rPr>
      <t>MENCHACA</t>
    </r>
    <r>
      <rPr>
        <sz val="10"/>
        <rFont val="Arial Nova"/>
        <family val="2"/>
      </rPr>
      <t xml:space="preserve"> 36 X3D591V/ 1 X3B801V</t>
    </r>
    <r>
      <rPr>
        <b/>
        <sz val="10"/>
        <rFont val="Arial Nova"/>
        <family val="2"/>
      </rPr>
      <t xml:space="preserve"> SAP</t>
    </r>
    <r>
      <rPr>
        <sz val="10"/>
        <rFont val="Arial Nova"/>
        <family val="2"/>
      </rPr>
      <t xml:space="preserve"> 25 X3D591V</t>
    </r>
    <r>
      <rPr>
        <b/>
        <sz val="10"/>
        <rFont val="Arial Nova"/>
        <family val="2"/>
      </rPr>
      <t xml:space="preserve"> PEDRO E. </t>
    </r>
    <r>
      <rPr>
        <sz val="10"/>
        <rFont val="Arial Nova"/>
        <family val="2"/>
      </rPr>
      <t>75 Y3A532V/175 X3H143V</t>
    </r>
  </si>
  <si>
    <r>
      <t xml:space="preserve">ARF: SP </t>
    </r>
    <r>
      <rPr>
        <sz val="11"/>
        <rFont val="Arial Nova"/>
        <family val="2"/>
      </rPr>
      <t>3 Y002782.</t>
    </r>
    <r>
      <rPr>
        <b/>
        <sz val="11"/>
        <rFont val="Arial Nova"/>
        <family val="2"/>
      </rPr>
      <t xml:space="preserve"> MENCHACA </t>
    </r>
    <r>
      <rPr>
        <sz val="11"/>
        <rFont val="Arial Nova"/>
        <family val="2"/>
      </rPr>
      <t>1  Y002782</t>
    </r>
    <r>
      <rPr>
        <b/>
        <sz val="11"/>
        <rFont val="Arial Nova"/>
        <family val="2"/>
      </rPr>
      <t xml:space="preserve"> </t>
    </r>
    <r>
      <rPr>
        <b/>
        <sz val="8"/>
        <rFont val="Arial Nova"/>
        <family val="2"/>
      </rPr>
      <t>SE DESECHA POR FECHA DE CADUCIDAD, SE SIGUE EN ESPERA DE DICTAMEN</t>
    </r>
  </si>
  <si>
    <t>FAZ00027</t>
  </si>
  <si>
    <t xml:space="preserve">MARZO </t>
  </si>
  <si>
    <t>MAIS. ANA MARÍA RAMÍREZ MUNGUÍA</t>
  </si>
  <si>
    <r>
      <t xml:space="preserve">ARF: SP </t>
    </r>
    <r>
      <rPr>
        <sz val="10"/>
        <rFont val="Arial Nova"/>
        <family val="2"/>
      </rPr>
      <t xml:space="preserve">53 X3D591V. </t>
    </r>
    <r>
      <rPr>
        <b/>
        <sz val="10"/>
        <rFont val="Arial Nova"/>
        <family val="2"/>
      </rPr>
      <t xml:space="preserve">MENCHACA </t>
    </r>
    <r>
      <rPr>
        <sz val="10"/>
        <rFont val="Arial Nova"/>
        <family val="2"/>
      </rPr>
      <t>36 X3D591V/ 1 X3B801V</t>
    </r>
    <r>
      <rPr>
        <b/>
        <sz val="10"/>
        <rFont val="Arial Nova"/>
        <family val="2"/>
      </rPr>
      <t xml:space="preserve"> SAP </t>
    </r>
    <r>
      <rPr>
        <sz val="10"/>
        <rFont val="Arial Nova"/>
        <family val="2"/>
      </rPr>
      <t xml:space="preserve">25 X3D591V </t>
    </r>
    <r>
      <rPr>
        <b/>
        <sz val="10"/>
        <rFont val="Arial Nova"/>
        <family val="2"/>
      </rPr>
      <t xml:space="preserve">PEDRO E. </t>
    </r>
    <r>
      <rPr>
        <sz val="10"/>
        <rFont val="Arial Nova"/>
        <family val="2"/>
      </rPr>
      <t>75 Y3A532V/175 X3H143V</t>
    </r>
  </si>
  <si>
    <t>HN6635</t>
  </si>
  <si>
    <t>2825Q001A</t>
  </si>
  <si>
    <t>0134N117B</t>
  </si>
  <si>
    <t>Se dan de baja por fecha de caducidad, sin embargo queda pendiente del dictamen 95 dosis.</t>
  </si>
  <si>
    <t>Se dan de baja por fecha de caducidad, sin embargo queda pendiente del dictamen 23 dosis.</t>
  </si>
  <si>
    <t>Se dan de baja por fecha de caducidad, sin embargo queda pendiente del dictamen 39 dosis.</t>
  </si>
  <si>
    <t>Se dan de baja por fecha de caducidad, sin embargo queda pendiente del dictamen 87 dosis.</t>
  </si>
  <si>
    <r>
      <t xml:space="preserve">ARF: SAP </t>
    </r>
    <r>
      <rPr>
        <sz val="11"/>
        <rFont val="Arial Nova"/>
        <family val="2"/>
      </rPr>
      <t>10 Z003785</t>
    </r>
    <r>
      <rPr>
        <b/>
        <sz val="11"/>
        <rFont val="Arial Nova"/>
        <family val="2"/>
      </rPr>
      <t xml:space="preserve">. </t>
    </r>
  </si>
  <si>
    <r>
      <t>ARF:  SAP</t>
    </r>
    <r>
      <rPr>
        <sz val="9"/>
        <rFont val="Arial Nova"/>
        <family val="2"/>
      </rPr>
      <t xml:space="preserve"> 1.0 0124W117</t>
    </r>
    <r>
      <rPr>
        <b/>
        <sz val="9"/>
        <rFont val="Arial Nova"/>
        <family val="2"/>
      </rPr>
      <t xml:space="preserve">. </t>
    </r>
    <r>
      <rPr>
        <sz val="9"/>
        <rFont val="Arial Nova"/>
        <family val="2"/>
      </rPr>
      <t>Se dan de baja por fecha de caducidad, sin embargo queda pendiente del dictamen 10 dosis.</t>
    </r>
  </si>
  <si>
    <t>Se dan de baja por fecha de caducidad, sin embargo queda pendiente del dictamen 53dosis.</t>
  </si>
  <si>
    <r>
      <t xml:space="preserve">ARF: SP </t>
    </r>
    <r>
      <rPr>
        <sz val="10"/>
        <rFont val="Arial Nova"/>
        <family val="2"/>
      </rPr>
      <t>53 X3D591V.</t>
    </r>
    <r>
      <rPr>
        <b/>
        <sz val="10"/>
        <rFont val="Arial Nova"/>
        <family val="2"/>
      </rPr>
      <t xml:space="preserve"> MENCHACA </t>
    </r>
    <r>
      <rPr>
        <sz val="10"/>
        <rFont val="Arial Nova"/>
        <family val="2"/>
      </rPr>
      <t xml:space="preserve">36 X3D591V/ 1 X3B801V </t>
    </r>
    <r>
      <rPr>
        <b/>
        <sz val="10"/>
        <rFont val="Arial Nova"/>
        <family val="2"/>
      </rPr>
      <t>SAP</t>
    </r>
    <r>
      <rPr>
        <sz val="10"/>
        <rFont val="Arial Nova"/>
        <family val="2"/>
      </rPr>
      <t xml:space="preserve"> 25 X3D591V</t>
    </r>
    <r>
      <rPr>
        <b/>
        <sz val="10"/>
        <rFont val="Arial Nova"/>
        <family val="2"/>
      </rPr>
      <t xml:space="preserve"> PEDRO E.</t>
    </r>
    <r>
      <rPr>
        <sz val="10"/>
        <rFont val="Arial Nova"/>
        <family val="2"/>
      </rPr>
      <t xml:space="preserve"> 75 Y3A532V/175 X3H143V</t>
    </r>
  </si>
  <si>
    <r>
      <t xml:space="preserve">ARF:  SAP </t>
    </r>
    <r>
      <rPr>
        <sz val="11"/>
        <rFont val="Arial Nova"/>
        <family val="2"/>
      </rPr>
      <t>1.0 0124W117</t>
    </r>
  </si>
  <si>
    <r>
      <t xml:space="preserve">ARF: SAP </t>
    </r>
    <r>
      <rPr>
        <sz val="11"/>
        <rFont val="Arial Nova"/>
        <family val="2"/>
      </rPr>
      <t xml:space="preserve">10 Z003785. </t>
    </r>
  </si>
  <si>
    <t>08.05.28</t>
  </si>
  <si>
    <t>03.10.26</t>
  </si>
  <si>
    <t>Y004995</t>
  </si>
  <si>
    <t>0125N118B</t>
  </si>
  <si>
    <t>AC37B542BD</t>
  </si>
  <si>
    <t>2805L002A</t>
  </si>
  <si>
    <t>Neumocócica conjugada
(20 valente)</t>
  </si>
  <si>
    <t>VSR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</si>
</sst>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"/>
    <numFmt numFmtId="165" formatCode="_-* #,##0.0_-;\-* #,##0.0_-;_-* &quot;-&quot;_-;_-@_-"/>
    <numFmt numFmtId="166" formatCode="0.0"/>
  </numFmts>
  <fonts count="23">
    <font>
      <sz val="11"/>
      <color theme="1"/>
      <name val="Aptos Narrow"/>
      <family val="2"/>
      <scheme val="minor"/>
    </font>
    <font>
      <b/>
      <sz val="10"/>
      <name val="Arial Nova"/>
      <family val="2"/>
    </font>
    <font>
      <sz val="11"/>
      <color theme="1"/>
      <name val="Arial Nova"/>
      <family val="2"/>
    </font>
    <font>
      <sz val="10"/>
      <name val="Arial Nova"/>
      <family val="2"/>
    </font>
    <font>
      <b/>
      <sz val="11"/>
      <color theme="1"/>
      <name val="Arial Nova"/>
      <family val="2"/>
    </font>
    <font>
      <b/>
      <sz val="11"/>
      <name val="Arial Nova"/>
      <family val="2"/>
    </font>
    <font>
      <sz val="7"/>
      <name val="Arial Nova"/>
      <family val="2"/>
    </font>
    <font>
      <b/>
      <sz val="16"/>
      <color rgb="FFFF0000"/>
      <name val="Arial Nova"/>
      <family val="2"/>
    </font>
    <font>
      <b/>
      <sz val="16"/>
      <name val="Arial Nova"/>
      <family val="2"/>
    </font>
    <font>
      <b/>
      <sz val="11"/>
      <color rgb="FFFF0000"/>
      <name val="Arial Nova"/>
      <family val="2"/>
    </font>
    <font>
      <sz val="11"/>
      <name val="Arial Nova"/>
      <family val="2"/>
    </font>
    <font>
      <sz val="10"/>
      <color theme="1"/>
      <name val="Arial Nova"/>
      <family val="2"/>
    </font>
    <font>
      <b/>
      <sz val="10"/>
      <color rgb="FFFF0000"/>
      <name val="Arial Nova"/>
      <family val="2"/>
    </font>
    <font>
      <b/>
      <sz val="11"/>
      <color rgb="FFDE0000"/>
      <name val="Arial Nova"/>
      <family val="2"/>
    </font>
    <font>
      <b/>
      <sz val="8"/>
      <name val="Arial Nova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Geneva"/>
      <family val="2"/>
    </font>
    <font>
      <b/>
      <sz val="9"/>
      <name val="Arial Nova"/>
      <family val="2"/>
    </font>
    <font>
      <sz val="9"/>
      <name val="Arial Nova"/>
      <family val="2"/>
    </font>
    <font>
      <b/>
      <sz val="10"/>
      <color rgb="FFC00000"/>
      <name val="Arial Nova"/>
      <family val="2"/>
    </font>
    <font>
      <b/>
      <sz val="10"/>
      <color theme="2" tint="-0.499984740745262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E5D8BD"/>
        <bgColor indexed="64"/>
      </patternFill>
    </fill>
    <fill>
      <patternFill patternType="mediumGray">
        <fgColor rgb="FFDDC9A3"/>
        <bgColor auto="1"/>
      </patternFill>
    </fill>
    <fill>
      <patternFill patternType="solid">
        <fgColor rgb="FFEAEAEA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17" fillId="0" borderId="0"/>
    <xf numFmtId="0" fontId="17" fillId="0" borderId="0"/>
    <xf numFmtId="43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</cellStyleXfs>
  <cellXfs count="27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7" fontId="2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/>
    <xf numFmtId="17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" fillId="0" borderId="0" xfId="0" applyNumberFormat="1" applyFont="1"/>
    <xf numFmtId="0" fontId="6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" fontId="5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" fontId="5" fillId="0" borderId="17" xfId="0" applyNumberFormat="1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17" fontId="10" fillId="2" borderId="22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7" fontId="10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" fontId="10" fillId="0" borderId="23" xfId="0" applyNumberFormat="1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17" fontId="10" fillId="2" borderId="29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7" fontId="10" fillId="0" borderId="31" xfId="0" applyNumberFormat="1" applyFont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17" fontId="10" fillId="2" borderId="35" xfId="0" applyNumberFormat="1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17" fontId="10" fillId="0" borderId="35" xfId="0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7" fontId="10" fillId="0" borderId="37" xfId="0" applyNumberFormat="1" applyFont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7" fontId="13" fillId="3" borderId="21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7" fontId="13" fillId="3" borderId="5" xfId="0" applyNumberFormat="1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17" fontId="13" fillId="3" borderId="41" xfId="0" applyNumberFormat="1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17" fontId="13" fillId="3" borderId="43" xfId="0" applyNumberFormat="1" applyFont="1" applyFill="1" applyBorder="1" applyAlignment="1">
      <alignment horizontal="center" vertical="center"/>
    </xf>
    <xf numFmtId="0" fontId="14" fillId="4" borderId="44" xfId="0" applyFont="1" applyFill="1" applyBorder="1" applyAlignment="1">
      <alignment horizontal="center"/>
    </xf>
    <xf numFmtId="0" fontId="5" fillId="4" borderId="4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17" fontId="10" fillId="6" borderId="22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165" fontId="5" fillId="0" borderId="27" xfId="0" applyNumberFormat="1" applyFont="1" applyBorder="1" applyAlignment="1">
      <alignment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17" fontId="2" fillId="6" borderId="29" xfId="0" applyNumberFormat="1" applyFont="1" applyFill="1" applyBorder="1" applyAlignment="1">
      <alignment horizontal="center" vertical="center"/>
    </xf>
    <xf numFmtId="17" fontId="2" fillId="0" borderId="29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165" fontId="5" fillId="0" borderId="34" xfId="0" applyNumberFormat="1" applyFont="1" applyBorder="1" applyAlignment="1">
      <alignment vertical="center"/>
    </xf>
    <xf numFmtId="0" fontId="10" fillId="6" borderId="35" xfId="0" applyFont="1" applyFill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17" fontId="2" fillId="6" borderId="35" xfId="0" applyNumberFormat="1" applyFont="1" applyFill="1" applyBorder="1" applyAlignment="1">
      <alignment horizontal="center" vertical="center"/>
    </xf>
    <xf numFmtId="17" fontId="2" fillId="0" borderId="35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65" fontId="5" fillId="0" borderId="48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7" fontId="13" fillId="3" borderId="3" xfId="0" applyNumberFormat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vertical="center"/>
    </xf>
    <xf numFmtId="0" fontId="13" fillId="3" borderId="26" xfId="0" applyFont="1" applyFill="1" applyBorder="1" applyAlignment="1">
      <alignment vertical="center"/>
    </xf>
    <xf numFmtId="165" fontId="13" fillId="3" borderId="27" xfId="0" applyNumberFormat="1" applyFont="1" applyFill="1" applyBorder="1" applyAlignment="1">
      <alignment vertical="center"/>
    </xf>
    <xf numFmtId="17" fontId="13" fillId="3" borderId="49" xfId="0" applyNumberFormat="1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vertical="center"/>
    </xf>
    <xf numFmtId="0" fontId="13" fillId="3" borderId="16" xfId="0" applyFont="1" applyFill="1" applyBorder="1" applyAlignment="1">
      <alignment vertical="center"/>
    </xf>
    <xf numFmtId="165" fontId="13" fillId="3" borderId="17" xfId="0" applyNumberFormat="1" applyFont="1" applyFill="1" applyBorder="1" applyAlignment="1">
      <alignment vertical="center"/>
    </xf>
    <xf numFmtId="0" fontId="5" fillId="4" borderId="50" xfId="0" applyFont="1" applyFill="1" applyBorder="1" applyAlignment="1">
      <alignment horizontal="center" vertical="center"/>
    </xf>
    <xf numFmtId="17" fontId="10" fillId="6" borderId="29" xfId="0" applyNumberFormat="1" applyFont="1" applyFill="1" applyBorder="1" applyAlignment="1">
      <alignment horizontal="center" vertical="center"/>
    </xf>
    <xf numFmtId="17" fontId="10" fillId="6" borderId="35" xfId="0" applyNumberFormat="1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7" fontId="10" fillId="6" borderId="51" xfId="0" applyNumberFormat="1" applyFont="1" applyFill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" fontId="10" fillId="0" borderId="5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7" fontId="5" fillId="0" borderId="1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7" fontId="5" fillId="0" borderId="17" xfId="0" applyNumberFormat="1" applyFont="1" applyBorder="1" applyAlignment="1">
      <alignment horizontal="center"/>
    </xf>
    <xf numFmtId="17" fontId="2" fillId="0" borderId="39" xfId="0" applyNumberFormat="1" applyFont="1" applyBorder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" fontId="2" fillId="0" borderId="7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" fontId="10" fillId="0" borderId="28" xfId="0" applyNumberFormat="1" applyFont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1" fontId="5" fillId="0" borderId="26" xfId="0" applyNumberFormat="1" applyFont="1" applyBorder="1" applyAlignment="1">
      <alignment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7" fontId="13" fillId="3" borderId="28" xfId="0" applyNumberFormat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" fontId="13" fillId="3" borderId="10" xfId="0" applyNumberFormat="1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17" fontId="13" fillId="3" borderId="22" xfId="0" applyNumberFormat="1" applyFont="1" applyFill="1" applyBorder="1" applyAlignment="1">
      <alignment horizontal="center" vertical="center"/>
    </xf>
    <xf numFmtId="17" fontId="13" fillId="3" borderId="24" xfId="0" applyNumberFormat="1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17" fontId="10" fillId="6" borderId="28" xfId="0" applyNumberFormat="1" applyFont="1" applyFill="1" applyBorder="1" applyAlignment="1">
      <alignment horizontal="center" vertical="center"/>
    </xf>
    <xf numFmtId="17" fontId="2" fillId="0" borderId="38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17" fontId="10" fillId="0" borderId="19" xfId="0" applyNumberFormat="1" applyFont="1" applyBorder="1" applyAlignment="1">
      <alignment horizontal="center" vertical="center"/>
    </xf>
    <xf numFmtId="17" fontId="10" fillId="0" borderId="40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" fontId="13" fillId="3" borderId="51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17" fontId="13" fillId="3" borderId="9" xfId="0" applyNumberFormat="1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17" fontId="13" fillId="3" borderId="29" xfId="0" applyNumberFormat="1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17" fontId="13" fillId="3" borderId="31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" fontId="10" fillId="6" borderId="5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7" fontId="5" fillId="0" borderId="2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17" fontId="5" fillId="6" borderId="22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166" fontId="5" fillId="4" borderId="18" xfId="0" applyNumberFormat="1" applyFont="1" applyFill="1" applyBorder="1" applyAlignment="1">
      <alignment horizontal="center" vertical="center"/>
    </xf>
    <xf numFmtId="166" fontId="5" fillId="4" borderId="19" xfId="0" applyNumberFormat="1" applyFont="1" applyFill="1" applyBorder="1" applyAlignment="1">
      <alignment horizontal="center" vertical="center"/>
    </xf>
    <xf numFmtId="166" fontId="5" fillId="4" borderId="20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" fontId="10" fillId="2" borderId="51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1" fontId="5" fillId="0" borderId="54" xfId="0" applyNumberFormat="1" applyFont="1" applyBorder="1" applyAlignment="1">
      <alignment vertical="center"/>
    </xf>
    <xf numFmtId="165" fontId="5" fillId="0" borderId="55" xfId="0" applyNumberFormat="1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17" fontId="13" fillId="3" borderId="7" xfId="0" applyNumberFormat="1" applyFont="1" applyFill="1" applyBorder="1" applyAlignment="1">
      <alignment horizontal="center" vertical="center"/>
    </xf>
    <xf numFmtId="0" fontId="13" fillId="3" borderId="56" xfId="0" applyFont="1" applyFill="1" applyBorder="1" applyAlignment="1">
      <alignment vertical="center"/>
    </xf>
    <xf numFmtId="0" fontId="13" fillId="3" borderId="57" xfId="0" applyFont="1" applyFill="1" applyBorder="1" applyAlignment="1">
      <alignment vertical="center"/>
    </xf>
    <xf numFmtId="165" fontId="13" fillId="3" borderId="58" xfId="0" applyNumberFormat="1" applyFont="1" applyFill="1" applyBorder="1" applyAlignment="1">
      <alignment vertical="center"/>
    </xf>
    <xf numFmtId="17" fontId="13" fillId="3" borderId="39" xfId="0" applyNumberFormat="1" applyFont="1" applyFill="1" applyBorder="1" applyAlignment="1">
      <alignment horizontal="center" vertical="center"/>
    </xf>
    <xf numFmtId="17" fontId="13" fillId="3" borderId="38" xfId="0" applyNumberFormat="1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vertical="center"/>
    </xf>
    <xf numFmtId="0" fontId="13" fillId="3" borderId="33" xfId="0" applyFont="1" applyFill="1" applyBorder="1" applyAlignment="1">
      <alignment vertical="center"/>
    </xf>
    <xf numFmtId="165" fontId="13" fillId="3" borderId="34" xfId="0" applyNumberFormat="1" applyFont="1" applyFill="1" applyBorder="1" applyAlignment="1">
      <alignment vertical="center"/>
    </xf>
    <xf numFmtId="165" fontId="5" fillId="4" borderId="18" xfId="0" applyNumberFormat="1" applyFont="1" applyFill="1" applyBorder="1" applyAlignment="1">
      <alignment horizontal="center" vertical="center"/>
    </xf>
    <xf numFmtId="165" fontId="5" fillId="4" borderId="46" xfId="0" applyNumberFormat="1" applyFont="1" applyFill="1" applyBorder="1" applyAlignment="1">
      <alignment horizontal="center" vertical="center"/>
    </xf>
  </cellXfs>
  <cellStyles count="9">
    <cellStyle name="Millares 2" xfId="3" xr:uid="{DFE57C8C-5779-4DC5-8B61-FC20052B4126}"/>
    <cellStyle name="Normal" xfId="0" builtinId="0"/>
    <cellStyle name="Normal 10" xfId="7" xr:uid="{FE7252FA-C422-48F4-972A-6AD3648CD54F}"/>
    <cellStyle name="Normal 2" xfId="2" xr:uid="{18274B4F-4920-4B6F-A9D2-C8FDBFFCDCE5}"/>
    <cellStyle name="Normal 3" xfId="1" xr:uid="{C7226BA3-332C-4950-9E16-27437EC6BD44}"/>
    <cellStyle name="Normal 3 2" xfId="5" xr:uid="{C9F8355C-2336-4374-B6DA-A78634F17E62}"/>
    <cellStyle name="Normal 4" xfId="4" xr:uid="{3EA0FDA4-519F-4B22-B8F7-5F5CBE763596}"/>
    <cellStyle name="Normal 8" xfId="6" xr:uid="{4FC327F2-0F21-4174-8127-D12849A60642}"/>
    <cellStyle name="Normal 8 2" xfId="8" xr:uid="{0FA4019D-AF09-492B-B5BA-BF04D102860A}"/>
  </cellStyles>
  <dxfs count="0"/>
  <tableStyles count="0" defaultTableStyle="TableStyleMedium2" defaultPivotStyle="PivotStyleLight16"/>
  <colors>
    <mruColors>
      <color rgb="FF8C6239"/>
      <color rgb="FF2C3E50"/>
      <color rgb="FFD4A373"/>
      <color rgb="FFE76F51"/>
      <color rgb="FF800020"/>
      <color rgb="FF98989A"/>
      <color rgb="FFE6D194"/>
      <color rgb="FFA57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31F9BD-FB54-440A-AEC4-A6E0B15C1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62</xdr:row>
      <xdr:rowOff>38100</xdr:rowOff>
    </xdr:from>
    <xdr:to>
      <xdr:col>16</xdr:col>
      <xdr:colOff>904876</xdr:colOff>
      <xdr:row>66</xdr:row>
      <xdr:rowOff>9066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94E062-43BB-483F-89F8-20E92461F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13420725"/>
          <a:ext cx="2028825" cy="69486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EC3B05-F74F-4C78-B0C6-74CD7F5B1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62</xdr:row>
      <xdr:rowOff>38100</xdr:rowOff>
    </xdr:from>
    <xdr:to>
      <xdr:col>2</xdr:col>
      <xdr:colOff>762000</xdr:colOff>
      <xdr:row>66</xdr:row>
      <xdr:rowOff>57439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F0365B-7DC0-4127-A953-21D065196A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3420725"/>
          <a:ext cx="2400300" cy="743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6CFA03-4112-4FF6-96B6-C21772A4A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64</xdr:row>
      <xdr:rowOff>38100</xdr:rowOff>
    </xdr:from>
    <xdr:to>
      <xdr:col>16</xdr:col>
      <xdr:colOff>904876</xdr:colOff>
      <xdr:row>68</xdr:row>
      <xdr:rowOff>9066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FC3A76-54B6-4ECF-849F-1048BF444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13420725"/>
          <a:ext cx="2028825" cy="69486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6AE80B-3C9B-4BAA-B71F-C2C1B1463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64</xdr:row>
      <xdr:rowOff>38100</xdr:rowOff>
    </xdr:from>
    <xdr:to>
      <xdr:col>2</xdr:col>
      <xdr:colOff>762000</xdr:colOff>
      <xdr:row>68</xdr:row>
      <xdr:rowOff>57439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1C6FA1-4F2E-4541-973B-0FCF62333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3420725"/>
          <a:ext cx="2400300" cy="7432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987E54-5A37-4AB5-8438-F3F92EF4F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66</xdr:row>
      <xdr:rowOff>38100</xdr:rowOff>
    </xdr:from>
    <xdr:to>
      <xdr:col>16</xdr:col>
      <xdr:colOff>904876</xdr:colOff>
      <xdr:row>70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94906-E5CF-4099-B1B9-721AFE166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13420725"/>
          <a:ext cx="2028825" cy="69486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72C728-CBA2-4214-AFAC-685CCC2091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66</xdr:row>
      <xdr:rowOff>38100</xdr:rowOff>
    </xdr:from>
    <xdr:to>
      <xdr:col>2</xdr:col>
      <xdr:colOff>762000</xdr:colOff>
      <xdr:row>70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6C8C22-C057-4D09-B762-667EAC575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3420725"/>
          <a:ext cx="2400300" cy="7432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855CFA-D276-45FA-904B-9385A46CA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65</xdr:row>
      <xdr:rowOff>38100</xdr:rowOff>
    </xdr:from>
    <xdr:to>
      <xdr:col>16</xdr:col>
      <xdr:colOff>904876</xdr:colOff>
      <xdr:row>69</xdr:row>
      <xdr:rowOff>9066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8CDE3B-E390-4124-BE48-81758CA2D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13420725"/>
          <a:ext cx="2028825" cy="69486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54664B-6900-4CDC-828D-EB5E8277A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65</xdr:row>
      <xdr:rowOff>38100</xdr:rowOff>
    </xdr:from>
    <xdr:to>
      <xdr:col>2</xdr:col>
      <xdr:colOff>762000</xdr:colOff>
      <xdr:row>69</xdr:row>
      <xdr:rowOff>57439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824467-962F-475F-BAB1-4FB847DD6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3420725"/>
          <a:ext cx="2400300" cy="7432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AB50CE-0053-4A6A-B934-58C6A7F68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B3D635-DE26-4228-8258-C3E64C26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13420725"/>
          <a:ext cx="2028825" cy="69486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3FCE02-A00D-413A-8267-A2714A9E0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C114D9-111D-4498-A25B-283725AC6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3420725"/>
          <a:ext cx="2400300" cy="7432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F59650-9C86-47EE-A1BD-72BC00C65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2DCB69-1DCF-4CB9-9CD6-C2307432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FA256E-3EFA-4988-B46A-DDF1C4F6F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4B18C9-3F3A-4A73-828E-7DB0FAD54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F2EA84-3A0C-4164-9DB8-F84C1C1BD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252786-CD86-4B8C-B267-8CFE63359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EA0261-C145-49B7-AC0C-44F24EDE0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1AC20E-9542-4557-99A4-C268826A9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8CB60E-9A82-4889-A290-92E6C3C3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42F8A0-D0D3-4B1C-B58C-E2BA30D7C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4F74A0-8119-41F5-A2F6-37D921376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D2FECF-E742-4439-9973-7418A5611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C0D3EB-1DBA-4384-9DB4-BFF960ED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98425-03C8-47D4-8042-C9CEFA55A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C23631-657D-49B3-9F55-3BCC31B89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52F20A-1EFF-4393-8542-8026DC0341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AEB22-34A3-4C1F-A1FF-C45724D4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8D5BE3-D944-4242-9F14-8F639BB7E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45D670-D35C-4F43-85EA-9721AF00D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598817-8720-47D5-903E-13059E1B0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A84DA9-AAB7-42B2-9B94-02572C35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F20C3C-C5F6-40C3-BB92-6D5974DF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448B92-5C7E-4D66-B697-882DE3695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4A4164-3C5B-4280-B4CE-27AFF71FD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1476376</xdr:colOff>
      <xdr:row>0</xdr:row>
      <xdr:rowOff>38100</xdr:rowOff>
    </xdr:from>
    <xdr:to>
      <xdr:col>16</xdr:col>
      <xdr:colOff>904876</xdr:colOff>
      <xdr:row>4</xdr:row>
      <xdr:rowOff>9067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C340F1-A323-4025-A3A6-BFE63D43A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38100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1476376</xdr:colOff>
      <xdr:row>92</xdr:row>
      <xdr:rowOff>38100</xdr:rowOff>
    </xdr:from>
    <xdr:to>
      <xdr:col>16</xdr:col>
      <xdr:colOff>904876</xdr:colOff>
      <xdr:row>96</xdr:row>
      <xdr:rowOff>9067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9A0866-1A00-47C0-9E62-B700D197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6" y="20297775"/>
          <a:ext cx="2028825" cy="69486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0C8E12-C6AE-4BCB-ACDD-4BD6C7A95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400300" cy="7432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38100</xdr:rowOff>
    </xdr:from>
    <xdr:to>
      <xdr:col>2</xdr:col>
      <xdr:colOff>762000</xdr:colOff>
      <xdr:row>96</xdr:row>
      <xdr:rowOff>57440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75AB114-F07A-4954-8777-2D1A6BC95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20297775"/>
          <a:ext cx="2400300" cy="743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A%20MAR&#205;A%20RAM&#205;REZ/Desktop/QrO%202025/SiS%202025/MoViMiEnTo%20De%20BiOlOgICo%2020251.xlsx" TargetMode="External"/><Relationship Id="rId2" Type="http://schemas.openxmlformats.org/officeDocument/2006/relationships/externalLinkPath" Target="file:///C:\Users\ANA%20MAR&#205;A%20RAM&#205;REZ\Desktop\QrO%202025\SiS%202025\MoViMiEnTo%20De%20BiOlOgICo%2020251.xlsx" TargetMode="External"/><Relationship Id="rId1" Type="http://schemas.openxmlformats.org/officeDocument/2006/relationships/externalLinkPath" Target="/Users/ANA%20MAR&#205;A%20RAM&#205;REZ/Desktop/QrO%202025/SiS%202025/MoViMiEnTo%20De%20BiOlOgICo%20202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ENERO</v>
          </cell>
          <cell r="B1">
            <v>31</v>
          </cell>
        </row>
        <row r="2">
          <cell r="A2" t="str">
            <v>FEBRERO</v>
          </cell>
          <cell r="B2">
            <v>28</v>
          </cell>
        </row>
        <row r="3">
          <cell r="A3" t="str">
            <v>MARZO</v>
          </cell>
          <cell r="B3">
            <v>31</v>
          </cell>
        </row>
        <row r="4">
          <cell r="A4" t="str">
            <v>ABRIL</v>
          </cell>
          <cell r="B4">
            <v>30</v>
          </cell>
        </row>
        <row r="5">
          <cell r="A5" t="str">
            <v>MAYO</v>
          </cell>
          <cell r="B5">
            <v>31</v>
          </cell>
        </row>
        <row r="6">
          <cell r="A6" t="str">
            <v>JUNIO</v>
          </cell>
          <cell r="B6">
            <v>30</v>
          </cell>
        </row>
        <row r="7">
          <cell r="A7" t="str">
            <v>JULIO</v>
          </cell>
          <cell r="B7">
            <v>31</v>
          </cell>
        </row>
        <row r="8">
          <cell r="A8" t="str">
            <v>AGOSTO</v>
          </cell>
          <cell r="B8">
            <v>31</v>
          </cell>
        </row>
        <row r="9">
          <cell r="A9" t="str">
            <v>SEPTIEMBRE</v>
          </cell>
          <cell r="B9">
            <v>30</v>
          </cell>
        </row>
        <row r="10">
          <cell r="A10" t="str">
            <v>OCTUBRE</v>
          </cell>
          <cell r="B10">
            <v>31</v>
          </cell>
        </row>
        <row r="11">
          <cell r="A11" t="str">
            <v>NOVIEMBRE</v>
          </cell>
          <cell r="B11">
            <v>30</v>
          </cell>
        </row>
        <row r="12">
          <cell r="A12" t="str">
            <v>DICIEMBRE</v>
          </cell>
          <cell r="B12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C9CB-08CF-4247-BAD2-0B1F817FC155}">
  <sheetPr>
    <tabColor theme="2" tint="-0.249977111117893"/>
  </sheetPr>
  <dimension ref="A1:Q128"/>
  <sheetViews>
    <sheetView showGridLines="0" topLeftCell="A7" zoomScale="70" zoomScaleNormal="70" zoomScaleSheetLayoutView="85" workbookViewId="0">
      <selection activeCell="N25" sqref="N25:N30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245" t="s">
        <v>41</v>
      </c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>
        <v>31</v>
      </c>
      <c r="D7" s="6"/>
      <c r="E7" s="6" t="s">
        <v>9</v>
      </c>
      <c r="F7" s="11" t="s">
        <v>41</v>
      </c>
      <c r="G7" s="1"/>
      <c r="H7" s="8" t="s">
        <v>10</v>
      </c>
      <c r="I7" s="169">
        <v>2026</v>
      </c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>
        <v>136</v>
      </c>
      <c r="C13" s="21" t="s">
        <v>98</v>
      </c>
      <c r="D13" s="22">
        <v>46447</v>
      </c>
      <c r="E13" s="23">
        <v>97</v>
      </c>
      <c r="F13" s="24" t="s">
        <v>98</v>
      </c>
      <c r="G13" s="25">
        <v>46447</v>
      </c>
      <c r="H13" s="201">
        <v>554</v>
      </c>
      <c r="I13" s="202"/>
      <c r="J13" s="203"/>
      <c r="K13" s="201">
        <v>126</v>
      </c>
      <c r="L13" s="202"/>
      <c r="M13" s="203"/>
      <c r="N13" s="26">
        <f>IF((((B13+E13)*10)-(H13+K13))/10=0," ",(((B13+E13)*10)-(H13+K13))/10)</f>
        <v>165</v>
      </c>
      <c r="O13" s="26" t="s">
        <v>98</v>
      </c>
      <c r="P13" s="27">
        <v>46447</v>
      </c>
      <c r="Q13" s="204" t="s">
        <v>85</v>
      </c>
    </row>
    <row r="14" spans="1:17" ht="15" customHeight="1">
      <c r="A14" s="200"/>
      <c r="B14" s="28"/>
      <c r="C14" s="29" t="s">
        <v>61</v>
      </c>
      <c r="D14" s="30" t="s">
        <v>61</v>
      </c>
      <c r="E14" s="31"/>
      <c r="F14" s="32"/>
      <c r="G14" s="33"/>
      <c r="H14" s="207"/>
      <c r="I14" s="208"/>
      <c r="J14" s="209"/>
      <c r="K14" s="207"/>
      <c r="L14" s="208"/>
      <c r="M14" s="209"/>
      <c r="N14" s="34" t="str">
        <f>IF((((B14+E14)*10)-(H14+K14))/10=0," ",(((B14+E14)*10)-(H14+K14))/10)</f>
        <v xml:space="preserve"> </v>
      </c>
      <c r="O14" s="34" t="s">
        <v>61</v>
      </c>
      <c r="P14" s="35" t="s">
        <v>61</v>
      </c>
      <c r="Q14" s="205"/>
    </row>
    <row r="15" spans="1:17" ht="15" customHeight="1" thickBot="1">
      <c r="A15" s="200"/>
      <c r="B15" s="36"/>
      <c r="C15" s="37" t="s">
        <v>61</v>
      </c>
      <c r="D15" s="38" t="s">
        <v>61</v>
      </c>
      <c r="E15" s="39"/>
      <c r="F15" s="40"/>
      <c r="G15" s="41"/>
      <c r="H15" s="210"/>
      <c r="I15" s="211"/>
      <c r="J15" s="212"/>
      <c r="K15" s="210"/>
      <c r="L15" s="211"/>
      <c r="M15" s="212"/>
      <c r="N15" s="42" t="str">
        <f>IF((((B15+E15)*10)-(H15+K15))/10=0," ",(((B15+E15)*10)-(H15+K15))/10)</f>
        <v xml:space="preserve"> </v>
      </c>
      <c r="O15" s="42" t="s">
        <v>61</v>
      </c>
      <c r="P15" s="43" t="s">
        <v>61</v>
      </c>
      <c r="Q15" s="205"/>
    </row>
    <row r="16" spans="1:17" ht="20.100000000000001" customHeight="1">
      <c r="A16" s="213" t="s">
        <v>25</v>
      </c>
      <c r="B16" s="44">
        <v>10</v>
      </c>
      <c r="C16" s="45" t="s">
        <v>66</v>
      </c>
      <c r="D16" s="46">
        <v>45809</v>
      </c>
      <c r="E16" s="47"/>
      <c r="F16" s="45"/>
      <c r="G16" s="46"/>
      <c r="H16" s="215"/>
      <c r="I16" s="216"/>
      <c r="J16" s="217"/>
      <c r="K16" s="215"/>
      <c r="L16" s="216"/>
      <c r="M16" s="217"/>
      <c r="N16" s="44">
        <f>IF((((B16+E16)*10)-(H16+K16))/10=0," ",(((B16+E16)*10)-(H16+K16))/10)</f>
        <v>10</v>
      </c>
      <c r="O16" s="44" t="s">
        <v>66</v>
      </c>
      <c r="P16" s="48">
        <v>45809</v>
      </c>
      <c r="Q16" s="205"/>
    </row>
    <row r="17" spans="1:17" ht="20.100000000000001" customHeight="1" thickBot="1">
      <c r="A17" s="214"/>
      <c r="B17" s="49"/>
      <c r="C17" s="50"/>
      <c r="D17" s="51"/>
      <c r="E17" s="52"/>
      <c r="F17" s="50"/>
      <c r="G17" s="51"/>
      <c r="H17" s="218"/>
      <c r="I17" s="219"/>
      <c r="J17" s="220"/>
      <c r="K17" s="218"/>
      <c r="L17" s="219"/>
      <c r="M17" s="220"/>
      <c r="N17" s="49" t="str">
        <f>IF((((B17+E17)*10)-(H17+K17))/10=0," ",(((B17+E17)*10)-(H17+K17))/10)</f>
        <v xml:space="preserve"> </v>
      </c>
      <c r="O17" s="49" t="str">
        <f t="shared" ref="O17" si="0">IF(F17=0," ",F17)</f>
        <v xml:space="preserve"> </v>
      </c>
      <c r="P17" s="53" t="str">
        <f>IF(G17=0," ",G17)</f>
        <v xml:space="preserve"> </v>
      </c>
      <c r="Q17" s="205"/>
    </row>
    <row r="18" spans="1:17" ht="15" thickBot="1">
      <c r="A18" s="54" t="s">
        <v>26</v>
      </c>
      <c r="B18" s="55">
        <f>IF(SUM(B13:B17)=0," ",SUM(B13:B17))</f>
        <v>146</v>
      </c>
      <c r="C18" s="192"/>
      <c r="D18" s="193"/>
      <c r="E18" s="56">
        <f>IF(SUM(E13:E17)=0," ",SUM(E13:E17))</f>
        <v>97</v>
      </c>
      <c r="F18" s="192"/>
      <c r="G18" s="193"/>
      <c r="H18" s="194">
        <f>IF(SUM(H13:J17)=0," ",SUM(H13:J17))</f>
        <v>554</v>
      </c>
      <c r="I18" s="195"/>
      <c r="J18" s="196"/>
      <c r="K18" s="221">
        <f>IF(SUM(K13:M17)=0," ",SUM(K13:M17))</f>
        <v>126</v>
      </c>
      <c r="L18" s="197"/>
      <c r="M18" s="198"/>
      <c r="N18" s="56">
        <f>IF(SUM(N13:N17)=0," ",SUM(N13:N17))</f>
        <v>175</v>
      </c>
      <c r="O18" s="192"/>
      <c r="P18" s="193"/>
      <c r="Q18" s="206"/>
    </row>
    <row r="19" spans="1:17" ht="15" customHeight="1">
      <c r="A19" s="199" t="s">
        <v>27</v>
      </c>
      <c r="B19" s="59">
        <v>58</v>
      </c>
      <c r="C19" s="60">
        <v>2526240806</v>
      </c>
      <c r="D19" s="61">
        <v>46600</v>
      </c>
      <c r="E19" s="23"/>
      <c r="F19" s="24"/>
      <c r="G19" s="25"/>
      <c r="H19" s="62">
        <v>103</v>
      </c>
      <c r="I19" s="116">
        <v>118</v>
      </c>
      <c r="J19" s="64">
        <f t="shared" ref="J19:J23" si="1">(((H19/2)+(I19)))</f>
        <v>169.5</v>
      </c>
      <c r="K19" s="62">
        <v>1</v>
      </c>
      <c r="L19" s="63">
        <v>66</v>
      </c>
      <c r="M19" s="64">
        <f>(((K19/2)+(L19)))</f>
        <v>66.5</v>
      </c>
      <c r="N19" s="26">
        <f>IFERROR(IF((((B19+E19)*10)-(J19+M19))/10=0," ",(((B19+E19)*10)-(J19+M19))/10)," ")</f>
        <v>34.4</v>
      </c>
      <c r="O19" s="24">
        <v>2526240806</v>
      </c>
      <c r="P19" s="25">
        <v>46600</v>
      </c>
      <c r="Q19" s="199" t="s">
        <v>99</v>
      </c>
    </row>
    <row r="20" spans="1:17" ht="15" customHeight="1">
      <c r="A20" s="200"/>
      <c r="B20" s="65" t="s">
        <v>61</v>
      </c>
      <c r="C20" s="66" t="s">
        <v>61</v>
      </c>
      <c r="D20" s="67" t="s">
        <v>61</v>
      </c>
      <c r="E20" s="31">
        <v>32</v>
      </c>
      <c r="F20" s="32">
        <v>2526241009</v>
      </c>
      <c r="G20" s="68">
        <v>46661</v>
      </c>
      <c r="H20" s="69">
        <v>9</v>
      </c>
      <c r="I20" s="70">
        <v>32</v>
      </c>
      <c r="J20" s="71">
        <f t="shared" si="1"/>
        <v>36.5</v>
      </c>
      <c r="K20" s="69"/>
      <c r="L20" s="70"/>
      <c r="M20" s="71">
        <f t="shared" ref="M20:M23" si="2">(((K20/2)+(L20)))</f>
        <v>0</v>
      </c>
      <c r="N20" s="106">
        <v>28.35</v>
      </c>
      <c r="O20" s="32">
        <v>2526241009</v>
      </c>
      <c r="P20" s="33">
        <v>46661</v>
      </c>
      <c r="Q20" s="200"/>
    </row>
    <row r="21" spans="1:17" ht="15" customHeight="1" thickBot="1">
      <c r="A21" s="200"/>
      <c r="B21" s="72" t="s">
        <v>61</v>
      </c>
      <c r="C21" s="73" t="s">
        <v>61</v>
      </c>
      <c r="D21" s="74" t="s">
        <v>61</v>
      </c>
      <c r="E21" s="39"/>
      <c r="F21" s="40"/>
      <c r="G21" s="75"/>
      <c r="H21" s="76"/>
      <c r="I21" s="77"/>
      <c r="J21" s="78">
        <f t="shared" si="1"/>
        <v>0</v>
      </c>
      <c r="K21" s="79"/>
      <c r="L21" s="80"/>
      <c r="M21" s="78">
        <f t="shared" si="2"/>
        <v>0</v>
      </c>
      <c r="N21" s="39" t="str">
        <f>IFERROR(IF((((B21+E21)*10)-(J21+M21))/10=0," ",(((B21+E21)*10)-(J21+M21))/10)," ")</f>
        <v xml:space="preserve"> </v>
      </c>
      <c r="O21" s="40" t="s">
        <v>61</v>
      </c>
      <c r="P21" s="41" t="s">
        <v>61</v>
      </c>
      <c r="Q21" s="200"/>
    </row>
    <row r="22" spans="1:17" ht="20.100000000000001" customHeight="1">
      <c r="A22" s="213" t="s">
        <v>25</v>
      </c>
      <c r="B22" s="44">
        <v>1.3</v>
      </c>
      <c r="C22" s="45" t="s">
        <v>64</v>
      </c>
      <c r="D22" s="46">
        <v>45931</v>
      </c>
      <c r="E22" s="47"/>
      <c r="F22" s="45"/>
      <c r="G22" s="81"/>
      <c r="H22" s="82"/>
      <c r="I22" s="83"/>
      <c r="J22" s="84">
        <f t="shared" si="1"/>
        <v>0</v>
      </c>
      <c r="K22" s="82"/>
      <c r="L22" s="83"/>
      <c r="M22" s="84">
        <f t="shared" si="2"/>
        <v>0</v>
      </c>
      <c r="N22" s="44">
        <f>IFERROR(IF((((B22+E22)*10)-(J22+M22))/10=0," ",(((B22+E22)*10)-(J22+M22))/10)," ")</f>
        <v>1.3</v>
      </c>
      <c r="O22" s="44" t="s">
        <v>64</v>
      </c>
      <c r="P22" s="48">
        <v>45931</v>
      </c>
      <c r="Q22" s="200"/>
    </row>
    <row r="23" spans="1:17" ht="20.100000000000001" customHeight="1" thickBot="1">
      <c r="A23" s="214"/>
      <c r="B23" s="49">
        <v>2</v>
      </c>
      <c r="C23" s="50" t="s">
        <v>72</v>
      </c>
      <c r="D23" s="51">
        <v>45901</v>
      </c>
      <c r="E23" s="52"/>
      <c r="F23" s="50"/>
      <c r="G23" s="85"/>
      <c r="H23" s="86"/>
      <c r="I23" s="87"/>
      <c r="J23" s="88">
        <f t="shared" si="1"/>
        <v>0</v>
      </c>
      <c r="K23" s="86"/>
      <c r="L23" s="87"/>
      <c r="M23" s="88">
        <f t="shared" si="2"/>
        <v>0</v>
      </c>
      <c r="N23" s="49">
        <f>IFERROR(IF((((B23+E23)*10)-(J23+M23))/10=0," ",(((B23+E23)*10)-(J23+M23))/10)," ")</f>
        <v>2</v>
      </c>
      <c r="O23" s="49" t="s">
        <v>72</v>
      </c>
      <c r="P23" s="53">
        <v>45901</v>
      </c>
      <c r="Q23" s="200"/>
    </row>
    <row r="24" spans="1:17" ht="15.75" customHeight="1" thickBot="1">
      <c r="A24" s="54" t="s">
        <v>26</v>
      </c>
      <c r="B24" s="89">
        <f>IF(SUM(B19:B23)=0," ",SUM(B19:B23))</f>
        <v>61.3</v>
      </c>
      <c r="C24" s="192"/>
      <c r="D24" s="193"/>
      <c r="E24" s="56">
        <f>IF(SUM(E19:E23)=0," ",SUM(E19:E23))</f>
        <v>32</v>
      </c>
      <c r="F24" s="192"/>
      <c r="G24" s="193"/>
      <c r="H24" s="224">
        <f>IF(SUM(J19:J23)=0," ",SUM(J19:J23))</f>
        <v>206</v>
      </c>
      <c r="I24" s="225"/>
      <c r="J24" s="226"/>
      <c r="K24" s="221">
        <f>IF(SUM(M19:M23)=0," ",SUM(M19:M23))</f>
        <v>66.5</v>
      </c>
      <c r="L24" s="197"/>
      <c r="M24" s="198"/>
      <c r="N24" s="56">
        <f>IF(SUM(N19:N23)=0," ",SUM(N19:N23))</f>
        <v>66.05</v>
      </c>
      <c r="O24" s="192"/>
      <c r="P24" s="193"/>
      <c r="Q24" s="223"/>
    </row>
    <row r="25" spans="1:17" ht="15" customHeight="1">
      <c r="A25" s="199" t="s">
        <v>28</v>
      </c>
      <c r="B25" s="59"/>
      <c r="C25" s="60"/>
      <c r="D25" s="61"/>
      <c r="E25" s="26">
        <v>1170</v>
      </c>
      <c r="F25" s="24" t="s">
        <v>112</v>
      </c>
      <c r="G25" s="25">
        <v>46661</v>
      </c>
      <c r="H25" s="201">
        <v>397</v>
      </c>
      <c r="I25" s="202"/>
      <c r="J25" s="203"/>
      <c r="K25" s="201"/>
      <c r="L25" s="202"/>
      <c r="M25" s="203"/>
      <c r="N25" s="26">
        <f>IF(((B25+E25)-(H25+K25))=0," ",((B25+E25)-(H25+K25)))</f>
        <v>773</v>
      </c>
      <c r="O25" s="24" t="s">
        <v>112</v>
      </c>
      <c r="P25" s="25">
        <v>46661</v>
      </c>
      <c r="Q25" s="199" t="s">
        <v>100</v>
      </c>
    </row>
    <row r="26" spans="1:17" ht="15" customHeight="1">
      <c r="A26" s="200"/>
      <c r="B26" s="65">
        <v>4</v>
      </c>
      <c r="C26" s="66" t="s">
        <v>67</v>
      </c>
      <c r="D26" s="90">
        <v>46447</v>
      </c>
      <c r="E26" s="34"/>
      <c r="F26" s="32"/>
      <c r="G26" s="33"/>
      <c r="H26" s="207">
        <v>1</v>
      </c>
      <c r="I26" s="208"/>
      <c r="J26" s="209"/>
      <c r="K26" s="207"/>
      <c r="L26" s="208"/>
      <c r="M26" s="209"/>
      <c r="N26" s="34">
        <f t="shared" ref="N26:N30" si="3">IF(((B26+E26)-(H26+K26))=0," ",((B26+E26)-(H26+K26)))</f>
        <v>3</v>
      </c>
      <c r="O26" s="32" t="s">
        <v>67</v>
      </c>
      <c r="P26" s="33">
        <v>46447</v>
      </c>
      <c r="Q26" s="200"/>
    </row>
    <row r="27" spans="1:17" ht="15" customHeight="1">
      <c r="A27" s="200"/>
      <c r="B27" s="72">
        <v>738</v>
      </c>
      <c r="C27" s="73" t="s">
        <v>80</v>
      </c>
      <c r="D27" s="91">
        <v>46508</v>
      </c>
      <c r="E27" s="42"/>
      <c r="F27" s="40"/>
      <c r="G27" s="41"/>
      <c r="H27" s="210">
        <v>632</v>
      </c>
      <c r="I27" s="211"/>
      <c r="J27" s="212"/>
      <c r="K27" s="119"/>
      <c r="L27" s="120"/>
      <c r="M27" s="121"/>
      <c r="N27" s="34">
        <f t="shared" si="3"/>
        <v>106</v>
      </c>
      <c r="O27" s="40" t="s">
        <v>80</v>
      </c>
      <c r="P27" s="41">
        <v>46508</v>
      </c>
      <c r="Q27" s="200"/>
    </row>
    <row r="28" spans="1:17" ht="15" customHeight="1" thickBot="1">
      <c r="A28" s="200"/>
      <c r="B28" s="72">
        <v>1586</v>
      </c>
      <c r="C28" s="73" t="s">
        <v>108</v>
      </c>
      <c r="D28" s="91">
        <v>46508</v>
      </c>
      <c r="E28" s="42"/>
      <c r="F28" s="40"/>
      <c r="G28" s="41"/>
      <c r="H28" s="210">
        <v>1145</v>
      </c>
      <c r="I28" s="211"/>
      <c r="J28" s="212"/>
      <c r="K28" s="210"/>
      <c r="L28" s="211"/>
      <c r="M28" s="212"/>
      <c r="N28" s="42">
        <f t="shared" si="3"/>
        <v>441</v>
      </c>
      <c r="O28" s="40" t="s">
        <v>108</v>
      </c>
      <c r="P28" s="41">
        <v>46508</v>
      </c>
      <c r="Q28" s="200"/>
    </row>
    <row r="29" spans="1:17" ht="20.100000000000001" customHeight="1">
      <c r="A29" s="213" t="s">
        <v>25</v>
      </c>
      <c r="B29" s="44">
        <v>114</v>
      </c>
      <c r="C29" s="45" t="s">
        <v>67</v>
      </c>
      <c r="D29" s="46">
        <v>46447</v>
      </c>
      <c r="E29" s="47"/>
      <c r="F29" s="45"/>
      <c r="G29" s="46"/>
      <c r="H29" s="215"/>
      <c r="I29" s="216"/>
      <c r="J29" s="217"/>
      <c r="K29" s="215"/>
      <c r="L29" s="216"/>
      <c r="M29" s="217"/>
      <c r="N29" s="44">
        <f t="shared" si="3"/>
        <v>114</v>
      </c>
      <c r="O29" s="44" t="s">
        <v>67</v>
      </c>
      <c r="P29" s="48">
        <v>46447</v>
      </c>
      <c r="Q29" s="200"/>
    </row>
    <row r="30" spans="1:17" ht="20.100000000000001" customHeight="1" thickBot="1">
      <c r="A30" s="214"/>
      <c r="B30" s="49">
        <v>1</v>
      </c>
      <c r="C30" s="50" t="s">
        <v>62</v>
      </c>
      <c r="D30" s="51">
        <v>46174</v>
      </c>
      <c r="E30" s="52"/>
      <c r="F30" s="50"/>
      <c r="G30" s="51"/>
      <c r="H30" s="218"/>
      <c r="I30" s="219"/>
      <c r="J30" s="220"/>
      <c r="K30" s="218"/>
      <c r="L30" s="219"/>
      <c r="M30" s="220"/>
      <c r="N30" s="49">
        <f t="shared" si="3"/>
        <v>1</v>
      </c>
      <c r="O30" s="49" t="s">
        <v>62</v>
      </c>
      <c r="P30" s="53">
        <v>46174</v>
      </c>
      <c r="Q30" s="200"/>
    </row>
    <row r="31" spans="1:17" ht="15.75" customHeight="1" thickBot="1">
      <c r="A31" s="54" t="s">
        <v>26</v>
      </c>
      <c r="B31" s="89">
        <f>IF(SUM(B25:B30)=0," ",SUM(B25:B30))</f>
        <v>2443</v>
      </c>
      <c r="C31" s="192"/>
      <c r="D31" s="193"/>
      <c r="E31" s="56">
        <f>IF(SUM(E25:E30)=0," ",SUM(E25:E30))</f>
        <v>1170</v>
      </c>
      <c r="F31" s="192"/>
      <c r="G31" s="193"/>
      <c r="H31" s="194">
        <f>IF(SUM(H25:J30)=0," ",SUM(H25:J30))</f>
        <v>2175</v>
      </c>
      <c r="I31" s="195"/>
      <c r="J31" s="196"/>
      <c r="K31" s="197" t="str">
        <f>IF(SUM(K25:M30)=0," ",SUM(K25:M30))</f>
        <v xml:space="preserve"> </v>
      </c>
      <c r="L31" s="197"/>
      <c r="M31" s="198"/>
      <c r="N31" s="56">
        <f>IF(SUM(N25:N30)=0," ",SUM(N25:N30))</f>
        <v>1438</v>
      </c>
      <c r="O31" s="192"/>
      <c r="P31" s="193"/>
      <c r="Q31" s="223"/>
    </row>
    <row r="32" spans="1:17" ht="15" customHeight="1">
      <c r="A32" s="199" t="s">
        <v>29</v>
      </c>
      <c r="B32" s="59">
        <v>72</v>
      </c>
      <c r="C32" s="60" t="s">
        <v>86</v>
      </c>
      <c r="D32" s="61">
        <v>46388</v>
      </c>
      <c r="E32" s="26"/>
      <c r="F32" s="24" t="s">
        <v>86</v>
      </c>
      <c r="G32" s="25">
        <v>46388</v>
      </c>
      <c r="H32" s="201">
        <v>354</v>
      </c>
      <c r="I32" s="202"/>
      <c r="J32" s="203"/>
      <c r="K32" s="201">
        <v>34</v>
      </c>
      <c r="L32" s="202"/>
      <c r="M32" s="203"/>
      <c r="N32" s="26">
        <f>IF((((B32+E32)*10)-(H32+K32))/10=0," ",(((B32+E32)*10)-(H32+K32))/10)</f>
        <v>33.200000000000003</v>
      </c>
      <c r="O32" s="24" t="s">
        <v>86</v>
      </c>
      <c r="P32" s="25">
        <v>46388</v>
      </c>
      <c r="Q32" s="199" t="s">
        <v>101</v>
      </c>
    </row>
    <row r="33" spans="1:17" ht="15" customHeight="1">
      <c r="A33" s="200"/>
      <c r="B33" s="65"/>
      <c r="C33" s="66" t="s">
        <v>61</v>
      </c>
      <c r="D33" s="90"/>
      <c r="E33" s="34"/>
      <c r="F33" s="32"/>
      <c r="G33" s="33"/>
      <c r="H33" s="207"/>
      <c r="I33" s="208"/>
      <c r="J33" s="209"/>
      <c r="K33" s="207"/>
      <c r="L33" s="208"/>
      <c r="M33" s="209"/>
      <c r="N33" s="34" t="str">
        <f>IF((((B33+E33)*10)-(H33+K33))/10=0," ",(((B33+E33)*10)-(H33+K33))/10)</f>
        <v xml:space="preserve"> </v>
      </c>
      <c r="O33" s="32" t="s">
        <v>61</v>
      </c>
      <c r="P33" s="33"/>
      <c r="Q33" s="200"/>
    </row>
    <row r="34" spans="1:17" ht="15" customHeight="1" thickBot="1">
      <c r="A34" s="200"/>
      <c r="B34" s="72"/>
      <c r="C34" s="73" t="s">
        <v>61</v>
      </c>
      <c r="D34" s="91" t="s">
        <v>61</v>
      </c>
      <c r="E34" s="42"/>
      <c r="F34" s="40"/>
      <c r="G34" s="41"/>
      <c r="H34" s="210"/>
      <c r="I34" s="211"/>
      <c r="J34" s="212"/>
      <c r="K34" s="210"/>
      <c r="L34" s="211"/>
      <c r="M34" s="212"/>
      <c r="N34" s="42" t="str">
        <f>IF((((B34+E34)*10)-(H34+K34))/10=0," ",(((B34+E34)*10)-(H34+K34))/10)</f>
        <v xml:space="preserve"> </v>
      </c>
      <c r="O34" s="40" t="s">
        <v>61</v>
      </c>
      <c r="P34" s="41" t="s">
        <v>61</v>
      </c>
      <c r="Q34" s="200"/>
    </row>
    <row r="35" spans="1:17" ht="20.100000000000001" customHeight="1">
      <c r="A35" s="213" t="s">
        <v>25</v>
      </c>
      <c r="B35" s="44">
        <v>3.9</v>
      </c>
      <c r="C35" s="45" t="s">
        <v>68</v>
      </c>
      <c r="D35" s="46">
        <v>45870</v>
      </c>
      <c r="E35" s="47"/>
      <c r="F35" s="45"/>
      <c r="G35" s="46"/>
      <c r="H35" s="215"/>
      <c r="I35" s="216"/>
      <c r="J35" s="217"/>
      <c r="K35" s="215"/>
      <c r="L35" s="216"/>
      <c r="M35" s="217"/>
      <c r="N35" s="44">
        <f>IF((((B35+E35)*10)-(H35+K35))/10=0," ",(((B35+E35)*10)-(H35+K35))/10)</f>
        <v>3.9</v>
      </c>
      <c r="O35" s="44" t="s">
        <v>68</v>
      </c>
      <c r="P35" s="48">
        <v>45870</v>
      </c>
      <c r="Q35" s="200"/>
    </row>
    <row r="36" spans="1:17" ht="20.100000000000001" customHeight="1" thickBot="1">
      <c r="A36" s="214"/>
      <c r="B36" s="49"/>
      <c r="C36" s="50"/>
      <c r="D36" s="51"/>
      <c r="E36" s="52"/>
      <c r="F36" s="50"/>
      <c r="G36" s="51"/>
      <c r="H36" s="218"/>
      <c r="I36" s="219"/>
      <c r="J36" s="220"/>
      <c r="K36" s="218"/>
      <c r="L36" s="219"/>
      <c r="M36" s="220"/>
      <c r="N36" s="49" t="str">
        <f>IF((((B36+E36)*10)-(H36+K36))/10=0," ",(((B36+E36)*10)-(H36+K36))/10)</f>
        <v xml:space="preserve"> </v>
      </c>
      <c r="O36" s="49" t="str">
        <f t="shared" ref="O36:P36" si="4">IF(F36=0," ",F36)</f>
        <v xml:space="preserve"> </v>
      </c>
      <c r="P36" s="53" t="str">
        <f t="shared" si="4"/>
        <v xml:space="preserve"> </v>
      </c>
      <c r="Q36" s="200"/>
    </row>
    <row r="37" spans="1:17" ht="15.75" customHeight="1" thickBot="1">
      <c r="A37" s="54" t="s">
        <v>26</v>
      </c>
      <c r="B37" s="89">
        <f>IF(SUM(B32:B36)=0," ",SUM(B32:B36))</f>
        <v>75.900000000000006</v>
      </c>
      <c r="C37" s="192"/>
      <c r="D37" s="193"/>
      <c r="E37" s="56" t="str">
        <f>IF(SUM(E32:E36)=0," ",SUM(E32:E36))</f>
        <v xml:space="preserve"> </v>
      </c>
      <c r="F37" s="192"/>
      <c r="G37" s="193"/>
      <c r="H37" s="194">
        <f>IF(SUM(H32:J36)=0," ",SUM(H32:J36))</f>
        <v>354</v>
      </c>
      <c r="I37" s="195"/>
      <c r="J37" s="196"/>
      <c r="K37" s="197">
        <f>IF(SUM(K32:M36)=0," ",SUM(K32:M36))</f>
        <v>34</v>
      </c>
      <c r="L37" s="197"/>
      <c r="M37" s="198"/>
      <c r="N37" s="56">
        <f>IF(SUM(N32:N36)=0," ",SUM(N32:N36))</f>
        <v>37.1</v>
      </c>
      <c r="O37" s="192"/>
      <c r="P37" s="193"/>
      <c r="Q37" s="223"/>
    </row>
    <row r="38" spans="1:17" ht="15" customHeight="1">
      <c r="A38" s="199" t="s">
        <v>30</v>
      </c>
      <c r="B38" s="59"/>
      <c r="C38" s="60"/>
      <c r="D38" s="61"/>
      <c r="E38" s="26"/>
      <c r="F38" s="24"/>
      <c r="G38" s="25"/>
      <c r="H38" s="201"/>
      <c r="I38" s="202"/>
      <c r="J38" s="203"/>
      <c r="K38" s="201"/>
      <c r="L38" s="202"/>
      <c r="M38" s="203"/>
      <c r="N38" s="26" t="str">
        <f>IF(((B38+E38)-(H38+K38))=0," ",((B38+E38)-(H38+K38)))</f>
        <v xml:space="preserve"> </v>
      </c>
      <c r="O38" s="24"/>
      <c r="P38" s="25"/>
      <c r="Q38" s="227" t="s">
        <v>102</v>
      </c>
    </row>
    <row r="39" spans="1:17" ht="15" customHeight="1">
      <c r="A39" s="200"/>
      <c r="B39" s="65">
        <v>1076</v>
      </c>
      <c r="C39" s="66" t="s">
        <v>82</v>
      </c>
      <c r="D39" s="90">
        <v>46054</v>
      </c>
      <c r="E39" s="34"/>
      <c r="F39" s="32"/>
      <c r="G39" s="33"/>
      <c r="H39" s="207">
        <v>960</v>
      </c>
      <c r="I39" s="208"/>
      <c r="J39" s="209"/>
      <c r="K39" s="207"/>
      <c r="L39" s="208"/>
      <c r="M39" s="209"/>
      <c r="N39" s="34">
        <f>IF(((B39+E39)-(H39+K39))=0," ",((B39+E39)-(H39+K39)))</f>
        <v>116</v>
      </c>
      <c r="O39" s="32" t="s">
        <v>82</v>
      </c>
      <c r="P39" s="33">
        <v>46054</v>
      </c>
      <c r="Q39" s="228"/>
    </row>
    <row r="40" spans="1:17" ht="15" customHeight="1" thickBot="1">
      <c r="A40" s="200"/>
      <c r="B40" s="72"/>
      <c r="C40" s="73"/>
      <c r="D40" s="91"/>
      <c r="E40" s="42">
        <v>705</v>
      </c>
      <c r="F40" s="40" t="s">
        <v>82</v>
      </c>
      <c r="G40" s="41">
        <v>46054</v>
      </c>
      <c r="H40" s="210"/>
      <c r="I40" s="211"/>
      <c r="J40" s="212"/>
      <c r="K40" s="210"/>
      <c r="L40" s="211"/>
      <c r="M40" s="212"/>
      <c r="N40" s="42">
        <f>IF(((B40+E40)-(H40+K40))=0," ",((B40+E40)-(H40+K40)))</f>
        <v>705</v>
      </c>
      <c r="O40" s="40" t="s">
        <v>82</v>
      </c>
      <c r="P40" s="41">
        <v>46054</v>
      </c>
      <c r="Q40" s="228"/>
    </row>
    <row r="41" spans="1:17" ht="20.100000000000001" customHeight="1">
      <c r="A41" s="213" t="s">
        <v>25</v>
      </c>
      <c r="B41" s="44">
        <v>85</v>
      </c>
      <c r="C41" s="45" t="s">
        <v>69</v>
      </c>
      <c r="D41" s="46">
        <v>45992</v>
      </c>
      <c r="E41" s="47"/>
      <c r="F41" s="45"/>
      <c r="G41" s="46"/>
      <c r="H41" s="215"/>
      <c r="I41" s="216"/>
      <c r="J41" s="217"/>
      <c r="K41" s="215"/>
      <c r="L41" s="216"/>
      <c r="M41" s="217"/>
      <c r="N41" s="44">
        <f>IF(((B41+E41)-(H41+K41))=0," ",((B41+E41)-(H41+K41)))</f>
        <v>85</v>
      </c>
      <c r="O41" s="44" t="s">
        <v>69</v>
      </c>
      <c r="P41" s="48">
        <v>45992</v>
      </c>
      <c r="Q41" s="228"/>
    </row>
    <row r="42" spans="1:17" ht="20.100000000000001" customHeight="1" thickBot="1">
      <c r="A42" s="214"/>
      <c r="B42" s="49">
        <v>10</v>
      </c>
      <c r="C42" s="50" t="s">
        <v>82</v>
      </c>
      <c r="D42" s="51">
        <v>46054</v>
      </c>
      <c r="E42" s="52"/>
      <c r="F42" s="50"/>
      <c r="G42" s="51"/>
      <c r="H42" s="218"/>
      <c r="I42" s="219"/>
      <c r="J42" s="220"/>
      <c r="K42" s="218"/>
      <c r="L42" s="219"/>
      <c r="M42" s="220"/>
      <c r="N42" s="49">
        <f>IF(((B42+E42)-(H42+K42))=0," ",((B42+E42)-(H42+K42)))</f>
        <v>10</v>
      </c>
      <c r="O42" s="49" t="s">
        <v>82</v>
      </c>
      <c r="P42" s="53">
        <v>46054</v>
      </c>
      <c r="Q42" s="228"/>
    </row>
    <row r="43" spans="1:17" ht="15.75" customHeight="1" thickBot="1">
      <c r="A43" s="54" t="s">
        <v>26</v>
      </c>
      <c r="B43" s="89">
        <f>IF(SUM(B38:B42)=0," ",SUM(B38:B42))</f>
        <v>1171</v>
      </c>
      <c r="C43" s="192"/>
      <c r="D43" s="193"/>
      <c r="E43" s="56">
        <f>IF(SUM(E38:E42)=0," ",SUM(E38:E42))</f>
        <v>705</v>
      </c>
      <c r="F43" s="192"/>
      <c r="G43" s="193"/>
      <c r="H43" s="194">
        <f>IF(SUM(H38:J42)=0," ",SUM(H38:J42))</f>
        <v>960</v>
      </c>
      <c r="I43" s="195"/>
      <c r="J43" s="196"/>
      <c r="K43" s="197" t="str">
        <f>IF(SUM(K38:M42)=0," ",SUM(K38:M42))</f>
        <v xml:space="preserve"> </v>
      </c>
      <c r="L43" s="197"/>
      <c r="M43" s="198"/>
      <c r="N43" s="56">
        <f>IF(SUM(N38:N42)=0," ",SUM(N38:N42))</f>
        <v>916</v>
      </c>
      <c r="O43" s="192"/>
      <c r="P43" s="193"/>
      <c r="Q43" s="229"/>
    </row>
    <row r="44" spans="1:17" ht="16.5" customHeight="1">
      <c r="A44" s="199" t="s">
        <v>31</v>
      </c>
      <c r="B44" s="59">
        <v>20</v>
      </c>
      <c r="C44" s="60" t="s">
        <v>63</v>
      </c>
      <c r="D44" s="61">
        <v>46204</v>
      </c>
      <c r="E44" s="26"/>
      <c r="F44" s="24"/>
      <c r="G44" s="25"/>
      <c r="H44" s="201">
        <v>10</v>
      </c>
      <c r="I44" s="202"/>
      <c r="J44" s="203"/>
      <c r="K44" s="201"/>
      <c r="L44" s="202"/>
      <c r="M44" s="203"/>
      <c r="N44" s="26">
        <f t="shared" ref="N44:N49" si="5">IF(((B44+E44)-(H44+K44))=0," ",((B44+E44)-(H44+K44)))</f>
        <v>10</v>
      </c>
      <c r="O44" s="60" t="s">
        <v>63</v>
      </c>
      <c r="P44" s="61">
        <v>46204</v>
      </c>
      <c r="Q44" s="199" t="s">
        <v>103</v>
      </c>
    </row>
    <row r="45" spans="1:17" ht="16.5" customHeight="1">
      <c r="A45" s="200"/>
      <c r="B45" s="92">
        <v>1530</v>
      </c>
      <c r="C45" s="93" t="s">
        <v>71</v>
      </c>
      <c r="D45" s="94">
        <v>46235</v>
      </c>
      <c r="E45" s="95"/>
      <c r="F45" s="96"/>
      <c r="G45" s="97"/>
      <c r="H45" s="210">
        <v>1299</v>
      </c>
      <c r="I45" s="211"/>
      <c r="J45" s="212"/>
      <c r="K45" s="210"/>
      <c r="L45" s="211"/>
      <c r="M45" s="212"/>
      <c r="N45" s="95">
        <f t="shared" si="5"/>
        <v>231</v>
      </c>
      <c r="O45" s="93" t="s">
        <v>71</v>
      </c>
      <c r="P45" s="94">
        <v>46235</v>
      </c>
      <c r="Q45" s="200"/>
    </row>
    <row r="46" spans="1:17" ht="16.5" customHeight="1">
      <c r="A46" s="200"/>
      <c r="B46" s="92"/>
      <c r="C46" s="93"/>
      <c r="D46" s="94"/>
      <c r="E46" s="95">
        <v>2895</v>
      </c>
      <c r="F46" s="96" t="s">
        <v>113</v>
      </c>
      <c r="G46" s="97">
        <v>46388</v>
      </c>
      <c r="H46" s="207">
        <v>1214</v>
      </c>
      <c r="I46" s="208"/>
      <c r="J46" s="209"/>
      <c r="K46" s="207"/>
      <c r="L46" s="208"/>
      <c r="M46" s="209"/>
      <c r="N46" s="95">
        <f t="shared" si="5"/>
        <v>1681</v>
      </c>
      <c r="O46" s="93" t="s">
        <v>113</v>
      </c>
      <c r="P46" s="94">
        <v>46388</v>
      </c>
      <c r="Q46" s="200"/>
    </row>
    <row r="47" spans="1:17" ht="16.5" customHeight="1" thickBot="1">
      <c r="A47" s="200"/>
      <c r="B47" s="92"/>
      <c r="C47" s="93"/>
      <c r="D47" s="94"/>
      <c r="E47" s="95"/>
      <c r="F47" s="96"/>
      <c r="G47" s="97"/>
      <c r="H47" s="210"/>
      <c r="I47" s="211"/>
      <c r="J47" s="212"/>
      <c r="K47" s="210"/>
      <c r="L47" s="211"/>
      <c r="M47" s="212"/>
      <c r="N47" s="95" t="str">
        <f t="shared" si="5"/>
        <v xml:space="preserve"> </v>
      </c>
      <c r="O47" s="93"/>
      <c r="P47" s="94"/>
      <c r="Q47" s="200"/>
    </row>
    <row r="48" spans="1:17" ht="20.100000000000001" customHeight="1">
      <c r="A48" s="213" t="s">
        <v>25</v>
      </c>
      <c r="B48" s="44">
        <v>28</v>
      </c>
      <c r="C48" s="45" t="s">
        <v>63</v>
      </c>
      <c r="D48" s="46">
        <v>46204</v>
      </c>
      <c r="E48" s="47"/>
      <c r="F48" s="45"/>
      <c r="G48" s="46"/>
      <c r="H48" s="215"/>
      <c r="I48" s="216"/>
      <c r="J48" s="217"/>
      <c r="K48" s="215"/>
      <c r="L48" s="216"/>
      <c r="M48" s="217"/>
      <c r="N48" s="44">
        <f t="shared" si="5"/>
        <v>28</v>
      </c>
      <c r="O48" s="44" t="s">
        <v>63</v>
      </c>
      <c r="P48" s="48">
        <v>46204</v>
      </c>
      <c r="Q48" s="200"/>
    </row>
    <row r="49" spans="1:17" ht="20.100000000000001" customHeight="1" thickBot="1">
      <c r="A49" s="214"/>
      <c r="B49" s="49">
        <v>92</v>
      </c>
      <c r="C49" s="50" t="s">
        <v>71</v>
      </c>
      <c r="D49" s="51">
        <v>46235</v>
      </c>
      <c r="E49" s="52"/>
      <c r="F49" s="50"/>
      <c r="G49" s="51"/>
      <c r="H49" s="218"/>
      <c r="I49" s="219"/>
      <c r="J49" s="220"/>
      <c r="K49" s="218"/>
      <c r="L49" s="219"/>
      <c r="M49" s="220"/>
      <c r="N49" s="49">
        <f t="shared" si="5"/>
        <v>92</v>
      </c>
      <c r="O49" s="49" t="s">
        <v>71</v>
      </c>
      <c r="P49" s="53">
        <v>46235</v>
      </c>
      <c r="Q49" s="200"/>
    </row>
    <row r="50" spans="1:17" ht="15.75" customHeight="1" thickBot="1">
      <c r="A50" s="54" t="s">
        <v>26</v>
      </c>
      <c r="B50" s="89">
        <f>IF(SUM(B44:B49)=0," ",SUM(B44:B49))</f>
        <v>1670</v>
      </c>
      <c r="C50" s="192"/>
      <c r="D50" s="193"/>
      <c r="E50" s="56">
        <f>IF(SUM(E44:E49)=0," ",SUM(E44:E49))</f>
        <v>2895</v>
      </c>
      <c r="F50" s="192"/>
      <c r="G50" s="193"/>
      <c r="H50" s="194">
        <f>IF(SUM(H44:J49)=0," ",SUM(H44:J49))</f>
        <v>2523</v>
      </c>
      <c r="I50" s="195"/>
      <c r="J50" s="196"/>
      <c r="K50" s="197" t="str">
        <f>IF(SUM(K44:M49)=0," ",SUM(K44:M49))</f>
        <v xml:space="preserve"> </v>
      </c>
      <c r="L50" s="197"/>
      <c r="M50" s="198"/>
      <c r="N50" s="56">
        <f>IF(SUM(N44:N49)=0," ",SUM(N44:N49))</f>
        <v>2042</v>
      </c>
      <c r="O50" s="192"/>
      <c r="P50" s="193"/>
      <c r="Q50" s="223"/>
    </row>
    <row r="51" spans="1:17" ht="18" customHeight="1">
      <c r="A51" s="199" t="s">
        <v>32</v>
      </c>
      <c r="B51" s="59"/>
      <c r="C51" s="24"/>
      <c r="D51" s="25"/>
      <c r="E51" s="26"/>
      <c r="F51" s="24"/>
      <c r="G51" s="25"/>
      <c r="H51" s="201"/>
      <c r="I51" s="202"/>
      <c r="J51" s="203"/>
      <c r="K51" s="201"/>
      <c r="L51" s="202"/>
      <c r="M51" s="203"/>
      <c r="N51" s="26" t="str">
        <f>IF(((B51+E51)-(H51+K51))=0," ",((B51+E51)-(H51+K51)))</f>
        <v xml:space="preserve"> </v>
      </c>
      <c r="O51" s="24" t="str">
        <f t="shared" ref="O51:P55" si="6">IF(F51=0," ",F51)</f>
        <v xml:space="preserve"> </v>
      </c>
      <c r="P51" s="25"/>
      <c r="Q51" s="204" t="s">
        <v>79</v>
      </c>
    </row>
    <row r="52" spans="1:17" ht="18" customHeight="1">
      <c r="A52" s="200"/>
      <c r="B52" s="92"/>
      <c r="C52" s="93"/>
      <c r="D52" s="94"/>
      <c r="E52" s="95"/>
      <c r="F52" s="96"/>
      <c r="G52" s="97"/>
      <c r="H52" s="207"/>
      <c r="I52" s="208"/>
      <c r="J52" s="209"/>
      <c r="K52" s="207"/>
      <c r="L52" s="208"/>
      <c r="M52" s="209"/>
      <c r="N52" s="95" t="str">
        <f>IF(((B52+E52)-(H52+K52))=0," ",((B52+E52)-(H52+K52)))</f>
        <v xml:space="preserve"> </v>
      </c>
      <c r="O52" s="96" t="str">
        <f t="shared" si="6"/>
        <v xml:space="preserve"> </v>
      </c>
      <c r="P52" s="97" t="str">
        <f t="shared" si="6"/>
        <v xml:space="preserve"> </v>
      </c>
      <c r="Q52" s="205"/>
    </row>
    <row r="53" spans="1:17" ht="18" customHeight="1" thickBot="1">
      <c r="A53" s="200"/>
      <c r="B53" s="92"/>
      <c r="C53" s="93"/>
      <c r="D53" s="94"/>
      <c r="E53" s="95"/>
      <c r="F53" s="96"/>
      <c r="G53" s="97"/>
      <c r="H53" s="210"/>
      <c r="I53" s="211"/>
      <c r="J53" s="212"/>
      <c r="K53" s="210"/>
      <c r="L53" s="211"/>
      <c r="M53" s="212"/>
      <c r="N53" s="95" t="str">
        <f>IF(((B53+E53)-(H53+K53))=0," ",((B53+E53)-(H53+K53)))</f>
        <v xml:space="preserve"> </v>
      </c>
      <c r="O53" s="96" t="str">
        <f t="shared" si="6"/>
        <v xml:space="preserve"> </v>
      </c>
      <c r="P53" s="97" t="str">
        <f t="shared" si="6"/>
        <v xml:space="preserve"> </v>
      </c>
      <c r="Q53" s="205"/>
    </row>
    <row r="54" spans="1:17" ht="20.100000000000001" customHeight="1">
      <c r="A54" s="213" t="s">
        <v>25</v>
      </c>
      <c r="B54" s="44">
        <v>4</v>
      </c>
      <c r="C54" s="45" t="s">
        <v>59</v>
      </c>
      <c r="D54" s="46">
        <v>45870</v>
      </c>
      <c r="E54" s="47"/>
      <c r="F54" s="45"/>
      <c r="G54" s="46"/>
      <c r="H54" s="215"/>
      <c r="I54" s="216"/>
      <c r="J54" s="217"/>
      <c r="K54" s="215"/>
      <c r="L54" s="216"/>
      <c r="M54" s="217"/>
      <c r="N54" s="44">
        <f>IF(((B54+E54)-(H54+K54))=0," ",((B54+E54)-(H54+K54)))</f>
        <v>4</v>
      </c>
      <c r="O54" s="44" t="s">
        <v>59</v>
      </c>
      <c r="P54" s="48">
        <v>45870</v>
      </c>
      <c r="Q54" s="205"/>
    </row>
    <row r="55" spans="1:17" ht="20.100000000000001" customHeight="1" thickBot="1">
      <c r="A55" s="214"/>
      <c r="B55" s="49"/>
      <c r="C55" s="50"/>
      <c r="D55" s="51"/>
      <c r="E55" s="52"/>
      <c r="F55" s="50"/>
      <c r="G55" s="51"/>
      <c r="H55" s="218"/>
      <c r="I55" s="219"/>
      <c r="J55" s="220"/>
      <c r="K55" s="218"/>
      <c r="L55" s="219"/>
      <c r="M55" s="220"/>
      <c r="N55" s="49" t="str">
        <f>IF(((B55+E55)-(H55+K55))=0," ",((B55+E55)-(H55+K55)))</f>
        <v xml:space="preserve"> </v>
      </c>
      <c r="O55" s="49" t="str">
        <f t="shared" si="6"/>
        <v xml:space="preserve"> </v>
      </c>
      <c r="P55" s="53" t="str">
        <f t="shared" si="6"/>
        <v xml:space="preserve"> </v>
      </c>
      <c r="Q55" s="205"/>
    </row>
    <row r="56" spans="1:17" ht="15.75" customHeight="1" thickBot="1">
      <c r="A56" s="54" t="s">
        <v>26</v>
      </c>
      <c r="B56" s="89">
        <f>IF(SUM(B51:B55)=0," ",SUM(B51:B55))</f>
        <v>4</v>
      </c>
      <c r="C56" s="192"/>
      <c r="D56" s="193"/>
      <c r="E56" s="56" t="str">
        <f>IF(SUM(E51:E55)=0," ",SUM(E51:E55))</f>
        <v xml:space="preserve"> </v>
      </c>
      <c r="F56" s="192"/>
      <c r="G56" s="193"/>
      <c r="H56" s="194" t="str">
        <f>IF(SUM(H51:J55)=0," ",SUM(H51:J55))</f>
        <v xml:space="preserve"> </v>
      </c>
      <c r="I56" s="195"/>
      <c r="J56" s="196"/>
      <c r="K56" s="197" t="str">
        <f>IF(SUM(K51:M55)=0," ",SUM(K51:M55))</f>
        <v xml:space="preserve"> </v>
      </c>
      <c r="L56" s="197"/>
      <c r="M56" s="198"/>
      <c r="N56" s="56">
        <f>IF(SUM(N51:N55)=0," ",SUM(N51:N55))</f>
        <v>4</v>
      </c>
      <c r="O56" s="192"/>
      <c r="P56" s="193"/>
      <c r="Q56" s="206"/>
    </row>
    <row r="57" spans="1:17" ht="18" customHeight="1">
      <c r="A57" s="199" t="s">
        <v>35</v>
      </c>
      <c r="B57" s="59">
        <v>354</v>
      </c>
      <c r="C57" s="59" t="s">
        <v>83</v>
      </c>
      <c r="D57" s="61">
        <v>46113</v>
      </c>
      <c r="E57" s="26"/>
      <c r="F57" s="24"/>
      <c r="G57" s="25"/>
      <c r="H57" s="201">
        <v>298</v>
      </c>
      <c r="I57" s="202"/>
      <c r="J57" s="203"/>
      <c r="K57" s="201"/>
      <c r="L57" s="202"/>
      <c r="M57" s="203"/>
      <c r="N57" s="26">
        <f>IF(((B57+E57)-(H57+K57))=0," ",((B57+E57)-(H57+K57)))</f>
        <v>56</v>
      </c>
      <c r="O57" s="24" t="s">
        <v>83</v>
      </c>
      <c r="P57" s="25">
        <v>46113</v>
      </c>
      <c r="Q57" s="199" t="s">
        <v>104</v>
      </c>
    </row>
    <row r="58" spans="1:17" ht="18" customHeight="1">
      <c r="A58" s="200"/>
      <c r="B58" s="65">
        <v>2020</v>
      </c>
      <c r="C58" s="65" t="s">
        <v>94</v>
      </c>
      <c r="D58" s="90">
        <v>46113</v>
      </c>
      <c r="E58" s="34"/>
      <c r="F58" s="32"/>
      <c r="G58" s="33"/>
      <c r="H58" s="207">
        <v>1253</v>
      </c>
      <c r="I58" s="208"/>
      <c r="J58" s="209"/>
      <c r="K58" s="207"/>
      <c r="L58" s="208"/>
      <c r="M58" s="209"/>
      <c r="N58" s="34">
        <f>IF(((B58+E58)-(H58+K58))=0," ",((B58+E58)-(H58+K58)))</f>
        <v>767</v>
      </c>
      <c r="O58" s="32" t="s">
        <v>94</v>
      </c>
      <c r="P58" s="33">
        <v>46113</v>
      </c>
      <c r="Q58" s="200"/>
    </row>
    <row r="59" spans="1:17" ht="18" customHeight="1" thickBot="1">
      <c r="A59" s="200"/>
      <c r="B59" s="72"/>
      <c r="C59" s="72"/>
      <c r="D59" s="72"/>
      <c r="E59" s="42">
        <v>765</v>
      </c>
      <c r="F59" s="40" t="s">
        <v>114</v>
      </c>
      <c r="G59" s="41">
        <v>46113</v>
      </c>
      <c r="H59" s="242">
        <v>129</v>
      </c>
      <c r="I59" s="243"/>
      <c r="J59" s="244"/>
      <c r="K59" s="242"/>
      <c r="L59" s="243"/>
      <c r="M59" s="244"/>
      <c r="N59" s="42">
        <f>IF(((B59+E59)-(H59+K59))=0," ",((B59+E59)-(H59+K59)))</f>
        <v>636</v>
      </c>
      <c r="O59" s="40" t="s">
        <v>114</v>
      </c>
      <c r="P59" s="41">
        <v>46113</v>
      </c>
      <c r="Q59" s="200"/>
    </row>
    <row r="60" spans="1:17" ht="20.100000000000001" customHeight="1">
      <c r="A60" s="213" t="s">
        <v>25</v>
      </c>
      <c r="B60" s="44">
        <v>574</v>
      </c>
      <c r="C60" s="47" t="s">
        <v>57</v>
      </c>
      <c r="D60" s="48">
        <v>44713</v>
      </c>
      <c r="E60" s="47"/>
      <c r="F60" s="45"/>
      <c r="G60" s="46"/>
      <c r="H60" s="215"/>
      <c r="I60" s="216"/>
      <c r="J60" s="217"/>
      <c r="K60" s="215"/>
      <c r="L60" s="216"/>
      <c r="M60" s="217"/>
      <c r="N60" s="44">
        <f>IF(((B60+E60)-(H60+K60))=0," ",((B60+E60)-(H60+K60)))</f>
        <v>574</v>
      </c>
      <c r="O60" s="44" t="s">
        <v>57</v>
      </c>
      <c r="P60" s="48">
        <v>44713</v>
      </c>
      <c r="Q60" s="200"/>
    </row>
    <row r="61" spans="1:17" ht="20.100000000000001" customHeight="1" thickBot="1">
      <c r="A61" s="214"/>
      <c r="B61" s="49">
        <v>87</v>
      </c>
      <c r="C61" s="52" t="s">
        <v>74</v>
      </c>
      <c r="D61" s="53">
        <v>46082</v>
      </c>
      <c r="E61" s="52"/>
      <c r="F61" s="50"/>
      <c r="G61" s="51"/>
      <c r="H61" s="218"/>
      <c r="I61" s="219"/>
      <c r="J61" s="220"/>
      <c r="K61" s="218"/>
      <c r="L61" s="219"/>
      <c r="M61" s="220"/>
      <c r="N61" s="49">
        <f>IF(((B61+E61)-(H61+K61))=0," ",((B61+E61)-(H61+K61)))</f>
        <v>87</v>
      </c>
      <c r="O61" s="49" t="s">
        <v>74</v>
      </c>
      <c r="P61" s="53">
        <v>46082</v>
      </c>
      <c r="Q61" s="200"/>
    </row>
    <row r="62" spans="1:17" ht="15.75" customHeight="1" thickBot="1">
      <c r="A62" s="54" t="s">
        <v>26</v>
      </c>
      <c r="B62" s="89">
        <f>IF(SUM(B57:B61)=0," ",SUM(B57:B61))</f>
        <v>3035</v>
      </c>
      <c r="C62" s="192"/>
      <c r="D62" s="193"/>
      <c r="E62" s="56">
        <f>IF(SUM(E57:E61)=0," ",SUM(E57:E61))</f>
        <v>765</v>
      </c>
      <c r="F62" s="192"/>
      <c r="G62" s="193"/>
      <c r="H62" s="194">
        <f>IF(SUM(H57:J61)=0," ",SUM(H57:J61))</f>
        <v>1680</v>
      </c>
      <c r="I62" s="195"/>
      <c r="J62" s="196"/>
      <c r="K62" s="197" t="str">
        <f>IF(SUM(K57:M61)=0," ",SUM(K57:M61))</f>
        <v xml:space="preserve"> </v>
      </c>
      <c r="L62" s="197"/>
      <c r="M62" s="198"/>
      <c r="N62" s="56">
        <f>IF(SUM(N57:N61)=0," ",SUM(N57:N61))</f>
        <v>2120</v>
      </c>
      <c r="O62" s="192"/>
      <c r="P62" s="193"/>
      <c r="Q62" s="223"/>
    </row>
    <row r="63" spans="1:17">
      <c r="A63" s="167" t="s">
        <v>33</v>
      </c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</row>
    <row r="64" spans="1:17">
      <c r="A64" s="167" t="s">
        <v>1</v>
      </c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</row>
    <row r="65" spans="1:17">
      <c r="A65" s="167" t="s">
        <v>2</v>
      </c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</row>
    <row r="66" spans="1:17">
      <c r="A66" s="167" t="s">
        <v>3</v>
      </c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</row>
    <row r="67" spans="1:17" ht="15" customHeight="1">
      <c r="A67" s="3" t="s">
        <v>4</v>
      </c>
      <c r="B67" s="13"/>
      <c r="C67" s="13"/>
      <c r="D67" s="13"/>
      <c r="E67" s="13"/>
      <c r="H67" s="5"/>
      <c r="I67" s="5"/>
      <c r="J67" s="5"/>
      <c r="K67" s="5"/>
      <c r="L67" s="168" t="s">
        <v>5</v>
      </c>
      <c r="M67" s="168"/>
      <c r="N67" s="168"/>
      <c r="O67" s="169" t="str">
        <f>IF(O5=0," ",O5)</f>
        <v>ENERO</v>
      </c>
      <c r="P67" s="169"/>
      <c r="Q67" s="8"/>
    </row>
    <row r="68" spans="1:17">
      <c r="A68" s="187" t="s">
        <v>6</v>
      </c>
      <c r="B68" s="187"/>
      <c r="C68" s="187"/>
      <c r="D68" s="187"/>
      <c r="E68" s="187"/>
      <c r="N68" s="9"/>
      <c r="O68" s="9"/>
      <c r="P68" s="9"/>
      <c r="Q68" s="8"/>
    </row>
    <row r="69" spans="1:17">
      <c r="A69" s="7" t="s">
        <v>7</v>
      </c>
      <c r="B69" s="6" t="s">
        <v>8</v>
      </c>
      <c r="C69" s="10">
        <f>IF(C7=0," ",C7)</f>
        <v>31</v>
      </c>
      <c r="D69" s="6"/>
      <c r="E69" s="6" t="s">
        <v>9</v>
      </c>
      <c r="F69" s="11" t="str">
        <f>O67</f>
        <v>ENERO</v>
      </c>
      <c r="G69" s="1"/>
      <c r="H69" s="8" t="s">
        <v>10</v>
      </c>
      <c r="I69" s="169">
        <f>IF(I7=0," ",I7)</f>
        <v>2026</v>
      </c>
      <c r="J69" s="169"/>
      <c r="K69" s="12"/>
      <c r="L69" s="12"/>
      <c r="M69" s="168" t="s">
        <v>11</v>
      </c>
      <c r="N69" s="168"/>
      <c r="O69" s="169" t="str">
        <f>IF(O7=0," ",O7)</f>
        <v>QUERÉTARO</v>
      </c>
      <c r="P69" s="169"/>
    </row>
    <row r="70" spans="1:17">
      <c r="A70" s="188" t="s">
        <v>34</v>
      </c>
      <c r="B70" s="188"/>
      <c r="C70" s="188"/>
      <c r="D70" s="189" t="str">
        <f>IF(D8=0," ",D8)</f>
        <v>L.E. ANA MARÍA RAMÍREZ MUNGUÍA</v>
      </c>
      <c r="E70" s="189"/>
      <c r="F70" s="189"/>
      <c r="G70" s="189"/>
      <c r="H70" s="189"/>
      <c r="I70" s="189"/>
      <c r="J70" s="189"/>
      <c r="K70" s="189"/>
      <c r="L70" s="189"/>
    </row>
    <row r="71" spans="1:17" ht="15" thickBot="1">
      <c r="A71" s="8" t="s">
        <v>13</v>
      </c>
      <c r="B71" s="13"/>
      <c r="C71" s="13"/>
      <c r="D71" s="13"/>
      <c r="E71" s="13"/>
    </row>
    <row r="72" spans="1:17" ht="22.5" customHeight="1" thickBot="1">
      <c r="A72" s="170" t="s">
        <v>14</v>
      </c>
      <c r="B72" s="171" t="s">
        <v>15</v>
      </c>
      <c r="C72" s="172"/>
      <c r="D72" s="172"/>
      <c r="E72" s="171" t="s">
        <v>16</v>
      </c>
      <c r="F72" s="175"/>
      <c r="G72" s="176"/>
      <c r="H72" s="180" t="s">
        <v>17</v>
      </c>
      <c r="I72" s="175"/>
      <c r="J72" s="176"/>
      <c r="K72" s="171" t="s">
        <v>18</v>
      </c>
      <c r="L72" s="175"/>
      <c r="M72" s="176"/>
      <c r="N72" s="171" t="s">
        <v>19</v>
      </c>
      <c r="O72" s="175"/>
      <c r="P72" s="176"/>
      <c r="Q72" s="190" t="s">
        <v>20</v>
      </c>
    </row>
    <row r="73" spans="1:17" ht="22.5" customHeight="1" thickBot="1">
      <c r="A73" s="170"/>
      <c r="B73" s="173"/>
      <c r="C73" s="174"/>
      <c r="D73" s="174"/>
      <c r="E73" s="177"/>
      <c r="F73" s="178"/>
      <c r="G73" s="179"/>
      <c r="H73" s="181"/>
      <c r="I73" s="182"/>
      <c r="J73" s="183"/>
      <c r="K73" s="181"/>
      <c r="L73" s="182"/>
      <c r="M73" s="183"/>
      <c r="N73" s="177"/>
      <c r="O73" s="178"/>
      <c r="P73" s="179"/>
      <c r="Q73" s="191"/>
    </row>
    <row r="74" spans="1:17" ht="18" customHeight="1" thickBot="1">
      <c r="A74" s="170"/>
      <c r="B74" s="98" t="s">
        <v>21</v>
      </c>
      <c r="C74" s="99" t="s">
        <v>22</v>
      </c>
      <c r="D74" s="100" t="s">
        <v>23</v>
      </c>
      <c r="E74" s="101" t="s">
        <v>21</v>
      </c>
      <c r="F74" s="102" t="s">
        <v>22</v>
      </c>
      <c r="G74" s="103" t="s">
        <v>23</v>
      </c>
      <c r="H74" s="184"/>
      <c r="I74" s="185"/>
      <c r="J74" s="186"/>
      <c r="K74" s="184"/>
      <c r="L74" s="185"/>
      <c r="M74" s="186"/>
      <c r="N74" s="101" t="s">
        <v>21</v>
      </c>
      <c r="O74" s="102" t="s">
        <v>22</v>
      </c>
      <c r="P74" s="103" t="s">
        <v>23</v>
      </c>
      <c r="Q74" s="191"/>
    </row>
    <row r="75" spans="1:17" ht="18.95" customHeight="1">
      <c r="A75" s="199" t="s">
        <v>36</v>
      </c>
      <c r="B75" s="59">
        <v>16.7</v>
      </c>
      <c r="C75" s="59" t="s">
        <v>89</v>
      </c>
      <c r="D75" s="61">
        <v>46174</v>
      </c>
      <c r="E75" s="26"/>
      <c r="F75" s="24"/>
      <c r="G75" s="104"/>
      <c r="H75" s="236">
        <v>61</v>
      </c>
      <c r="I75" s="237"/>
      <c r="J75" s="238"/>
      <c r="K75" s="236"/>
      <c r="L75" s="237"/>
      <c r="M75" s="238"/>
      <c r="N75" s="23">
        <f t="shared" ref="N75:N81" si="7">IF((((B75+E75)*10)-(H75+K75))/10=0," ",(((B75+E75)*10)-(H75+K75))/10)</f>
        <v>10.6</v>
      </c>
      <c r="O75" s="24" t="s">
        <v>89</v>
      </c>
      <c r="P75" s="25">
        <v>46174</v>
      </c>
      <c r="Q75" s="239"/>
    </row>
    <row r="76" spans="1:17" ht="18.95" customHeight="1">
      <c r="A76" s="200"/>
      <c r="B76" s="92">
        <v>89.6</v>
      </c>
      <c r="C76" s="92" t="s">
        <v>96</v>
      </c>
      <c r="D76" s="94">
        <v>46204</v>
      </c>
      <c r="E76" s="95"/>
      <c r="F76" s="96"/>
      <c r="G76" s="105"/>
      <c r="H76" s="210">
        <v>328</v>
      </c>
      <c r="I76" s="211"/>
      <c r="J76" s="212"/>
      <c r="K76" s="210">
        <v>2</v>
      </c>
      <c r="L76" s="211"/>
      <c r="M76" s="212"/>
      <c r="N76" s="106">
        <f t="shared" si="7"/>
        <v>56.6</v>
      </c>
      <c r="O76" s="96" t="s">
        <v>96</v>
      </c>
      <c r="P76" s="97">
        <v>46204</v>
      </c>
      <c r="Q76" s="240"/>
    </row>
    <row r="77" spans="1:17" ht="18.95" customHeight="1">
      <c r="A77" s="200"/>
      <c r="B77" s="65">
        <v>743.6</v>
      </c>
      <c r="C77" s="65" t="s">
        <v>97</v>
      </c>
      <c r="D77" s="90">
        <v>46204</v>
      </c>
      <c r="E77" s="34"/>
      <c r="F77" s="32"/>
      <c r="G77" s="133"/>
      <c r="H77" s="210">
        <v>3954</v>
      </c>
      <c r="I77" s="211"/>
      <c r="J77" s="212"/>
      <c r="K77" s="119"/>
      <c r="L77" s="120"/>
      <c r="M77" s="121"/>
      <c r="N77" s="106">
        <f t="shared" si="7"/>
        <v>348.2</v>
      </c>
      <c r="O77" s="32" t="s">
        <v>97</v>
      </c>
      <c r="P77" s="33">
        <v>46204</v>
      </c>
      <c r="Q77" s="240"/>
    </row>
    <row r="78" spans="1:17" ht="18.95" customHeight="1">
      <c r="A78" s="200"/>
      <c r="B78" s="65">
        <v>2486</v>
      </c>
      <c r="C78" s="65" t="s">
        <v>110</v>
      </c>
      <c r="D78" s="90">
        <v>46266</v>
      </c>
      <c r="E78" s="34"/>
      <c r="F78" s="32"/>
      <c r="G78" s="133"/>
      <c r="H78" s="210">
        <v>7153</v>
      </c>
      <c r="I78" s="211"/>
      <c r="J78" s="212"/>
      <c r="K78" s="119"/>
      <c r="L78" s="120"/>
      <c r="M78" s="121"/>
      <c r="N78" s="106">
        <f t="shared" si="7"/>
        <v>1770.7</v>
      </c>
      <c r="O78" s="32" t="s">
        <v>110</v>
      </c>
      <c r="P78" s="33">
        <v>46266</v>
      </c>
      <c r="Q78" s="240"/>
    </row>
    <row r="79" spans="1:17" ht="18.95" customHeight="1" thickBot="1">
      <c r="A79" s="200"/>
      <c r="B79" s="107">
        <v>688</v>
      </c>
      <c r="C79" s="107" t="s">
        <v>111</v>
      </c>
      <c r="D79" s="132">
        <v>46235</v>
      </c>
      <c r="E79" s="108"/>
      <c r="F79" s="109"/>
      <c r="G79" s="110"/>
      <c r="H79" s="184"/>
      <c r="I79" s="185"/>
      <c r="J79" s="186"/>
      <c r="K79" s="184"/>
      <c r="L79" s="185"/>
      <c r="M79" s="186"/>
      <c r="N79" s="111">
        <f t="shared" si="7"/>
        <v>688</v>
      </c>
      <c r="O79" s="109" t="s">
        <v>111</v>
      </c>
      <c r="P79" s="112">
        <v>46235</v>
      </c>
      <c r="Q79" s="240"/>
    </row>
    <row r="80" spans="1:17" ht="20.100000000000001" customHeight="1">
      <c r="A80" s="213" t="s">
        <v>25</v>
      </c>
      <c r="B80" s="44"/>
      <c r="C80" s="47"/>
      <c r="D80" s="47"/>
      <c r="E80" s="47"/>
      <c r="F80" s="45"/>
      <c r="G80" s="81"/>
      <c r="H80" s="215"/>
      <c r="I80" s="216"/>
      <c r="J80" s="217"/>
      <c r="K80" s="215"/>
      <c r="L80" s="216"/>
      <c r="M80" s="217"/>
      <c r="N80" s="47" t="str">
        <f t="shared" si="7"/>
        <v xml:space="preserve"> </v>
      </c>
      <c r="O80" s="44" t="str">
        <f t="shared" ref="O80:P81" si="8">IF(F80=0," ",F80)</f>
        <v xml:space="preserve"> </v>
      </c>
      <c r="P80" s="48" t="str">
        <f t="shared" si="8"/>
        <v xml:space="preserve"> </v>
      </c>
      <c r="Q80" s="240"/>
    </row>
    <row r="81" spans="1:17" ht="20.100000000000001" customHeight="1" thickBot="1">
      <c r="A81" s="214"/>
      <c r="B81" s="49"/>
      <c r="C81" s="52"/>
      <c r="D81" s="52"/>
      <c r="E81" s="52"/>
      <c r="F81" s="50"/>
      <c r="G81" s="85"/>
      <c r="H81" s="233"/>
      <c r="I81" s="234"/>
      <c r="J81" s="235"/>
      <c r="K81" s="233"/>
      <c r="L81" s="234"/>
      <c r="M81" s="235"/>
      <c r="N81" s="52" t="str">
        <f t="shared" si="7"/>
        <v xml:space="preserve"> </v>
      </c>
      <c r="O81" s="49" t="str">
        <f t="shared" si="8"/>
        <v xml:space="preserve"> </v>
      </c>
      <c r="P81" s="53" t="str">
        <f t="shared" si="8"/>
        <v xml:space="preserve"> </v>
      </c>
      <c r="Q81" s="240"/>
    </row>
    <row r="82" spans="1:17" ht="15.75" customHeight="1" thickBot="1">
      <c r="A82" s="54" t="s">
        <v>26</v>
      </c>
      <c r="B82" s="57">
        <f>IF(SUM(B75:B81)=0," ",SUM(B75:B81))</f>
        <v>4023.9</v>
      </c>
      <c r="C82" s="192"/>
      <c r="D82" s="193"/>
      <c r="E82" s="56" t="str">
        <f>IF(SUM(E75:E81)=0," ",SUM(E75:E81))</f>
        <v xml:space="preserve"> </v>
      </c>
      <c r="F82" s="192"/>
      <c r="G82" s="193"/>
      <c r="H82" s="194">
        <f>IF(SUM(H75:J81)=0," ",SUM(H75:J81))</f>
        <v>11496</v>
      </c>
      <c r="I82" s="195"/>
      <c r="J82" s="196"/>
      <c r="K82" s="194">
        <f>IF(SUM(K75:M81)=0," ",SUM(K75:M81))</f>
        <v>2</v>
      </c>
      <c r="L82" s="195"/>
      <c r="M82" s="196"/>
      <c r="N82" s="56">
        <f>IF(SUM(N75:N81)=0," ",SUM(N75:N81))</f>
        <v>2874.1</v>
      </c>
      <c r="O82" s="192"/>
      <c r="P82" s="193"/>
      <c r="Q82" s="241"/>
    </row>
    <row r="83" spans="1:17" ht="18" customHeight="1">
      <c r="A83" s="199" t="s">
        <v>37</v>
      </c>
      <c r="B83" s="59">
        <v>122</v>
      </c>
      <c r="C83" s="113" t="s">
        <v>81</v>
      </c>
      <c r="D83" s="61">
        <v>46539</v>
      </c>
      <c r="E83" s="23">
        <v>1069</v>
      </c>
      <c r="F83" s="26" t="s">
        <v>81</v>
      </c>
      <c r="G83" s="27">
        <v>46539</v>
      </c>
      <c r="H83" s="201">
        <v>1213</v>
      </c>
      <c r="I83" s="202"/>
      <c r="J83" s="203"/>
      <c r="K83" s="201">
        <v>147</v>
      </c>
      <c r="L83" s="202"/>
      <c r="M83" s="203"/>
      <c r="N83" s="26">
        <f>IF((((B83+E83)*10)-(H83+K83))/10=0," ",(((B83+E83)*10)-(H83+K83))/10)</f>
        <v>1055</v>
      </c>
      <c r="O83" s="24" t="s">
        <v>81</v>
      </c>
      <c r="P83" s="25">
        <v>46539</v>
      </c>
      <c r="Q83" s="204" t="s">
        <v>105</v>
      </c>
    </row>
    <row r="84" spans="1:17" ht="18" customHeight="1">
      <c r="A84" s="200"/>
      <c r="B84" s="92"/>
      <c r="C84" s="93"/>
      <c r="D84" s="92"/>
      <c r="E84" s="96"/>
      <c r="F84" s="95"/>
      <c r="G84" s="114"/>
      <c r="H84" s="207"/>
      <c r="I84" s="208"/>
      <c r="J84" s="209"/>
      <c r="K84" s="207"/>
      <c r="L84" s="208"/>
      <c r="M84" s="209"/>
      <c r="N84" s="95" t="str">
        <f>IF((((B84+E84)*10)-(H84+K84))/10=0," ",(((B84+E84)*10)-(H84+K84))/10)</f>
        <v xml:space="preserve"> </v>
      </c>
      <c r="O84" s="96"/>
      <c r="P84" s="97"/>
      <c r="Q84" s="205"/>
    </row>
    <row r="85" spans="1:17" ht="18" customHeight="1" thickBot="1">
      <c r="A85" s="200"/>
      <c r="B85" s="92"/>
      <c r="C85" s="93"/>
      <c r="D85" s="92"/>
      <c r="E85" s="96"/>
      <c r="F85" s="95"/>
      <c r="G85" s="114"/>
      <c r="H85" s="210"/>
      <c r="I85" s="211"/>
      <c r="J85" s="212"/>
      <c r="K85" s="210"/>
      <c r="L85" s="211"/>
      <c r="M85" s="212"/>
      <c r="N85" s="95" t="str">
        <f>IF((((B85+E85)*10)-(H85+K85))/10=0," ",(((B85+E85)*10)-(H85+K85))/10)</f>
        <v xml:space="preserve"> </v>
      </c>
      <c r="O85" s="96"/>
      <c r="P85" s="97"/>
      <c r="Q85" s="205"/>
    </row>
    <row r="86" spans="1:17" ht="20.100000000000001" customHeight="1">
      <c r="A86" s="213" t="s">
        <v>25</v>
      </c>
      <c r="B86" s="44">
        <v>1</v>
      </c>
      <c r="C86" s="45" t="s">
        <v>73</v>
      </c>
      <c r="D86" s="46">
        <v>46054</v>
      </c>
      <c r="E86" s="47"/>
      <c r="F86" s="45"/>
      <c r="G86" s="46"/>
      <c r="H86" s="215"/>
      <c r="I86" s="216"/>
      <c r="J86" s="217"/>
      <c r="K86" s="215"/>
      <c r="L86" s="216"/>
      <c r="M86" s="217"/>
      <c r="N86" s="44">
        <f>IF((((B86+E86)*10)-(H86+K86))/10=0," ",(((B86+E86)*10)-(H86+K86))/10)</f>
        <v>1</v>
      </c>
      <c r="O86" s="44" t="s">
        <v>73</v>
      </c>
      <c r="P86" s="48">
        <v>46054</v>
      </c>
      <c r="Q86" s="205"/>
    </row>
    <row r="87" spans="1:17" ht="20.100000000000001" customHeight="1" thickBot="1">
      <c r="A87" s="214"/>
      <c r="B87" s="49">
        <v>1</v>
      </c>
      <c r="C87" s="50" t="s">
        <v>81</v>
      </c>
      <c r="D87" s="51">
        <v>46539</v>
      </c>
      <c r="E87" s="52"/>
      <c r="F87" s="50"/>
      <c r="G87" s="51"/>
      <c r="H87" s="218"/>
      <c r="I87" s="219"/>
      <c r="J87" s="220"/>
      <c r="K87" s="218"/>
      <c r="L87" s="219"/>
      <c r="M87" s="220"/>
      <c r="N87" s="49">
        <f>IF((((B87+E87)*10)-(H87+K87))/10=0," ",(((B87+E87)*10)-(H87+K87))/10)</f>
        <v>1</v>
      </c>
      <c r="O87" s="49" t="s">
        <v>81</v>
      </c>
      <c r="P87" s="53">
        <v>46539</v>
      </c>
      <c r="Q87" s="205"/>
    </row>
    <row r="88" spans="1:17" ht="15.75" customHeight="1" thickBot="1">
      <c r="A88" s="115" t="s">
        <v>26</v>
      </c>
      <c r="B88" s="56">
        <f>IF(SUM(B83:B87)=0," ",SUM(B83:B87))</f>
        <v>124</v>
      </c>
      <c r="C88" s="192"/>
      <c r="D88" s="193"/>
      <c r="E88" s="58">
        <f>IF(SUM(E83:E87)=0," ",SUM(E83:E87))</f>
        <v>1069</v>
      </c>
      <c r="F88" s="192"/>
      <c r="G88" s="193"/>
      <c r="H88" s="194">
        <f>IF(SUM(H83:J87)=0," ",SUM(H83:J87))</f>
        <v>1213</v>
      </c>
      <c r="I88" s="195"/>
      <c r="J88" s="196"/>
      <c r="K88" s="197">
        <f>IF(SUM(K83:M87)=0," ",SUM(K83:M87))</f>
        <v>147</v>
      </c>
      <c r="L88" s="197"/>
      <c r="M88" s="198"/>
      <c r="N88" s="56">
        <f>IF(SUM(N83:N87)=0," ",SUM(N83:N87))</f>
        <v>1057</v>
      </c>
      <c r="O88" s="192"/>
      <c r="P88" s="193"/>
      <c r="Q88" s="206"/>
    </row>
    <row r="89" spans="1:17" ht="15" customHeight="1">
      <c r="A89" s="199" t="s">
        <v>38</v>
      </c>
      <c r="B89" s="59">
        <v>211</v>
      </c>
      <c r="C89" s="60" t="s">
        <v>84</v>
      </c>
      <c r="D89" s="61">
        <v>46631</v>
      </c>
      <c r="E89" s="24"/>
      <c r="F89" s="26"/>
      <c r="G89" s="27"/>
      <c r="H89" s="201">
        <v>14</v>
      </c>
      <c r="I89" s="202"/>
      <c r="J89" s="203"/>
      <c r="K89" s="201"/>
      <c r="L89" s="202"/>
      <c r="M89" s="203"/>
      <c r="N89" s="26">
        <f>IF(((B89+E89)-(H89+K89))=0," ",((B89+E89)-(H89+K89)))</f>
        <v>197</v>
      </c>
      <c r="O89" s="24" t="s">
        <v>84</v>
      </c>
      <c r="P89" s="25">
        <v>46631</v>
      </c>
      <c r="Q89" s="204" t="s">
        <v>106</v>
      </c>
    </row>
    <row r="90" spans="1:17" ht="15" customHeight="1">
      <c r="A90" s="200"/>
      <c r="B90" s="92">
        <v>550</v>
      </c>
      <c r="C90" s="93" t="s">
        <v>87</v>
      </c>
      <c r="D90" s="94">
        <v>46722</v>
      </c>
      <c r="E90" s="96"/>
      <c r="F90" s="95"/>
      <c r="G90" s="114"/>
      <c r="H90" s="207">
        <v>105</v>
      </c>
      <c r="I90" s="208"/>
      <c r="J90" s="209"/>
      <c r="K90" s="207"/>
      <c r="L90" s="208"/>
      <c r="M90" s="209"/>
      <c r="N90" s="95">
        <f>IF(((B90+E90)-(H90+K90))=0," ",((B90+E90)-(H90+K90)))</f>
        <v>445</v>
      </c>
      <c r="O90" s="96" t="s">
        <v>87</v>
      </c>
      <c r="P90" s="97">
        <v>46722</v>
      </c>
      <c r="Q90" s="205"/>
    </row>
    <row r="91" spans="1:17" ht="15" customHeight="1" thickBot="1">
      <c r="A91" s="200"/>
      <c r="B91" s="92"/>
      <c r="C91" s="93" t="s">
        <v>61</v>
      </c>
      <c r="D91" s="92" t="s">
        <v>61</v>
      </c>
      <c r="E91" s="96"/>
      <c r="F91" s="95"/>
      <c r="G91" s="114"/>
      <c r="H91" s="210"/>
      <c r="I91" s="211"/>
      <c r="J91" s="212"/>
      <c r="K91" s="210"/>
      <c r="L91" s="211"/>
      <c r="M91" s="212"/>
      <c r="N91" s="95" t="str">
        <f>IF(((B91+E91)-(H91+K91))=0," ",((B91+E91)-(H91+K91)))</f>
        <v xml:space="preserve"> </v>
      </c>
      <c r="O91" s="96" t="s">
        <v>61</v>
      </c>
      <c r="P91" s="97" t="s">
        <v>61</v>
      </c>
      <c r="Q91" s="205"/>
    </row>
    <row r="92" spans="1:17" ht="20.100000000000001" customHeight="1">
      <c r="A92" s="213" t="s">
        <v>25</v>
      </c>
      <c r="B92" s="44">
        <v>10</v>
      </c>
      <c r="C92" s="45" t="s">
        <v>84</v>
      </c>
      <c r="D92" s="46">
        <v>46631</v>
      </c>
      <c r="E92" s="47"/>
      <c r="F92" s="45"/>
      <c r="G92" s="46"/>
      <c r="H92" s="215"/>
      <c r="I92" s="216"/>
      <c r="J92" s="217"/>
      <c r="K92" s="215"/>
      <c r="L92" s="216"/>
      <c r="M92" s="217"/>
      <c r="N92" s="44">
        <f>IF(((B92+E92)-(H92+K92))=0," ",((B92+E92)-(H92+K92)))</f>
        <v>10</v>
      </c>
      <c r="O92" s="44" t="s">
        <v>84</v>
      </c>
      <c r="P92" s="48">
        <v>46631</v>
      </c>
      <c r="Q92" s="205"/>
    </row>
    <row r="93" spans="1:17" ht="20.100000000000001" customHeight="1" thickBot="1">
      <c r="A93" s="214"/>
      <c r="B93" s="49"/>
      <c r="C93" s="50"/>
      <c r="D93" s="49"/>
      <c r="E93" s="52"/>
      <c r="F93" s="50"/>
      <c r="G93" s="51"/>
      <c r="H93" s="218"/>
      <c r="I93" s="219"/>
      <c r="J93" s="220"/>
      <c r="K93" s="218"/>
      <c r="L93" s="219"/>
      <c r="M93" s="220"/>
      <c r="N93" s="49" t="str">
        <f>IF(((B93+E93)-(H93+K93))=0," ",((B93+E93)-(H93+K93)))</f>
        <v xml:space="preserve"> </v>
      </c>
      <c r="O93" s="49" t="str">
        <f t="shared" ref="O93:P93" si="9">IF(F93=0," ",F93)</f>
        <v xml:space="preserve"> </v>
      </c>
      <c r="P93" s="53" t="str">
        <f t="shared" si="9"/>
        <v xml:space="preserve"> </v>
      </c>
      <c r="Q93" s="205"/>
    </row>
    <row r="94" spans="1:17" ht="15.75" customHeight="1" thickBot="1">
      <c r="A94" s="115" t="s">
        <v>26</v>
      </c>
      <c r="B94" s="56">
        <f>IF(SUM(B89:B93)=0," ",SUM(B89:B93))</f>
        <v>771</v>
      </c>
      <c r="C94" s="192"/>
      <c r="D94" s="193"/>
      <c r="E94" s="58" t="str">
        <f>IF(SUM(E89:E93)=0," ",SUM(E89:E93))</f>
        <v xml:space="preserve"> </v>
      </c>
      <c r="F94" s="192"/>
      <c r="G94" s="193"/>
      <c r="H94" s="194">
        <f>IF(SUM(H89:J93)=0," ",SUM(H89:J93))</f>
        <v>119</v>
      </c>
      <c r="I94" s="195"/>
      <c r="J94" s="196"/>
      <c r="K94" s="197" t="str">
        <f>IF(SUM(K89:M93)=0," ",SUM(K89:M93))</f>
        <v xml:space="preserve"> </v>
      </c>
      <c r="L94" s="197"/>
      <c r="M94" s="198"/>
      <c r="N94" s="56">
        <f>IF(SUM(N89:N93)=0," ",SUM(N89:N93))</f>
        <v>652</v>
      </c>
      <c r="O94" s="192"/>
      <c r="P94" s="193"/>
      <c r="Q94" s="206"/>
    </row>
    <row r="95" spans="1:17" ht="15" customHeight="1">
      <c r="A95" s="199" t="s">
        <v>39</v>
      </c>
      <c r="B95" s="59">
        <v>80.099999999999994</v>
      </c>
      <c r="C95" s="60" t="s">
        <v>88</v>
      </c>
      <c r="D95" s="61">
        <v>46388</v>
      </c>
      <c r="E95" s="24">
        <v>62</v>
      </c>
      <c r="F95" s="26" t="s">
        <v>88</v>
      </c>
      <c r="G95" s="27">
        <v>46388</v>
      </c>
      <c r="H95" s="201">
        <v>684</v>
      </c>
      <c r="I95" s="202"/>
      <c r="J95" s="203"/>
      <c r="K95" s="201">
        <v>57</v>
      </c>
      <c r="L95" s="202"/>
      <c r="M95" s="203"/>
      <c r="N95" s="26">
        <f>IF((((B95+E95)*10)-(H95+K95))/10=0," ",(((B95+E95)*10)-(H95+K95))/10)</f>
        <v>68</v>
      </c>
      <c r="O95" s="24" t="s">
        <v>88</v>
      </c>
      <c r="P95" s="25">
        <v>46388</v>
      </c>
      <c r="Q95" s="239"/>
    </row>
    <row r="96" spans="1:17" ht="15" customHeight="1">
      <c r="A96" s="200"/>
      <c r="B96" s="92"/>
      <c r="C96" s="93"/>
      <c r="D96" s="92"/>
      <c r="E96" s="96"/>
      <c r="F96" s="95"/>
      <c r="G96" s="114"/>
      <c r="H96" s="207"/>
      <c r="I96" s="208"/>
      <c r="J96" s="209"/>
      <c r="K96" s="207"/>
      <c r="L96" s="208"/>
      <c r="M96" s="209"/>
      <c r="N96" s="95" t="str">
        <f>IF((((B96+E96)*10)-(H96+K96))/10=0," ",(((B96+E96)*10)-(H96+K96))/10)</f>
        <v xml:space="preserve"> </v>
      </c>
      <c r="O96" s="96" t="str">
        <f t="shared" ref="O96:P99" si="10">IF(F96=0," ",F96)</f>
        <v xml:space="preserve"> </v>
      </c>
      <c r="P96" s="97" t="str">
        <f t="shared" si="10"/>
        <v xml:space="preserve"> </v>
      </c>
      <c r="Q96" s="240"/>
    </row>
    <row r="97" spans="1:17" ht="15" customHeight="1" thickBot="1">
      <c r="A97" s="200"/>
      <c r="B97" s="92"/>
      <c r="C97" s="93"/>
      <c r="D97" s="92"/>
      <c r="E97" s="96"/>
      <c r="F97" s="95"/>
      <c r="G97" s="114"/>
      <c r="H97" s="210"/>
      <c r="I97" s="211"/>
      <c r="J97" s="212"/>
      <c r="K97" s="210"/>
      <c r="L97" s="211"/>
      <c r="M97" s="212"/>
      <c r="N97" s="95" t="str">
        <f>IF((((B97+E97)*10)-(H97+K97))/10=0," ",(((B97+E97)*10)-(H97+K97))/10)</f>
        <v xml:space="preserve"> </v>
      </c>
      <c r="O97" s="96" t="str">
        <f t="shared" si="10"/>
        <v xml:space="preserve"> </v>
      </c>
      <c r="P97" s="97" t="str">
        <f t="shared" si="10"/>
        <v xml:space="preserve"> </v>
      </c>
      <c r="Q97" s="240"/>
    </row>
    <row r="98" spans="1:17" ht="20.100000000000001" customHeight="1">
      <c r="A98" s="213" t="s">
        <v>25</v>
      </c>
      <c r="B98" s="44"/>
      <c r="C98" s="45"/>
      <c r="D98" s="44"/>
      <c r="E98" s="47"/>
      <c r="F98" s="45"/>
      <c r="G98" s="46"/>
      <c r="H98" s="215"/>
      <c r="I98" s="216"/>
      <c r="J98" s="217"/>
      <c r="K98" s="215"/>
      <c r="L98" s="216"/>
      <c r="M98" s="217"/>
      <c r="N98" s="44" t="str">
        <f>IF((((B98+E98)*10)-(H98+K98))/10=0," ",(((B98+E98)*10)-(H98+K98))/10)</f>
        <v xml:space="preserve"> </v>
      </c>
      <c r="O98" s="44" t="str">
        <f t="shared" si="10"/>
        <v xml:space="preserve"> </v>
      </c>
      <c r="P98" s="48" t="str">
        <f t="shared" si="10"/>
        <v xml:space="preserve"> </v>
      </c>
      <c r="Q98" s="240"/>
    </row>
    <row r="99" spans="1:17" ht="20.100000000000001" customHeight="1" thickBot="1">
      <c r="A99" s="214"/>
      <c r="B99" s="49"/>
      <c r="C99" s="50"/>
      <c r="D99" s="49"/>
      <c r="E99" s="52"/>
      <c r="F99" s="50"/>
      <c r="G99" s="51"/>
      <c r="H99" s="218"/>
      <c r="I99" s="219"/>
      <c r="J99" s="220"/>
      <c r="K99" s="218"/>
      <c r="L99" s="219"/>
      <c r="M99" s="220"/>
      <c r="N99" s="49" t="str">
        <f>IF((((B99+E99)*10)-(H99+K99))/10=0," ",(((B99+E99)*10)-(H99+K99))/10)</f>
        <v xml:space="preserve"> </v>
      </c>
      <c r="O99" s="49" t="str">
        <f t="shared" si="10"/>
        <v xml:space="preserve"> </v>
      </c>
      <c r="P99" s="53" t="str">
        <f t="shared" si="10"/>
        <v xml:space="preserve"> </v>
      </c>
      <c r="Q99" s="240"/>
    </row>
    <row r="100" spans="1:17" ht="15.75" customHeight="1" thickBot="1">
      <c r="A100" s="54" t="s">
        <v>26</v>
      </c>
      <c r="B100" s="56">
        <f>IF(SUM(B95:B99)=0," ",SUM(B95:B99))</f>
        <v>80.099999999999994</v>
      </c>
      <c r="C100" s="192"/>
      <c r="D100" s="193"/>
      <c r="E100" s="58">
        <f>IF(SUM(E95:E99)=0," ",SUM(E95:E99))</f>
        <v>62</v>
      </c>
      <c r="F100" s="192"/>
      <c r="G100" s="193"/>
      <c r="H100" s="194">
        <f>IF(SUM(H95:J99)=0," ",SUM(H95:J99))</f>
        <v>684</v>
      </c>
      <c r="I100" s="195"/>
      <c r="J100" s="196"/>
      <c r="K100" s="197">
        <f>IF(SUM(K95:M99)=0," ",SUM(K95:M99))</f>
        <v>57</v>
      </c>
      <c r="L100" s="197"/>
      <c r="M100" s="198"/>
      <c r="N100" s="56">
        <f>IF(SUM(N95:N99)=0," ",SUM(N95:N99))</f>
        <v>68</v>
      </c>
      <c r="O100" s="192"/>
      <c r="P100" s="193"/>
      <c r="Q100" s="241"/>
    </row>
    <row r="101" spans="1:17" ht="15" customHeight="1">
      <c r="A101" s="199" t="s">
        <v>40</v>
      </c>
      <c r="B101" s="59">
        <v>661</v>
      </c>
      <c r="C101" s="60" t="s">
        <v>70</v>
      </c>
      <c r="D101" s="61">
        <v>46082</v>
      </c>
      <c r="E101" s="24"/>
      <c r="F101" s="26"/>
      <c r="G101" s="27"/>
      <c r="H101" s="201">
        <v>425</v>
      </c>
      <c r="I101" s="202"/>
      <c r="J101" s="203"/>
      <c r="K101" s="201"/>
      <c r="L101" s="202"/>
      <c r="M101" s="203"/>
      <c r="N101" s="26">
        <f t="shared" ref="N101:N106" si="11">IF(((B101+E101)-(H101+K101))=0," ",((B101+E101)-(H101+K101)))</f>
        <v>236</v>
      </c>
      <c r="O101" s="24" t="s">
        <v>70</v>
      </c>
      <c r="P101" s="25">
        <v>46082</v>
      </c>
      <c r="Q101" s="199" t="s">
        <v>107</v>
      </c>
    </row>
    <row r="102" spans="1:17" ht="15" customHeight="1">
      <c r="A102" s="200"/>
      <c r="B102" s="92">
        <v>284</v>
      </c>
      <c r="C102" s="93" t="s">
        <v>109</v>
      </c>
      <c r="D102" s="94">
        <v>46508</v>
      </c>
      <c r="E102" s="96">
        <v>575</v>
      </c>
      <c r="F102" s="95" t="s">
        <v>109</v>
      </c>
      <c r="G102" s="114">
        <v>46508</v>
      </c>
      <c r="H102" s="207">
        <v>162</v>
      </c>
      <c r="I102" s="208"/>
      <c r="J102" s="209"/>
      <c r="K102" s="207"/>
      <c r="L102" s="208"/>
      <c r="M102" s="209"/>
      <c r="N102" s="95">
        <f t="shared" si="11"/>
        <v>697</v>
      </c>
      <c r="O102" s="96" t="str">
        <f t="shared" ref="O102:O103" si="12">IF(F102=0," ",F102)</f>
        <v>3CA38C5</v>
      </c>
      <c r="P102" s="97">
        <v>46508</v>
      </c>
      <c r="Q102" s="200"/>
    </row>
    <row r="103" spans="1:17" ht="15" customHeight="1" thickBot="1">
      <c r="A103" s="200"/>
      <c r="B103" s="92"/>
      <c r="C103" s="93"/>
      <c r="D103" s="94"/>
      <c r="E103" s="96"/>
      <c r="F103" s="95"/>
      <c r="G103" s="114"/>
      <c r="H103" s="210"/>
      <c r="I103" s="211"/>
      <c r="J103" s="212"/>
      <c r="K103" s="210"/>
      <c r="L103" s="211"/>
      <c r="M103" s="212"/>
      <c r="N103" s="95" t="str">
        <f t="shared" si="11"/>
        <v xml:space="preserve"> </v>
      </c>
      <c r="O103" s="96" t="str">
        <f t="shared" si="12"/>
        <v xml:space="preserve"> </v>
      </c>
      <c r="P103" s="97"/>
      <c r="Q103" s="200"/>
    </row>
    <row r="104" spans="1:17" ht="20.100000000000001" customHeight="1">
      <c r="A104" s="213" t="s">
        <v>25</v>
      </c>
      <c r="B104" s="128">
        <v>267</v>
      </c>
      <c r="C104" s="117" t="s">
        <v>58</v>
      </c>
      <c r="D104" s="129">
        <v>45870</v>
      </c>
      <c r="E104" s="118"/>
      <c r="F104" s="117"/>
      <c r="G104" s="129"/>
      <c r="H104" s="215"/>
      <c r="I104" s="216"/>
      <c r="J104" s="217"/>
      <c r="K104" s="215"/>
      <c r="L104" s="216"/>
      <c r="M104" s="217"/>
      <c r="N104" s="128">
        <f t="shared" si="11"/>
        <v>267</v>
      </c>
      <c r="O104" s="128" t="s">
        <v>58</v>
      </c>
      <c r="P104" s="130">
        <v>45870</v>
      </c>
      <c r="Q104" s="200"/>
    </row>
    <row r="105" spans="1:17" ht="20.100000000000001" customHeight="1">
      <c r="A105" s="222"/>
      <c r="B105" s="122">
        <v>9</v>
      </c>
      <c r="C105" s="123" t="s">
        <v>65</v>
      </c>
      <c r="D105" s="124">
        <v>45962</v>
      </c>
      <c r="E105" s="125"/>
      <c r="F105" s="123"/>
      <c r="G105" s="124"/>
      <c r="H105" s="126"/>
      <c r="I105" s="123"/>
      <c r="J105" s="125"/>
      <c r="K105" s="126"/>
      <c r="L105" s="123"/>
      <c r="M105" s="125"/>
      <c r="N105" s="131">
        <f t="shared" si="11"/>
        <v>9</v>
      </c>
      <c r="O105" s="122" t="s">
        <v>65</v>
      </c>
      <c r="P105" s="127">
        <v>45962</v>
      </c>
      <c r="Q105" s="200"/>
    </row>
    <row r="106" spans="1:17" ht="20.100000000000001" customHeight="1" thickBot="1">
      <c r="A106" s="214"/>
      <c r="B106" s="49">
        <v>44</v>
      </c>
      <c r="C106" s="50" t="s">
        <v>70</v>
      </c>
      <c r="D106" s="51">
        <v>46082</v>
      </c>
      <c r="E106" s="52"/>
      <c r="F106" s="50"/>
      <c r="G106" s="51"/>
      <c r="H106" s="218"/>
      <c r="I106" s="219"/>
      <c r="J106" s="220"/>
      <c r="K106" s="218"/>
      <c r="L106" s="219"/>
      <c r="M106" s="220"/>
      <c r="N106" s="49">
        <f t="shared" si="11"/>
        <v>44</v>
      </c>
      <c r="O106" s="49" t="s">
        <v>70</v>
      </c>
      <c r="P106" s="53">
        <v>46082</v>
      </c>
      <c r="Q106" s="200"/>
    </row>
    <row r="107" spans="1:17" ht="15.75" customHeight="1" thickBot="1">
      <c r="A107" s="54" t="s">
        <v>26</v>
      </c>
      <c r="B107" s="56">
        <f>IF(SUM(B101:B106)=0," ",SUM(B101:B106))</f>
        <v>1265</v>
      </c>
      <c r="C107" s="192"/>
      <c r="D107" s="193"/>
      <c r="E107" s="58">
        <f>IF(SUM(E101:E106)=0," ",SUM(E101:E106))</f>
        <v>575</v>
      </c>
      <c r="F107" s="192"/>
      <c r="G107" s="193"/>
      <c r="H107" s="194">
        <f>IF(SUM(H101:J106)=0," ",SUM(H101:J106))</f>
        <v>587</v>
      </c>
      <c r="I107" s="195"/>
      <c r="J107" s="196"/>
      <c r="K107" s="197" t="str">
        <f>IF(SUM(K101:M106)=0," ",SUM(K101:M106))</f>
        <v xml:space="preserve"> </v>
      </c>
      <c r="L107" s="197"/>
      <c r="M107" s="198"/>
      <c r="N107" s="56">
        <f>IF(SUM(N101:N106)=0," ",SUM(N101:N106))</f>
        <v>1253</v>
      </c>
      <c r="O107" s="192"/>
      <c r="P107" s="193"/>
      <c r="Q107" s="223"/>
    </row>
    <row r="108" spans="1:17" ht="15" customHeight="1">
      <c r="A108" s="199" t="s">
        <v>92</v>
      </c>
      <c r="B108" s="59"/>
      <c r="C108" s="60"/>
      <c r="D108" s="61"/>
      <c r="E108" s="24"/>
      <c r="F108" s="26"/>
      <c r="G108" s="27"/>
      <c r="H108" s="62"/>
      <c r="I108" s="63"/>
      <c r="J108" s="64">
        <f>(((H108/2)+(I108)))</f>
        <v>0</v>
      </c>
      <c r="K108" s="62"/>
      <c r="L108" s="63"/>
      <c r="M108" s="64">
        <f>(((K108/2)+(L108)))</f>
        <v>0</v>
      </c>
      <c r="N108" s="26" t="str">
        <f>IFERROR(IF((((B108+E108)*5)-(J108+M108))/5=0," ",(((B108+E108)*5)-(J108+M108))/5)," ")</f>
        <v xml:space="preserve"> </v>
      </c>
      <c r="O108" s="24">
        <v>3052844</v>
      </c>
      <c r="P108" s="25">
        <v>46113</v>
      </c>
      <c r="Q108" s="239"/>
    </row>
    <row r="109" spans="1:17" ht="15" customHeight="1">
      <c r="A109" s="200"/>
      <c r="B109" s="92">
        <v>252</v>
      </c>
      <c r="C109" s="93">
        <v>3054086</v>
      </c>
      <c r="D109" s="94">
        <v>46174</v>
      </c>
      <c r="E109" s="96"/>
      <c r="F109" s="95"/>
      <c r="G109" s="114"/>
      <c r="H109" s="69">
        <v>204</v>
      </c>
      <c r="I109" s="70">
        <v>1148</v>
      </c>
      <c r="J109" s="71">
        <f t="shared" ref="J109:J110" si="13">(((H109/2)+(I109)))</f>
        <v>1250</v>
      </c>
      <c r="K109" s="69"/>
      <c r="L109" s="70">
        <v>10</v>
      </c>
      <c r="M109" s="71">
        <f t="shared" ref="M109:M110" si="14">(((K109/2)+(L109)))</f>
        <v>10</v>
      </c>
      <c r="N109" s="95" t="str">
        <f t="shared" ref="N109:N110" si="15">IFERROR(IF((((B109+E109)*5)-(J109+M109))/5=0," ",(((B109+E109)*5)-(J109+M109))/5)," ")</f>
        <v xml:space="preserve"> </v>
      </c>
      <c r="O109" s="96" t="str">
        <f t="shared" ref="O109:P115" si="16">IF(F109=0," ",F109)</f>
        <v xml:space="preserve"> </v>
      </c>
      <c r="P109" s="97" t="str">
        <f t="shared" si="16"/>
        <v xml:space="preserve"> </v>
      </c>
      <c r="Q109" s="240"/>
    </row>
    <row r="110" spans="1:17" ht="15" customHeight="1" thickBot="1">
      <c r="A110" s="200"/>
      <c r="B110" s="107"/>
      <c r="C110" s="134"/>
      <c r="D110" s="107"/>
      <c r="E110" s="109">
        <v>734</v>
      </c>
      <c r="F110" s="108">
        <v>3053352</v>
      </c>
      <c r="G110" s="135">
        <v>46143</v>
      </c>
      <c r="H110" s="76">
        <v>2</v>
      </c>
      <c r="I110" s="77">
        <v>2039</v>
      </c>
      <c r="J110" s="78">
        <f t="shared" si="13"/>
        <v>2040</v>
      </c>
      <c r="K110" s="79"/>
      <c r="L110" s="80">
        <v>115</v>
      </c>
      <c r="M110" s="78">
        <f t="shared" si="14"/>
        <v>115</v>
      </c>
      <c r="N110" s="108">
        <f t="shared" si="15"/>
        <v>303</v>
      </c>
      <c r="O110" s="109">
        <v>3053352</v>
      </c>
      <c r="P110" s="112">
        <v>46143</v>
      </c>
      <c r="Q110" s="240"/>
    </row>
    <row r="111" spans="1:17" ht="15" customHeight="1">
      <c r="A111" s="199" t="s">
        <v>93</v>
      </c>
      <c r="B111" s="59">
        <v>325</v>
      </c>
      <c r="C111" s="60" t="s">
        <v>90</v>
      </c>
      <c r="D111" s="61">
        <v>46357</v>
      </c>
      <c r="E111" s="24"/>
      <c r="F111" s="26"/>
      <c r="G111" s="27"/>
      <c r="H111" s="236">
        <v>1046</v>
      </c>
      <c r="I111" s="237"/>
      <c r="J111" s="238"/>
      <c r="K111" s="236">
        <v>904</v>
      </c>
      <c r="L111" s="237"/>
      <c r="M111" s="238"/>
      <c r="N111" s="26">
        <v>0</v>
      </c>
      <c r="O111" s="24" t="s">
        <v>90</v>
      </c>
      <c r="P111" s="25">
        <v>46357</v>
      </c>
      <c r="Q111" s="240"/>
    </row>
    <row r="112" spans="1:17" ht="15" customHeight="1">
      <c r="A112" s="200"/>
      <c r="B112" s="92"/>
      <c r="C112" s="93"/>
      <c r="D112" s="92"/>
      <c r="E112" s="96"/>
      <c r="F112" s="95"/>
      <c r="G112" s="114"/>
      <c r="H112" s="210"/>
      <c r="I112" s="211"/>
      <c r="J112" s="212"/>
      <c r="K112" s="210"/>
      <c r="L112" s="211"/>
      <c r="M112" s="212"/>
      <c r="N112" s="95" t="str">
        <f t="shared" ref="N112:N113" si="17">IF((((B112+E112)*10)-(H112+K112))/10=0," ",(((B112+E112)*10)-(H112+K112))/10)</f>
        <v xml:space="preserve"> </v>
      </c>
      <c r="O112" s="96"/>
      <c r="P112" s="97"/>
      <c r="Q112" s="240"/>
    </row>
    <row r="113" spans="1:17" ht="15" customHeight="1" thickBot="1">
      <c r="A113" s="223"/>
      <c r="B113" s="136"/>
      <c r="C113" s="137"/>
      <c r="D113" s="136"/>
      <c r="E113" s="138"/>
      <c r="F113" s="139"/>
      <c r="G113" s="140"/>
      <c r="H113" s="230"/>
      <c r="I113" s="231"/>
      <c r="J113" s="232"/>
      <c r="K113" s="230"/>
      <c r="L113" s="231"/>
      <c r="M113" s="232"/>
      <c r="N113" s="139" t="str">
        <f t="shared" si="17"/>
        <v xml:space="preserve"> </v>
      </c>
      <c r="O113" s="138" t="str">
        <f t="shared" si="16"/>
        <v xml:space="preserve"> </v>
      </c>
      <c r="P113" s="141" t="str">
        <f t="shared" si="16"/>
        <v xml:space="preserve"> </v>
      </c>
      <c r="Q113" s="240"/>
    </row>
    <row r="114" spans="1:17" ht="20.100000000000001" customHeight="1">
      <c r="A114" s="213" t="s">
        <v>25</v>
      </c>
      <c r="B114" s="44"/>
      <c r="C114" s="45"/>
      <c r="D114" s="44"/>
      <c r="E114" s="47"/>
      <c r="F114" s="45"/>
      <c r="G114" s="46"/>
      <c r="H114" s="215"/>
      <c r="I114" s="216"/>
      <c r="J114" s="217"/>
      <c r="K114" s="215"/>
      <c r="L114" s="216"/>
      <c r="M114" s="217"/>
      <c r="N114" s="44" t="str">
        <f>IF((((B114+E114)*5)-(H114+K114))/5=0," ",(((B114+E114)*5)-(H114+K114))/5)</f>
        <v xml:space="preserve"> </v>
      </c>
      <c r="O114" s="44" t="str">
        <f t="shared" si="16"/>
        <v xml:space="preserve"> </v>
      </c>
      <c r="P114" s="48" t="str">
        <f t="shared" si="16"/>
        <v xml:space="preserve"> </v>
      </c>
      <c r="Q114" s="240"/>
    </row>
    <row r="115" spans="1:17" ht="20.100000000000001" customHeight="1" thickBot="1">
      <c r="A115" s="214"/>
      <c r="B115" s="49"/>
      <c r="C115" s="50"/>
      <c r="D115" s="49"/>
      <c r="E115" s="52"/>
      <c r="F115" s="50"/>
      <c r="G115" s="51"/>
      <c r="H115" s="218"/>
      <c r="I115" s="219"/>
      <c r="J115" s="220"/>
      <c r="K115" s="218"/>
      <c r="L115" s="219"/>
      <c r="M115" s="220"/>
      <c r="N115" s="49" t="str">
        <f>IF((((B115+E115)*6)-(H115+K115))/6=0," ",(((B115+E115)*6)-(H115+K115))/6)</f>
        <v xml:space="preserve"> </v>
      </c>
      <c r="O115" s="49" t="str">
        <f t="shared" si="16"/>
        <v xml:space="preserve"> </v>
      </c>
      <c r="P115" s="53" t="str">
        <f t="shared" si="16"/>
        <v xml:space="preserve"> </v>
      </c>
      <c r="Q115" s="240"/>
    </row>
    <row r="116" spans="1:17" ht="15.75" customHeight="1" thickBot="1">
      <c r="A116" s="54" t="s">
        <v>26</v>
      </c>
      <c r="B116" s="56">
        <f>IF(SUM(B108:B115)=0," ",SUM(B108:B115))</f>
        <v>577</v>
      </c>
      <c r="C116" s="192"/>
      <c r="D116" s="193"/>
      <c r="E116" s="58">
        <f>IF(SUM(E108:E115)=0," ",SUM(E108:E115))</f>
        <v>734</v>
      </c>
      <c r="F116" s="192"/>
      <c r="G116" s="193"/>
      <c r="H116" s="194">
        <v>4336</v>
      </c>
      <c r="I116" s="195"/>
      <c r="J116" s="196"/>
      <c r="K116" s="197">
        <v>1029</v>
      </c>
      <c r="L116" s="197"/>
      <c r="M116" s="198"/>
      <c r="N116" s="56">
        <f>IF(SUM(N108:N115)=0," ",SUM(N108:N115))</f>
        <v>303</v>
      </c>
      <c r="O116" s="192"/>
      <c r="P116" s="193"/>
      <c r="Q116" s="241"/>
    </row>
    <row r="117" spans="1:17" ht="15" customHeight="1">
      <c r="A117" s="199" t="s">
        <v>75</v>
      </c>
      <c r="B117" s="59">
        <v>66</v>
      </c>
      <c r="C117" s="60" t="s">
        <v>77</v>
      </c>
      <c r="D117" s="61" t="s">
        <v>78</v>
      </c>
      <c r="E117" s="24"/>
      <c r="F117" s="26"/>
      <c r="G117" s="27"/>
      <c r="H117" s="236">
        <v>66</v>
      </c>
      <c r="I117" s="237"/>
      <c r="J117" s="238"/>
      <c r="K117" s="236"/>
      <c r="L117" s="237"/>
      <c r="M117" s="238"/>
      <c r="N117" s="26" t="str">
        <f>IF(((B117+E117)-(H117+K117))=0," ",((B117+E117)-(H117+K117)))</f>
        <v xml:space="preserve"> </v>
      </c>
      <c r="O117" s="24" t="s">
        <v>77</v>
      </c>
      <c r="P117" s="25" t="s">
        <v>78</v>
      </c>
      <c r="Q117" s="239"/>
    </row>
    <row r="118" spans="1:17" ht="15" customHeight="1">
      <c r="A118" s="200"/>
      <c r="B118" s="92">
        <v>90</v>
      </c>
      <c r="C118" s="93" t="s">
        <v>95</v>
      </c>
      <c r="D118" s="94">
        <v>46054</v>
      </c>
      <c r="E118" s="96"/>
      <c r="F118" s="95"/>
      <c r="G118" s="114"/>
      <c r="H118" s="210"/>
      <c r="I118" s="211"/>
      <c r="J118" s="212"/>
      <c r="K118" s="210"/>
      <c r="L118" s="211"/>
      <c r="M118" s="212"/>
      <c r="N118" s="95">
        <f>IF(((B118+E118)-(H118+K118))=0," ",((B118+E118)-(H118+K118)))</f>
        <v>90</v>
      </c>
      <c r="O118" s="96" t="s">
        <v>95</v>
      </c>
      <c r="P118" s="97">
        <v>46054</v>
      </c>
      <c r="Q118" s="240"/>
    </row>
    <row r="119" spans="1:17" ht="15" customHeight="1" thickBot="1">
      <c r="A119" s="200"/>
      <c r="B119" s="92">
        <v>178</v>
      </c>
      <c r="C119" s="93" t="s">
        <v>77</v>
      </c>
      <c r="D119" s="94">
        <v>46113</v>
      </c>
      <c r="E119" s="96"/>
      <c r="F119" s="95"/>
      <c r="G119" s="114"/>
      <c r="H119" s="210">
        <v>24</v>
      </c>
      <c r="I119" s="211"/>
      <c r="J119" s="212"/>
      <c r="K119" s="210"/>
      <c r="L119" s="211"/>
      <c r="M119" s="212"/>
      <c r="N119" s="95">
        <f>IF(((B119+E119)-(H119+K119))=0," ",((B119+E119)-(H119+K119)))</f>
        <v>154</v>
      </c>
      <c r="O119" s="96" t="s">
        <v>77</v>
      </c>
      <c r="P119" s="97">
        <v>46113</v>
      </c>
      <c r="Q119" s="240"/>
    </row>
    <row r="120" spans="1:17" ht="20.100000000000001" customHeight="1">
      <c r="A120" s="213" t="s">
        <v>25</v>
      </c>
      <c r="B120" s="44"/>
      <c r="C120" s="45"/>
      <c r="D120" s="44"/>
      <c r="E120" s="47"/>
      <c r="F120" s="45"/>
      <c r="G120" s="46"/>
      <c r="H120" s="215"/>
      <c r="I120" s="216"/>
      <c r="J120" s="217"/>
      <c r="K120" s="215"/>
      <c r="L120" s="216"/>
      <c r="M120" s="217"/>
      <c r="N120" s="44" t="str">
        <f>IF(((B120+E120)-(H120+K120))=0," ",((B120+E120)-(H120+K120)))</f>
        <v xml:space="preserve"> </v>
      </c>
      <c r="O120" s="44" t="str">
        <f t="shared" ref="O120:O121" si="18">IF(F120=0," ",F120)</f>
        <v xml:space="preserve"> </v>
      </c>
      <c r="P120" s="48"/>
      <c r="Q120" s="240"/>
    </row>
    <row r="121" spans="1:17" ht="20.100000000000001" customHeight="1" thickBot="1">
      <c r="A121" s="214"/>
      <c r="B121" s="49"/>
      <c r="C121" s="50"/>
      <c r="D121" s="49"/>
      <c r="E121" s="52"/>
      <c r="F121" s="50"/>
      <c r="G121" s="51"/>
      <c r="H121" s="218"/>
      <c r="I121" s="219"/>
      <c r="J121" s="220"/>
      <c r="K121" s="218"/>
      <c r="L121" s="219"/>
      <c r="M121" s="220"/>
      <c r="N121" s="49" t="str">
        <f>IF(((B121+E121)-(H121+K121))=0," ",((B121+E121)-(H121+K121)))</f>
        <v xml:space="preserve"> </v>
      </c>
      <c r="O121" s="49" t="str">
        <f t="shared" si="18"/>
        <v xml:space="preserve"> </v>
      </c>
      <c r="P121" s="53"/>
      <c r="Q121" s="240"/>
    </row>
    <row r="122" spans="1:17" ht="15.75" customHeight="1" thickBot="1">
      <c r="A122" s="54" t="s">
        <v>26</v>
      </c>
      <c r="B122" s="56">
        <f>IF(SUM(B117:B121)=0," ",SUM(B117:B121))</f>
        <v>334</v>
      </c>
      <c r="C122" s="192"/>
      <c r="D122" s="193"/>
      <c r="E122" s="58"/>
      <c r="F122" s="192"/>
      <c r="G122" s="193"/>
      <c r="H122" s="194">
        <f>IF(SUM(H117:J121)=0," ",SUM(H117:J121))</f>
        <v>90</v>
      </c>
      <c r="I122" s="195"/>
      <c r="J122" s="196"/>
      <c r="K122" s="221">
        <v>0</v>
      </c>
      <c r="L122" s="197"/>
      <c r="M122" s="198"/>
      <c r="N122" s="56">
        <v>244</v>
      </c>
      <c r="O122" s="192"/>
      <c r="P122" s="193"/>
      <c r="Q122" s="241"/>
    </row>
    <row r="123" spans="1:17" ht="15" customHeight="1">
      <c r="A123" s="199" t="s">
        <v>76</v>
      </c>
      <c r="B123" s="59">
        <v>308</v>
      </c>
      <c r="C123" s="60" t="s">
        <v>91</v>
      </c>
      <c r="D123" s="61">
        <v>46174</v>
      </c>
      <c r="E123" s="24">
        <v>30</v>
      </c>
      <c r="F123" s="26" t="s">
        <v>91</v>
      </c>
      <c r="G123" s="27">
        <v>46174</v>
      </c>
      <c r="H123" s="236">
        <v>54</v>
      </c>
      <c r="I123" s="237"/>
      <c r="J123" s="238"/>
      <c r="K123" s="236"/>
      <c r="L123" s="237"/>
      <c r="M123" s="238"/>
      <c r="N123" s="26">
        <f>IF(((B123+E123)-(H123+K123))=0," ",((B123+E123)-(H123+K123)))</f>
        <v>284</v>
      </c>
      <c r="O123" s="24" t="s">
        <v>91</v>
      </c>
      <c r="P123" s="25">
        <v>46174</v>
      </c>
      <c r="Q123" s="239"/>
    </row>
    <row r="124" spans="1:17" ht="15" customHeight="1">
      <c r="A124" s="200"/>
      <c r="B124" s="92"/>
      <c r="C124" s="93"/>
      <c r="D124" s="92"/>
      <c r="E124" s="96"/>
      <c r="F124" s="95"/>
      <c r="G124" s="114"/>
      <c r="H124" s="210"/>
      <c r="I124" s="211"/>
      <c r="J124" s="212"/>
      <c r="K124" s="210"/>
      <c r="L124" s="211"/>
      <c r="M124" s="212"/>
      <c r="N124" s="95" t="str">
        <f>IF(((B124+E124)-(H124+K124))=0," ",((B124+E124)-(H124+K124)))</f>
        <v xml:space="preserve"> </v>
      </c>
      <c r="O124" s="96" t="str">
        <f t="shared" ref="O124:O127" si="19">IF(F124=0," ",F124)</f>
        <v xml:space="preserve"> </v>
      </c>
      <c r="P124" s="97"/>
      <c r="Q124" s="240"/>
    </row>
    <row r="125" spans="1:17" ht="15" customHeight="1" thickBot="1">
      <c r="A125" s="200"/>
      <c r="B125" s="92"/>
      <c r="C125" s="93"/>
      <c r="D125" s="92"/>
      <c r="E125" s="96"/>
      <c r="F125" s="95"/>
      <c r="G125" s="114"/>
      <c r="H125" s="210"/>
      <c r="I125" s="211"/>
      <c r="J125" s="212"/>
      <c r="K125" s="210"/>
      <c r="L125" s="211"/>
      <c r="M125" s="212"/>
      <c r="N125" s="95" t="str">
        <f>IF(((B125+E125)-(H125+K125))=0," ",((B125+E125)-(H125+K125)))</f>
        <v xml:space="preserve"> </v>
      </c>
      <c r="O125" s="96" t="str">
        <f t="shared" si="19"/>
        <v xml:space="preserve"> </v>
      </c>
      <c r="P125" s="97"/>
      <c r="Q125" s="240"/>
    </row>
    <row r="126" spans="1:17" ht="20.100000000000001" customHeight="1">
      <c r="A126" s="213" t="s">
        <v>25</v>
      </c>
      <c r="B126" s="44"/>
      <c r="C126" s="45"/>
      <c r="D126" s="44"/>
      <c r="E126" s="47"/>
      <c r="F126" s="45"/>
      <c r="G126" s="46"/>
      <c r="H126" s="215"/>
      <c r="I126" s="216"/>
      <c r="J126" s="217"/>
      <c r="K126" s="215"/>
      <c r="L126" s="216"/>
      <c r="M126" s="217"/>
      <c r="N126" s="44" t="str">
        <f>IF(((B126+E126)-(H126+K126))=0," ",((B126+E126)-(H126+K126)))</f>
        <v xml:space="preserve"> </v>
      </c>
      <c r="O126" s="44" t="str">
        <f t="shared" si="19"/>
        <v xml:space="preserve"> </v>
      </c>
      <c r="P126" s="48"/>
      <c r="Q126" s="240"/>
    </row>
    <row r="127" spans="1:17" ht="20.100000000000001" customHeight="1" thickBot="1">
      <c r="A127" s="214"/>
      <c r="B127" s="49"/>
      <c r="C127" s="50"/>
      <c r="D127" s="49"/>
      <c r="E127" s="52"/>
      <c r="F127" s="50"/>
      <c r="G127" s="51"/>
      <c r="H127" s="218"/>
      <c r="I127" s="219"/>
      <c r="J127" s="220"/>
      <c r="K127" s="218"/>
      <c r="L127" s="219"/>
      <c r="M127" s="220"/>
      <c r="N127" s="49" t="str">
        <f>IF(((B127+E127)-(H127+K127))=0," ",((B127+E127)-(H127+K127)))</f>
        <v xml:space="preserve"> </v>
      </c>
      <c r="O127" s="49" t="str">
        <f t="shared" si="19"/>
        <v xml:space="preserve"> </v>
      </c>
      <c r="P127" s="53"/>
      <c r="Q127" s="240"/>
    </row>
    <row r="128" spans="1:17" ht="15.75" customHeight="1" thickBot="1">
      <c r="A128" s="54" t="s">
        <v>26</v>
      </c>
      <c r="B128" s="56">
        <f>IF(SUM(B123:B127)=0," ",SUM(B123:B127))</f>
        <v>308</v>
      </c>
      <c r="C128" s="192"/>
      <c r="D128" s="193"/>
      <c r="E128" s="58">
        <f>IF(SUM(E120:E127)=0," ",SUM(E120:E127))</f>
        <v>30</v>
      </c>
      <c r="F128" s="192"/>
      <c r="G128" s="193"/>
      <c r="H128" s="194">
        <v>54</v>
      </c>
      <c r="I128" s="195"/>
      <c r="J128" s="196"/>
      <c r="K128" s="197">
        <v>0</v>
      </c>
      <c r="L128" s="197"/>
      <c r="M128" s="198"/>
      <c r="N128" s="56">
        <v>284</v>
      </c>
      <c r="O128" s="192"/>
      <c r="P128" s="193"/>
      <c r="Q128" s="241"/>
    </row>
  </sheetData>
  <protectedRanges>
    <protectedRange sqref="I7" name="año"/>
    <protectedRange sqref="O7" name="Unidad de salud"/>
    <protectedRange sqref="D8:K8" name="Nombre"/>
    <protectedRange sqref="B101:M106 B95:M99 B89:M93 B83:M87 B75:M81 B57:M61" name="APLICACIONES 2"/>
    <protectedRange sqref="K75:L81" name="INFLUENZA DESPERDICIO"/>
    <protectedRange sqref="H75:I81" name="INFLUENZA DÓSIS APLICADAS"/>
    <protectedRange sqref="K19:L23 B52:M55 B44:M49 B38:M42 B32:M36 B25:M30 B19:I23 B13:M17 O44:P47 B51 E51:M51" name="APLICACIONES 1"/>
    <protectedRange sqref="Q101:Q106 Q19:Q23 Q25:Q30 Q32:Q36 Q38:Q42 Q44:Q49 Q51:Q55 Q57:Q61 Q75:Q81 Q83:Q87 Q89:Q93 Q95:Q99 Q13:Q17" name="PEDIDO DE BIOLÓGICO"/>
    <protectedRange sqref="O19:P23 O25:P30 O32:P36 O38:P42 O48:P49 O51:P55 O57:P61 O75:P81 O83:P87 O89:P93 O95:P99 O101:P106 O13:P17" name="LOTE Y CADUCIDAD CORTE FINAL"/>
    <protectedRange sqref="Q13:Q62 Q75:Q107 Q116" name="Pedido mensual"/>
    <protectedRange sqref="C51:D51" name="LOTE Y CADUCIDAD CORTE FINAL_1"/>
    <protectedRange sqref="B111:M115 B108:G110" name="APLICACIONES 2_1"/>
    <protectedRange sqref="K108:L110 H108:I110" name="APLICACIONES 1_1"/>
    <protectedRange sqref="Q108:Q115" name="PEDIDO DE BIOLÓGICO_1"/>
    <protectedRange sqref="O108:P115" name="LOTE Y CADUCIDAD CORTE FINAL_2"/>
    <protectedRange sqref="Q108:Q115" name="Pedido mensual_1"/>
  </protectedRanges>
  <mergeCells count="322">
    <mergeCell ref="A1:Q1"/>
    <mergeCell ref="A2:Q2"/>
    <mergeCell ref="A3:Q3"/>
    <mergeCell ref="A4:Q4"/>
    <mergeCell ref="L5:N5"/>
    <mergeCell ref="O5:P5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Q10:Q12"/>
    <mergeCell ref="C31:D31"/>
    <mergeCell ref="F31:G31"/>
    <mergeCell ref="H31:J31"/>
    <mergeCell ref="K31:M31"/>
    <mergeCell ref="A13:A15"/>
    <mergeCell ref="H13:J13"/>
    <mergeCell ref="K13:M13"/>
    <mergeCell ref="Q13:Q18"/>
    <mergeCell ref="H14:J14"/>
    <mergeCell ref="K14:M14"/>
    <mergeCell ref="H15:J15"/>
    <mergeCell ref="K15:M15"/>
    <mergeCell ref="A16:A17"/>
    <mergeCell ref="H16:J16"/>
    <mergeCell ref="K16:M16"/>
    <mergeCell ref="H17:J17"/>
    <mergeCell ref="K17:M17"/>
    <mergeCell ref="C18:D18"/>
    <mergeCell ref="F18:G18"/>
    <mergeCell ref="H18:J18"/>
    <mergeCell ref="K18:M18"/>
    <mergeCell ref="K26:M26"/>
    <mergeCell ref="H27:J27"/>
    <mergeCell ref="H28:J28"/>
    <mergeCell ref="K28:M28"/>
    <mergeCell ref="A29:A30"/>
    <mergeCell ref="O18:P18"/>
    <mergeCell ref="A19:A21"/>
    <mergeCell ref="Q19:Q24"/>
    <mergeCell ref="A22:A23"/>
    <mergeCell ref="C24:D24"/>
    <mergeCell ref="F24:G24"/>
    <mergeCell ref="H24:J24"/>
    <mergeCell ref="K24:M24"/>
    <mergeCell ref="O24:P24"/>
    <mergeCell ref="H29:J29"/>
    <mergeCell ref="K29:M29"/>
    <mergeCell ref="H30:J30"/>
    <mergeCell ref="K30:M30"/>
    <mergeCell ref="A25:A28"/>
    <mergeCell ref="H25:J25"/>
    <mergeCell ref="K25:M25"/>
    <mergeCell ref="K32:M32"/>
    <mergeCell ref="Q32:Q37"/>
    <mergeCell ref="H33:J33"/>
    <mergeCell ref="K33:M33"/>
    <mergeCell ref="H34:J34"/>
    <mergeCell ref="K34:M34"/>
    <mergeCell ref="A35:A36"/>
    <mergeCell ref="H35:J35"/>
    <mergeCell ref="K35:M35"/>
    <mergeCell ref="H36:J36"/>
    <mergeCell ref="K36:M36"/>
    <mergeCell ref="C37:D37"/>
    <mergeCell ref="F37:G37"/>
    <mergeCell ref="H37:J37"/>
    <mergeCell ref="K37:M37"/>
    <mergeCell ref="O31:P31"/>
    <mergeCell ref="O37:P37"/>
    <mergeCell ref="Q25:Q31"/>
    <mergeCell ref="H26:J26"/>
    <mergeCell ref="A38:A40"/>
    <mergeCell ref="H38:J38"/>
    <mergeCell ref="K38:M38"/>
    <mergeCell ref="Q38:Q43"/>
    <mergeCell ref="H39:J39"/>
    <mergeCell ref="K39:M39"/>
    <mergeCell ref="H40:J40"/>
    <mergeCell ref="K40:M40"/>
    <mergeCell ref="A41:A42"/>
    <mergeCell ref="H41:J41"/>
    <mergeCell ref="K41:M41"/>
    <mergeCell ref="H42:J42"/>
    <mergeCell ref="K42:M42"/>
    <mergeCell ref="C43:D43"/>
    <mergeCell ref="F43:G43"/>
    <mergeCell ref="H43:J43"/>
    <mergeCell ref="K43:M43"/>
    <mergeCell ref="O43:P43"/>
    <mergeCell ref="A32:A34"/>
    <mergeCell ref="H32:J32"/>
    <mergeCell ref="Q44:Q50"/>
    <mergeCell ref="H45:J45"/>
    <mergeCell ref="K45:M45"/>
    <mergeCell ref="H46:J46"/>
    <mergeCell ref="K46:M46"/>
    <mergeCell ref="H47:J47"/>
    <mergeCell ref="C50:D50"/>
    <mergeCell ref="F50:G50"/>
    <mergeCell ref="H50:J50"/>
    <mergeCell ref="K50:M50"/>
    <mergeCell ref="O50:P50"/>
    <mergeCell ref="K47:M47"/>
    <mergeCell ref="A48:A49"/>
    <mergeCell ref="H48:J48"/>
    <mergeCell ref="K48:M48"/>
    <mergeCell ref="H49:J49"/>
    <mergeCell ref="K49:M49"/>
    <mergeCell ref="A44:A47"/>
    <mergeCell ref="H44:J44"/>
    <mergeCell ref="K44:M44"/>
    <mergeCell ref="C56:D56"/>
    <mergeCell ref="F56:G56"/>
    <mergeCell ref="H56:J56"/>
    <mergeCell ref="K56:M56"/>
    <mergeCell ref="O56:P56"/>
    <mergeCell ref="A57:A59"/>
    <mergeCell ref="H57:J57"/>
    <mergeCell ref="K57:M57"/>
    <mergeCell ref="Q51:Q56"/>
    <mergeCell ref="H52:J52"/>
    <mergeCell ref="K52:M52"/>
    <mergeCell ref="H53:J53"/>
    <mergeCell ref="K53:M53"/>
    <mergeCell ref="A54:A55"/>
    <mergeCell ref="H54:J54"/>
    <mergeCell ref="K54:M54"/>
    <mergeCell ref="H55:J55"/>
    <mergeCell ref="K55:M55"/>
    <mergeCell ref="A51:A53"/>
    <mergeCell ref="H51:J51"/>
    <mergeCell ref="K51:M51"/>
    <mergeCell ref="A64:Q64"/>
    <mergeCell ref="A65:Q65"/>
    <mergeCell ref="A66:Q66"/>
    <mergeCell ref="L67:N67"/>
    <mergeCell ref="O67:P67"/>
    <mergeCell ref="A68:E68"/>
    <mergeCell ref="C62:D62"/>
    <mergeCell ref="F62:G62"/>
    <mergeCell ref="H62:J62"/>
    <mergeCell ref="K62:M62"/>
    <mergeCell ref="O62:P62"/>
    <mergeCell ref="A63:Q63"/>
    <mergeCell ref="Q57:Q62"/>
    <mergeCell ref="H58:J58"/>
    <mergeCell ref="K58:M58"/>
    <mergeCell ref="H59:J59"/>
    <mergeCell ref="K59:M59"/>
    <mergeCell ref="A60:A61"/>
    <mergeCell ref="H60:J60"/>
    <mergeCell ref="K60:M60"/>
    <mergeCell ref="H61:J61"/>
    <mergeCell ref="K61:M61"/>
    <mergeCell ref="I69:J69"/>
    <mergeCell ref="M69:N69"/>
    <mergeCell ref="O69:P69"/>
    <mergeCell ref="A70:C70"/>
    <mergeCell ref="D70:L70"/>
    <mergeCell ref="A72:A74"/>
    <mergeCell ref="B72:D73"/>
    <mergeCell ref="E72:G73"/>
    <mergeCell ref="H72:J74"/>
    <mergeCell ref="K72:M74"/>
    <mergeCell ref="N72:P73"/>
    <mergeCell ref="H79:J79"/>
    <mergeCell ref="K79:M79"/>
    <mergeCell ref="A80:A81"/>
    <mergeCell ref="H80:J80"/>
    <mergeCell ref="K80:M80"/>
    <mergeCell ref="H81:J81"/>
    <mergeCell ref="K81:M81"/>
    <mergeCell ref="Q72:Q74"/>
    <mergeCell ref="A75:A79"/>
    <mergeCell ref="H75:J75"/>
    <mergeCell ref="K75:M75"/>
    <mergeCell ref="Q75:Q82"/>
    <mergeCell ref="H76:J76"/>
    <mergeCell ref="K76:M76"/>
    <mergeCell ref="H77:J77"/>
    <mergeCell ref="H78:J78"/>
    <mergeCell ref="C82:D82"/>
    <mergeCell ref="F82:G82"/>
    <mergeCell ref="H82:J82"/>
    <mergeCell ref="K82:M82"/>
    <mergeCell ref="O82:P82"/>
    <mergeCell ref="C88:D88"/>
    <mergeCell ref="F88:G88"/>
    <mergeCell ref="H88:J88"/>
    <mergeCell ref="K88:M88"/>
    <mergeCell ref="O88:P88"/>
    <mergeCell ref="A89:A91"/>
    <mergeCell ref="H89:J89"/>
    <mergeCell ref="K89:M89"/>
    <mergeCell ref="Q83:Q88"/>
    <mergeCell ref="H84:J84"/>
    <mergeCell ref="K84:M84"/>
    <mergeCell ref="H85:J85"/>
    <mergeCell ref="K85:M85"/>
    <mergeCell ref="A86:A87"/>
    <mergeCell ref="H86:J86"/>
    <mergeCell ref="K86:M86"/>
    <mergeCell ref="H87:J87"/>
    <mergeCell ref="K87:M87"/>
    <mergeCell ref="A83:A85"/>
    <mergeCell ref="H83:J83"/>
    <mergeCell ref="K83:M83"/>
    <mergeCell ref="C94:D94"/>
    <mergeCell ref="F94:G94"/>
    <mergeCell ref="H94:J94"/>
    <mergeCell ref="K94:M94"/>
    <mergeCell ref="O94:P94"/>
    <mergeCell ref="A95:A97"/>
    <mergeCell ref="H95:J95"/>
    <mergeCell ref="K95:M95"/>
    <mergeCell ref="Q89:Q94"/>
    <mergeCell ref="H90:J90"/>
    <mergeCell ref="K90:M90"/>
    <mergeCell ref="H91:J91"/>
    <mergeCell ref="K91:M91"/>
    <mergeCell ref="A92:A93"/>
    <mergeCell ref="H92:J92"/>
    <mergeCell ref="K92:M92"/>
    <mergeCell ref="H93:J93"/>
    <mergeCell ref="K93:M93"/>
    <mergeCell ref="C100:D100"/>
    <mergeCell ref="F100:G100"/>
    <mergeCell ref="H100:J100"/>
    <mergeCell ref="K100:M100"/>
    <mergeCell ref="O100:P100"/>
    <mergeCell ref="A101:A103"/>
    <mergeCell ref="H101:J101"/>
    <mergeCell ref="K101:M101"/>
    <mergeCell ref="Q95:Q100"/>
    <mergeCell ref="H96:J96"/>
    <mergeCell ref="K96:M96"/>
    <mergeCell ref="H97:J97"/>
    <mergeCell ref="K97:M97"/>
    <mergeCell ref="A98:A99"/>
    <mergeCell ref="H98:J98"/>
    <mergeCell ref="K98:M98"/>
    <mergeCell ref="H99:J99"/>
    <mergeCell ref="K99:M99"/>
    <mergeCell ref="C107:D107"/>
    <mergeCell ref="F107:G107"/>
    <mergeCell ref="H107:J107"/>
    <mergeCell ref="K107:M107"/>
    <mergeCell ref="O107:P107"/>
    <mergeCell ref="A108:A110"/>
    <mergeCell ref="Q101:Q107"/>
    <mergeCell ref="H102:J102"/>
    <mergeCell ref="K102:M102"/>
    <mergeCell ref="H103:J103"/>
    <mergeCell ref="K103:M103"/>
    <mergeCell ref="A104:A106"/>
    <mergeCell ref="H104:J104"/>
    <mergeCell ref="K104:M104"/>
    <mergeCell ref="H106:J106"/>
    <mergeCell ref="K106:M106"/>
    <mergeCell ref="K114:M114"/>
    <mergeCell ref="H115:J115"/>
    <mergeCell ref="K115:M115"/>
    <mergeCell ref="C116:D116"/>
    <mergeCell ref="F116:G116"/>
    <mergeCell ref="H116:J116"/>
    <mergeCell ref="K116:M116"/>
    <mergeCell ref="Q108:Q116"/>
    <mergeCell ref="A111:A113"/>
    <mergeCell ref="H111:J111"/>
    <mergeCell ref="K111:M111"/>
    <mergeCell ref="H112:J112"/>
    <mergeCell ref="K112:M112"/>
    <mergeCell ref="H113:J113"/>
    <mergeCell ref="K113:M113"/>
    <mergeCell ref="A114:A115"/>
    <mergeCell ref="H114:J114"/>
    <mergeCell ref="O116:P116"/>
    <mergeCell ref="A117:A119"/>
    <mergeCell ref="H117:J117"/>
    <mergeCell ref="K117:M117"/>
    <mergeCell ref="Q117:Q122"/>
    <mergeCell ref="H118:J118"/>
    <mergeCell ref="K118:M118"/>
    <mergeCell ref="H119:J119"/>
    <mergeCell ref="K119:M119"/>
    <mergeCell ref="A120:A121"/>
    <mergeCell ref="H120:J120"/>
    <mergeCell ref="K120:M120"/>
    <mergeCell ref="H121:J121"/>
    <mergeCell ref="K121:M121"/>
    <mergeCell ref="C122:D122"/>
    <mergeCell ref="F122:G122"/>
    <mergeCell ref="H122:J122"/>
    <mergeCell ref="K122:M122"/>
    <mergeCell ref="O122:P122"/>
    <mergeCell ref="A123:A125"/>
    <mergeCell ref="H123:J123"/>
    <mergeCell ref="K123:M123"/>
    <mergeCell ref="Q123:Q128"/>
    <mergeCell ref="H124:J124"/>
    <mergeCell ref="K124:M124"/>
    <mergeCell ref="H125:J125"/>
    <mergeCell ref="K125:M125"/>
    <mergeCell ref="A126:A127"/>
    <mergeCell ref="O128:P128"/>
    <mergeCell ref="H126:J126"/>
    <mergeCell ref="K126:M126"/>
    <mergeCell ref="H127:J127"/>
    <mergeCell ref="K127:M127"/>
    <mergeCell ref="C128:D128"/>
    <mergeCell ref="F128:G128"/>
    <mergeCell ref="H128:J128"/>
    <mergeCell ref="K128:M128"/>
  </mergeCells>
  <dataValidations count="1">
    <dataValidation allowBlank="1" showErrorMessage="1" sqref="H75:H81 K75:M81 I75:J76 I79:J81" xr:uid="{01F0B984-D17C-4BB6-AAB1-3A5E23F6DD94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6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3D0A-0143-4E26-AD26-26A35F72E85C}">
  <sheetPr>
    <tabColor theme="8" tint="-0.249977111117893"/>
  </sheetPr>
  <dimension ref="A1:Q131"/>
  <sheetViews>
    <sheetView showGridLines="0" topLeftCell="A68" zoomScale="60" zoomScaleNormal="60" zoomScaleSheetLayoutView="85" workbookViewId="0">
      <selection activeCell="N126" sqref="N126:P127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12.28515625" style="2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 t="s">
        <v>42</v>
      </c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>
        <f>_xlfn.XLOOKUP(O5,[1]DATOS!A1:A12,[1]DATOS!B1:B12," ",0)</f>
        <v>28</v>
      </c>
      <c r="D7" s="6"/>
      <c r="E7" s="6" t="s">
        <v>9</v>
      </c>
      <c r="F7" s="11" t="s">
        <v>42</v>
      </c>
      <c r="G7" s="1"/>
      <c r="H7" s="8" t="s">
        <v>10</v>
      </c>
      <c r="I7" s="169">
        <v>2026</v>
      </c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>
        <v>165</v>
      </c>
      <c r="C13" s="21" t="s">
        <v>98</v>
      </c>
      <c r="D13" s="22">
        <v>46447</v>
      </c>
      <c r="E13" s="23">
        <v>94</v>
      </c>
      <c r="F13" s="24" t="s">
        <v>98</v>
      </c>
      <c r="G13" s="25">
        <v>46447</v>
      </c>
      <c r="H13" s="201">
        <v>457</v>
      </c>
      <c r="I13" s="202"/>
      <c r="J13" s="203"/>
      <c r="K13" s="201">
        <v>283</v>
      </c>
      <c r="L13" s="202"/>
      <c r="M13" s="203"/>
      <c r="N13" s="26">
        <f>IF((((B13+E13)*10)-(H13+K13))/10=0," ",(((B13+E13)*10)-(H13+K13))/10)</f>
        <v>185</v>
      </c>
      <c r="O13" s="26" t="s">
        <v>98</v>
      </c>
      <c r="P13" s="27">
        <v>46447</v>
      </c>
      <c r="Q13" s="204" t="s">
        <v>85</v>
      </c>
    </row>
    <row r="14" spans="1:17" ht="15" customHeight="1">
      <c r="A14" s="200"/>
      <c r="B14" s="28"/>
      <c r="C14" s="29" t="s">
        <v>61</v>
      </c>
      <c r="D14" s="30" t="s">
        <v>61</v>
      </c>
      <c r="E14" s="31"/>
      <c r="F14" s="32"/>
      <c r="G14" s="33"/>
      <c r="H14" s="207"/>
      <c r="I14" s="208"/>
      <c r="J14" s="209"/>
      <c r="K14" s="207"/>
      <c r="L14" s="208"/>
      <c r="M14" s="209"/>
      <c r="N14" s="34" t="str">
        <f>IF((((B14+E14)*10)-(H14+K14))/10=0," ",(((B14+E14)*10)-(H14+K14))/10)</f>
        <v xml:space="preserve"> </v>
      </c>
      <c r="O14" s="34" t="s">
        <v>61</v>
      </c>
      <c r="P14" s="35" t="s">
        <v>61</v>
      </c>
      <c r="Q14" s="205"/>
    </row>
    <row r="15" spans="1:17" ht="15" customHeight="1" thickBot="1">
      <c r="A15" s="200"/>
      <c r="B15" s="36"/>
      <c r="C15" s="37" t="s">
        <v>61</v>
      </c>
      <c r="D15" s="38" t="s">
        <v>61</v>
      </c>
      <c r="E15" s="39"/>
      <c r="F15" s="40"/>
      <c r="G15" s="41"/>
      <c r="H15" s="210"/>
      <c r="I15" s="211"/>
      <c r="J15" s="212"/>
      <c r="K15" s="210"/>
      <c r="L15" s="211"/>
      <c r="M15" s="212"/>
      <c r="N15" s="42" t="str">
        <f>IF((((B15+E15)*10)-(H15+K15))/10=0," ",(((B15+E15)*10)-(H15+K15))/10)</f>
        <v xml:space="preserve"> </v>
      </c>
      <c r="O15" s="42" t="s">
        <v>61</v>
      </c>
      <c r="P15" s="43" t="s">
        <v>61</v>
      </c>
      <c r="Q15" s="205"/>
    </row>
    <row r="16" spans="1:17" ht="20.100000000000001" customHeight="1">
      <c r="A16" s="213" t="s">
        <v>25</v>
      </c>
      <c r="B16" s="44">
        <v>10</v>
      </c>
      <c r="C16" s="45" t="s">
        <v>66</v>
      </c>
      <c r="D16" s="46">
        <v>45809</v>
      </c>
      <c r="E16" s="47"/>
      <c r="F16" s="45"/>
      <c r="G16" s="46"/>
      <c r="H16" s="215"/>
      <c r="I16" s="216"/>
      <c r="J16" s="217"/>
      <c r="K16" s="215"/>
      <c r="L16" s="216"/>
      <c r="M16" s="217"/>
      <c r="N16" s="44">
        <f>IF((((B16+E16)*10)-(H16+K16))/10=0," ",(((B16+E16)*10)-(H16+K16))/10)</f>
        <v>10</v>
      </c>
      <c r="O16" s="44" t="s">
        <v>66</v>
      </c>
      <c r="P16" s="48">
        <v>45809</v>
      </c>
      <c r="Q16" s="205"/>
    </row>
    <row r="17" spans="1:17" ht="20.100000000000001" customHeight="1" thickBot="1">
      <c r="A17" s="214"/>
      <c r="B17" s="49"/>
      <c r="C17" s="50" t="s">
        <v>61</v>
      </c>
      <c r="D17" s="51" t="s">
        <v>61</v>
      </c>
      <c r="E17" s="52"/>
      <c r="F17" s="50"/>
      <c r="G17" s="51"/>
      <c r="H17" s="218"/>
      <c r="I17" s="219"/>
      <c r="J17" s="220"/>
      <c r="K17" s="218"/>
      <c r="L17" s="219"/>
      <c r="M17" s="220"/>
      <c r="N17" s="49" t="str">
        <f>IF((((B17+E17)*10)-(H17+K17))/10=0," ",(((B17+E17)*10)-(H17+K17))/10)</f>
        <v xml:space="preserve"> </v>
      </c>
      <c r="O17" s="49"/>
      <c r="P17" s="53"/>
      <c r="Q17" s="205"/>
    </row>
    <row r="18" spans="1:17" ht="15" thickBot="1">
      <c r="A18" s="54" t="s">
        <v>26</v>
      </c>
      <c r="B18" s="55">
        <f>IF(SUM(B13:B17)=0," ",SUM(B13:B17))</f>
        <v>175</v>
      </c>
      <c r="C18" s="192"/>
      <c r="D18" s="193"/>
      <c r="E18" s="56">
        <f>IF(SUM(E13:E17)=0," ",SUM(E13:E17))</f>
        <v>94</v>
      </c>
      <c r="F18" s="192"/>
      <c r="G18" s="193"/>
      <c r="H18" s="194">
        <f>IF(SUM(H13:J17)=0," ",SUM(H13:J17))</f>
        <v>457</v>
      </c>
      <c r="I18" s="195"/>
      <c r="J18" s="196"/>
      <c r="K18" s="221">
        <f>IF(SUM(K13:M17)=0," ",SUM(K13:M17))</f>
        <v>283</v>
      </c>
      <c r="L18" s="197"/>
      <c r="M18" s="198"/>
      <c r="N18" s="56">
        <f>IF(SUM(N13:N17)=0," ",SUM(N13:N17))</f>
        <v>195</v>
      </c>
      <c r="O18" s="192"/>
      <c r="P18" s="193"/>
      <c r="Q18" s="206"/>
    </row>
    <row r="19" spans="1:17" ht="15" customHeight="1">
      <c r="A19" s="199" t="s">
        <v>27</v>
      </c>
      <c r="B19" s="59">
        <v>34.4</v>
      </c>
      <c r="C19" s="60">
        <v>2526240806</v>
      </c>
      <c r="D19" s="61">
        <v>46600</v>
      </c>
      <c r="E19" s="23"/>
      <c r="F19" s="24"/>
      <c r="G19" s="25"/>
      <c r="H19" s="62">
        <v>57</v>
      </c>
      <c r="I19" s="116">
        <v>106</v>
      </c>
      <c r="J19" s="64">
        <f t="shared" ref="J19:J23" si="0">(((H19/2)+(I19)))</f>
        <v>134.5</v>
      </c>
      <c r="K19" s="62">
        <v>1</v>
      </c>
      <c r="L19" s="63">
        <v>27</v>
      </c>
      <c r="M19" s="64">
        <f>(((K19/2)+(L19)))</f>
        <v>27.5</v>
      </c>
      <c r="N19" s="23">
        <f>IFERROR(IF((((B19+E19)*10)-(J19+M19))/10=0," ",(((B19+E19)*10)-(J19+M19))/10)," ")</f>
        <v>18.2</v>
      </c>
      <c r="O19" s="24">
        <v>2526240806</v>
      </c>
      <c r="P19" s="25">
        <v>46600</v>
      </c>
      <c r="Q19" s="199" t="s">
        <v>99</v>
      </c>
    </row>
    <row r="20" spans="1:17" ht="15" customHeight="1">
      <c r="A20" s="200"/>
      <c r="B20" s="65">
        <v>28.35</v>
      </c>
      <c r="C20" s="66">
        <v>2526241009</v>
      </c>
      <c r="D20" s="67">
        <v>46661</v>
      </c>
      <c r="E20" s="31">
        <v>343</v>
      </c>
      <c r="F20" s="32">
        <v>2526241009</v>
      </c>
      <c r="G20" s="68">
        <v>46661</v>
      </c>
      <c r="H20" s="69">
        <v>128</v>
      </c>
      <c r="I20" s="70">
        <v>3274</v>
      </c>
      <c r="J20" s="71">
        <f t="shared" si="0"/>
        <v>3338</v>
      </c>
      <c r="K20" s="69"/>
      <c r="L20" s="70">
        <v>21</v>
      </c>
      <c r="M20" s="71">
        <f t="shared" ref="M20:M23" si="1">(((K20/2)+(L20)))</f>
        <v>21</v>
      </c>
      <c r="N20" s="31">
        <f>IFERROR(IF((((B20+E20)*10)-(J20+M20))/10=0," ",(((B20+E20)*10)-(J20+M20))/10)," ")</f>
        <v>35.450000000000003</v>
      </c>
      <c r="O20" s="32">
        <v>2526241009</v>
      </c>
      <c r="P20" s="33">
        <v>46661</v>
      </c>
      <c r="Q20" s="200"/>
    </row>
    <row r="21" spans="1:17" ht="15" customHeight="1" thickBot="1">
      <c r="A21" s="200"/>
      <c r="B21" s="72" t="s">
        <v>61</v>
      </c>
      <c r="C21" s="73" t="s">
        <v>61</v>
      </c>
      <c r="D21" s="74" t="s">
        <v>61</v>
      </c>
      <c r="E21" s="39"/>
      <c r="F21" s="40"/>
      <c r="G21" s="75"/>
      <c r="H21" s="76"/>
      <c r="I21" s="77"/>
      <c r="J21" s="78">
        <f t="shared" si="0"/>
        <v>0</v>
      </c>
      <c r="K21" s="79"/>
      <c r="L21" s="80"/>
      <c r="M21" s="78">
        <f t="shared" si="1"/>
        <v>0</v>
      </c>
      <c r="N21" s="39" t="str">
        <f>IFERROR(IF((((B21+E21)*10)-(J21+M21))/10=0," ",(((B21+E21)*10)-(J21+M21))/10)," ")</f>
        <v xml:space="preserve"> </v>
      </c>
      <c r="O21" s="40"/>
      <c r="P21" s="41"/>
      <c r="Q21" s="200"/>
    </row>
    <row r="22" spans="1:17" ht="20.100000000000001" customHeight="1">
      <c r="A22" s="213" t="s">
        <v>25</v>
      </c>
      <c r="B22" s="44">
        <v>1.3</v>
      </c>
      <c r="C22" s="45" t="s">
        <v>64</v>
      </c>
      <c r="D22" s="46">
        <v>45931</v>
      </c>
      <c r="E22" s="47"/>
      <c r="F22" s="45"/>
      <c r="G22" s="81"/>
      <c r="H22" s="82"/>
      <c r="I22" s="83"/>
      <c r="J22" s="84">
        <f t="shared" si="0"/>
        <v>0</v>
      </c>
      <c r="K22" s="82"/>
      <c r="L22" s="83"/>
      <c r="M22" s="84">
        <f t="shared" si="1"/>
        <v>0</v>
      </c>
      <c r="N22" s="44">
        <f>IFERROR(IF((((B22+E22)*10)-(J22+M22))/10=0," ",(((B22+E22)*10)-(J22+M22))/10)," ")</f>
        <v>1.3</v>
      </c>
      <c r="O22" s="44" t="s">
        <v>64</v>
      </c>
      <c r="P22" s="48">
        <v>45931</v>
      </c>
      <c r="Q22" s="200"/>
    </row>
    <row r="23" spans="1:17" ht="20.100000000000001" customHeight="1" thickBot="1">
      <c r="A23" s="214"/>
      <c r="B23" s="49">
        <v>2</v>
      </c>
      <c r="C23" s="50" t="s">
        <v>72</v>
      </c>
      <c r="D23" s="51">
        <v>45901</v>
      </c>
      <c r="E23" s="52"/>
      <c r="F23" s="50"/>
      <c r="G23" s="85"/>
      <c r="H23" s="86"/>
      <c r="I23" s="87"/>
      <c r="J23" s="88">
        <f t="shared" si="0"/>
        <v>0</v>
      </c>
      <c r="K23" s="86"/>
      <c r="L23" s="87"/>
      <c r="M23" s="88">
        <f t="shared" si="1"/>
        <v>0</v>
      </c>
      <c r="N23" s="49">
        <f>IFERROR(IF((((B23+E23)*10)-(J23+M23))/10=0," ",(((B23+E23)*10)-(J23+M23))/10)," ")</f>
        <v>2</v>
      </c>
      <c r="O23" s="49" t="s">
        <v>72</v>
      </c>
      <c r="P23" s="53">
        <v>45901</v>
      </c>
      <c r="Q23" s="200"/>
    </row>
    <row r="24" spans="1:17" ht="15.75" customHeight="1" thickBot="1">
      <c r="A24" s="54" t="s">
        <v>26</v>
      </c>
      <c r="B24" s="89">
        <f>IF(SUM(B19:B23)=0," ",SUM(B19:B23))</f>
        <v>66.05</v>
      </c>
      <c r="C24" s="192"/>
      <c r="D24" s="193"/>
      <c r="E24" s="56">
        <f>IF(SUM(E19:E23)=0," ",SUM(E19:E23))</f>
        <v>343</v>
      </c>
      <c r="F24" s="192"/>
      <c r="G24" s="193"/>
      <c r="H24" s="224">
        <f>IF(SUM(J19:J23)=0," ",SUM(J19:J23))</f>
        <v>3472.5</v>
      </c>
      <c r="I24" s="225"/>
      <c r="J24" s="226"/>
      <c r="K24" s="221">
        <f>IF(SUM(M19:M23)=0," ",SUM(M19:M23))</f>
        <v>48.5</v>
      </c>
      <c r="L24" s="197"/>
      <c r="M24" s="198"/>
      <c r="N24" s="56">
        <f>IF(SUM(N19:N23)=0," ",SUM(N19:N23))</f>
        <v>56.95</v>
      </c>
      <c r="O24" s="192"/>
      <c r="P24" s="193"/>
      <c r="Q24" s="223"/>
    </row>
    <row r="25" spans="1:17" ht="15" customHeight="1">
      <c r="A25" s="199" t="s">
        <v>28</v>
      </c>
      <c r="B25" s="59">
        <v>698</v>
      </c>
      <c r="C25" s="60" t="s">
        <v>112</v>
      </c>
      <c r="D25" s="61">
        <v>46661</v>
      </c>
      <c r="E25" s="26">
        <v>2605</v>
      </c>
      <c r="F25" s="24" t="s">
        <v>112</v>
      </c>
      <c r="G25" s="25">
        <v>46661</v>
      </c>
      <c r="H25" s="201">
        <v>2224</v>
      </c>
      <c r="I25" s="202"/>
      <c r="J25" s="203"/>
      <c r="K25" s="201"/>
      <c r="L25" s="202"/>
      <c r="M25" s="203"/>
      <c r="N25" s="26">
        <f t="shared" ref="N25:N32" si="2">IF(((B25+E25)-(H25+K25))=0," ",((B25+E25)-(H25+K25)))</f>
        <v>1079</v>
      </c>
      <c r="O25" s="24" t="s">
        <v>112</v>
      </c>
      <c r="P25" s="25">
        <v>46661</v>
      </c>
      <c r="Q25" s="199" t="s">
        <v>123</v>
      </c>
    </row>
    <row r="26" spans="1:17" ht="15" customHeight="1">
      <c r="A26" s="200"/>
      <c r="B26" s="65">
        <v>3</v>
      </c>
      <c r="C26" s="66" t="s">
        <v>67</v>
      </c>
      <c r="D26" s="90">
        <v>46447</v>
      </c>
      <c r="E26" s="34"/>
      <c r="F26" s="32"/>
      <c r="G26" s="33"/>
      <c r="H26" s="207">
        <v>3</v>
      </c>
      <c r="I26" s="208"/>
      <c r="J26" s="209"/>
      <c r="K26" s="207"/>
      <c r="L26" s="208"/>
      <c r="M26" s="209"/>
      <c r="N26" s="34" t="str">
        <f t="shared" si="2"/>
        <v xml:space="preserve"> </v>
      </c>
      <c r="O26" s="32"/>
      <c r="P26" s="33"/>
      <c r="Q26" s="200"/>
    </row>
    <row r="27" spans="1:17" ht="15" customHeight="1">
      <c r="A27" s="200"/>
      <c r="B27" s="72">
        <v>106</v>
      </c>
      <c r="C27" s="73" t="s">
        <v>80</v>
      </c>
      <c r="D27" s="91">
        <v>46508</v>
      </c>
      <c r="E27" s="42"/>
      <c r="F27" s="40"/>
      <c r="G27" s="41"/>
      <c r="H27" s="210">
        <v>72</v>
      </c>
      <c r="I27" s="211"/>
      <c r="J27" s="212"/>
      <c r="K27" s="119"/>
      <c r="L27" s="120"/>
      <c r="M27" s="121"/>
      <c r="N27" s="34">
        <f t="shared" si="2"/>
        <v>34</v>
      </c>
      <c r="O27" s="40" t="s">
        <v>80</v>
      </c>
      <c r="P27" s="41">
        <v>46508</v>
      </c>
      <c r="Q27" s="200"/>
    </row>
    <row r="28" spans="1:17" ht="15" customHeight="1" thickBot="1">
      <c r="A28" s="200"/>
      <c r="B28" s="72">
        <v>266</v>
      </c>
      <c r="C28" s="73" t="s">
        <v>108</v>
      </c>
      <c r="D28" s="91">
        <v>46508</v>
      </c>
      <c r="E28" s="42"/>
      <c r="F28" s="40"/>
      <c r="G28" s="41"/>
      <c r="H28" s="210">
        <v>230</v>
      </c>
      <c r="I28" s="211"/>
      <c r="J28" s="212"/>
      <c r="K28" s="210"/>
      <c r="L28" s="211"/>
      <c r="M28" s="212"/>
      <c r="N28" s="42">
        <f t="shared" si="2"/>
        <v>36</v>
      </c>
      <c r="O28" s="40" t="s">
        <v>108</v>
      </c>
      <c r="P28" s="41">
        <v>46508</v>
      </c>
      <c r="Q28" s="200"/>
    </row>
    <row r="29" spans="1:17" ht="20.100000000000001" customHeight="1">
      <c r="A29" s="213" t="s">
        <v>25</v>
      </c>
      <c r="B29" s="128">
        <v>114</v>
      </c>
      <c r="C29" s="117" t="s">
        <v>67</v>
      </c>
      <c r="D29" s="129">
        <v>46447</v>
      </c>
      <c r="E29" s="118"/>
      <c r="F29" s="117"/>
      <c r="G29" s="129"/>
      <c r="H29" s="215"/>
      <c r="I29" s="216"/>
      <c r="J29" s="217"/>
      <c r="K29" s="215"/>
      <c r="L29" s="216"/>
      <c r="M29" s="217"/>
      <c r="N29" s="128">
        <f t="shared" si="2"/>
        <v>114</v>
      </c>
      <c r="O29" s="128" t="s">
        <v>67</v>
      </c>
      <c r="P29" s="130">
        <v>46447</v>
      </c>
      <c r="Q29" s="200"/>
    </row>
    <row r="30" spans="1:17" ht="20.100000000000001" customHeight="1">
      <c r="A30" s="222"/>
      <c r="B30" s="131">
        <v>1</v>
      </c>
      <c r="C30" s="142" t="s">
        <v>62</v>
      </c>
      <c r="D30" s="143">
        <v>46174</v>
      </c>
      <c r="E30" s="144"/>
      <c r="F30" s="142"/>
      <c r="G30" s="143"/>
      <c r="H30" s="145"/>
      <c r="I30" s="142"/>
      <c r="J30" s="144"/>
      <c r="K30" s="145"/>
      <c r="L30" s="142"/>
      <c r="M30" s="144"/>
      <c r="N30" s="147">
        <f t="shared" si="2"/>
        <v>1</v>
      </c>
      <c r="O30" s="131" t="s">
        <v>62</v>
      </c>
      <c r="P30" s="146">
        <v>46174</v>
      </c>
      <c r="Q30" s="200"/>
    </row>
    <row r="31" spans="1:17" ht="20.100000000000001" customHeight="1">
      <c r="A31" s="222"/>
      <c r="B31" s="122">
        <v>75</v>
      </c>
      <c r="C31" s="123" t="s">
        <v>112</v>
      </c>
      <c r="D31" s="124">
        <v>46661</v>
      </c>
      <c r="E31" s="125"/>
      <c r="F31" s="123"/>
      <c r="G31" s="124"/>
      <c r="H31" s="126"/>
      <c r="I31" s="123"/>
      <c r="J31" s="125"/>
      <c r="K31" s="126"/>
      <c r="L31" s="123"/>
      <c r="M31" s="125"/>
      <c r="N31" s="122">
        <f t="shared" si="2"/>
        <v>75</v>
      </c>
      <c r="O31" s="122" t="s">
        <v>112</v>
      </c>
      <c r="P31" s="127">
        <v>46661</v>
      </c>
      <c r="Q31" s="200"/>
    </row>
    <row r="32" spans="1:17" ht="20.100000000000001" customHeight="1" thickBot="1">
      <c r="A32" s="214"/>
      <c r="B32" s="49">
        <v>175</v>
      </c>
      <c r="C32" s="50" t="s">
        <v>108</v>
      </c>
      <c r="D32" s="51">
        <v>46508</v>
      </c>
      <c r="E32" s="52"/>
      <c r="F32" s="50"/>
      <c r="G32" s="51"/>
      <c r="H32" s="218"/>
      <c r="I32" s="219"/>
      <c r="J32" s="220"/>
      <c r="K32" s="218"/>
      <c r="L32" s="219"/>
      <c r="M32" s="220"/>
      <c r="N32" s="49">
        <f t="shared" si="2"/>
        <v>175</v>
      </c>
      <c r="O32" s="49" t="s">
        <v>108</v>
      </c>
      <c r="P32" s="53">
        <v>46508</v>
      </c>
      <c r="Q32" s="200"/>
    </row>
    <row r="33" spans="1:17" ht="15.75" customHeight="1" thickBot="1">
      <c r="A33" s="54" t="s">
        <v>26</v>
      </c>
      <c r="B33" s="89">
        <f>IF(SUM(B25:B32)=0," ",SUM(B25:B32))</f>
        <v>1438</v>
      </c>
      <c r="C33" s="192"/>
      <c r="D33" s="193"/>
      <c r="E33" s="56">
        <f>IF(SUM(E25:E32)=0," ",SUM(E25:E32))</f>
        <v>2605</v>
      </c>
      <c r="F33" s="192"/>
      <c r="G33" s="193"/>
      <c r="H33" s="194">
        <f>IF(SUM(H25:J32)=0," ",SUM(H25:J32))</f>
        <v>2529</v>
      </c>
      <c r="I33" s="195"/>
      <c r="J33" s="196"/>
      <c r="K33" s="197" t="str">
        <f>IF(SUM(K25:M32)=0," ",SUM(K25:M32))</f>
        <v xml:space="preserve"> </v>
      </c>
      <c r="L33" s="197"/>
      <c r="M33" s="198"/>
      <c r="N33" s="56">
        <f>IF(SUM(N25:N32)=0," ",SUM(N25:N32))</f>
        <v>1514</v>
      </c>
      <c r="O33" s="192"/>
      <c r="P33" s="193"/>
      <c r="Q33" s="223"/>
    </row>
    <row r="34" spans="1:17" ht="15" customHeight="1">
      <c r="A34" s="199" t="s">
        <v>29</v>
      </c>
      <c r="B34" s="59">
        <v>33.200000000000003</v>
      </c>
      <c r="C34" s="60" t="s">
        <v>86</v>
      </c>
      <c r="D34" s="61">
        <v>46388</v>
      </c>
      <c r="E34" s="26"/>
      <c r="F34" s="24"/>
      <c r="G34" s="25"/>
      <c r="H34" s="201">
        <v>234</v>
      </c>
      <c r="I34" s="202"/>
      <c r="J34" s="203"/>
      <c r="K34" s="201">
        <v>8</v>
      </c>
      <c r="L34" s="202"/>
      <c r="M34" s="203"/>
      <c r="N34" s="26">
        <f>IF((((B34+E34)*10)-(H34+K34))/10=0," ",(((B34+E34)*10)-(H34+K34))/10)</f>
        <v>9</v>
      </c>
      <c r="O34" s="24" t="s">
        <v>86</v>
      </c>
      <c r="P34" s="25">
        <v>46388</v>
      </c>
      <c r="Q34" s="199" t="s">
        <v>101</v>
      </c>
    </row>
    <row r="35" spans="1:17" ht="15" customHeight="1">
      <c r="A35" s="200"/>
      <c r="B35" s="65"/>
      <c r="C35" s="66" t="s">
        <v>61</v>
      </c>
      <c r="D35" s="90"/>
      <c r="E35" s="34"/>
      <c r="F35" s="32"/>
      <c r="G35" s="33"/>
      <c r="H35" s="207"/>
      <c r="I35" s="208"/>
      <c r="J35" s="209"/>
      <c r="K35" s="207"/>
      <c r="L35" s="208"/>
      <c r="M35" s="209"/>
      <c r="N35" s="34" t="str">
        <f>IF((((B35+E35)*10)-(H35+K35))/10=0," ",(((B35+E35)*10)-(H35+K35))/10)</f>
        <v xml:space="preserve"> </v>
      </c>
      <c r="O35" s="32" t="s">
        <v>61</v>
      </c>
      <c r="P35" s="33"/>
      <c r="Q35" s="200"/>
    </row>
    <row r="36" spans="1:17" ht="15" customHeight="1" thickBot="1">
      <c r="A36" s="200"/>
      <c r="B36" s="72"/>
      <c r="C36" s="73" t="s">
        <v>61</v>
      </c>
      <c r="D36" s="91" t="s">
        <v>61</v>
      </c>
      <c r="E36" s="42"/>
      <c r="F36" s="40"/>
      <c r="G36" s="41"/>
      <c r="H36" s="210"/>
      <c r="I36" s="211"/>
      <c r="J36" s="212"/>
      <c r="K36" s="210"/>
      <c r="L36" s="211"/>
      <c r="M36" s="212"/>
      <c r="N36" s="42" t="str">
        <f>IF((((B36+E36)*10)-(H36+K36))/10=0," ",(((B36+E36)*10)-(H36+K36))/10)</f>
        <v xml:space="preserve"> </v>
      </c>
      <c r="O36" s="40" t="s">
        <v>61</v>
      </c>
      <c r="P36" s="41" t="s">
        <v>61</v>
      </c>
      <c r="Q36" s="200"/>
    </row>
    <row r="37" spans="1:17" ht="20.100000000000001" customHeight="1">
      <c r="A37" s="213" t="s">
        <v>25</v>
      </c>
      <c r="B37" s="44">
        <v>3.9</v>
      </c>
      <c r="C37" s="45" t="s">
        <v>68</v>
      </c>
      <c r="D37" s="46">
        <v>45870</v>
      </c>
      <c r="E37" s="47"/>
      <c r="F37" s="45"/>
      <c r="G37" s="46"/>
      <c r="H37" s="215"/>
      <c r="I37" s="216"/>
      <c r="J37" s="217"/>
      <c r="K37" s="215"/>
      <c r="L37" s="216"/>
      <c r="M37" s="217"/>
      <c r="N37" s="44">
        <f>IF((((B37+E37)*10)-(H37+K37))/10=0," ",(((B37+E37)*10)-(H37+K37))/10)</f>
        <v>3.9</v>
      </c>
      <c r="O37" s="44" t="s">
        <v>68</v>
      </c>
      <c r="P37" s="48">
        <v>45870</v>
      </c>
      <c r="Q37" s="200"/>
    </row>
    <row r="38" spans="1:17" ht="20.100000000000001" customHeight="1" thickBot="1">
      <c r="A38" s="214"/>
      <c r="B38" s="49"/>
      <c r="C38" s="50"/>
      <c r="D38" s="51"/>
      <c r="E38" s="52"/>
      <c r="F38" s="50"/>
      <c r="G38" s="51"/>
      <c r="H38" s="218"/>
      <c r="I38" s="219"/>
      <c r="J38" s="220"/>
      <c r="K38" s="218"/>
      <c r="L38" s="219"/>
      <c r="M38" s="220"/>
      <c r="N38" s="49" t="str">
        <f>IF((((B38+E38)*10)-(H38+K38))/10=0," ",(((B38+E38)*10)-(H38+K38))/10)</f>
        <v xml:space="preserve"> </v>
      </c>
      <c r="O38" s="49"/>
      <c r="P38" s="53"/>
      <c r="Q38" s="200"/>
    </row>
    <row r="39" spans="1:17" ht="15.75" customHeight="1" thickBot="1">
      <c r="A39" s="54" t="s">
        <v>26</v>
      </c>
      <c r="B39" s="89">
        <f>IF(SUM(B34:B38)=0," ",SUM(B34:B38))</f>
        <v>37.1</v>
      </c>
      <c r="C39" s="192"/>
      <c r="D39" s="193"/>
      <c r="E39" s="56"/>
      <c r="F39" s="192"/>
      <c r="G39" s="193"/>
      <c r="H39" s="194">
        <f>IF(SUM(H34:J38)=0," ",SUM(H34:J38))</f>
        <v>234</v>
      </c>
      <c r="I39" s="195"/>
      <c r="J39" s="196"/>
      <c r="K39" s="197">
        <f>IF(SUM(K34:M38)=0," ",SUM(K34:M38))</f>
        <v>8</v>
      </c>
      <c r="L39" s="197"/>
      <c r="M39" s="198"/>
      <c r="N39" s="56">
        <f>IF(SUM(N34:N38)=0," ",SUM(N34:N38))</f>
        <v>12.9</v>
      </c>
      <c r="O39" s="192"/>
      <c r="P39" s="193"/>
      <c r="Q39" s="223"/>
    </row>
    <row r="40" spans="1:17" ht="15" customHeight="1">
      <c r="A40" s="199" t="s">
        <v>30</v>
      </c>
      <c r="B40" s="59">
        <v>116</v>
      </c>
      <c r="C40" s="60" t="s">
        <v>82</v>
      </c>
      <c r="D40" s="61">
        <v>46054</v>
      </c>
      <c r="E40" s="26"/>
      <c r="F40" s="24"/>
      <c r="G40" s="25"/>
      <c r="H40" s="201">
        <v>116</v>
      </c>
      <c r="I40" s="202"/>
      <c r="J40" s="203"/>
      <c r="K40" s="201"/>
      <c r="L40" s="202"/>
      <c r="M40" s="203"/>
      <c r="N40" s="26" t="str">
        <f>IF(((B40+E40)-(H40+K40))=0," ",((B40+E40)-(H40+K40)))</f>
        <v xml:space="preserve"> </v>
      </c>
      <c r="O40" s="24" t="s">
        <v>82</v>
      </c>
      <c r="P40" s="25">
        <v>46054</v>
      </c>
      <c r="Q40" s="227" t="s">
        <v>102</v>
      </c>
    </row>
    <row r="41" spans="1:17" ht="15" customHeight="1">
      <c r="A41" s="200"/>
      <c r="B41" s="65">
        <v>705</v>
      </c>
      <c r="C41" s="66" t="s">
        <v>82</v>
      </c>
      <c r="D41" s="90">
        <v>46054</v>
      </c>
      <c r="E41" s="34">
        <v>850</v>
      </c>
      <c r="F41" s="32" t="s">
        <v>82</v>
      </c>
      <c r="G41" s="33">
        <v>46054</v>
      </c>
      <c r="H41" s="207">
        <v>745</v>
      </c>
      <c r="I41" s="208"/>
      <c r="J41" s="209"/>
      <c r="K41" s="207">
        <v>810</v>
      </c>
      <c r="L41" s="208"/>
      <c r="M41" s="209"/>
      <c r="N41" s="34" t="str">
        <f>IF(((B41+E41)-(H41+K41))=0," ",((B41+E41)-(H41+K41)))</f>
        <v xml:space="preserve"> </v>
      </c>
      <c r="O41" s="32" t="s">
        <v>82</v>
      </c>
      <c r="P41" s="33">
        <v>46054</v>
      </c>
      <c r="Q41" s="228"/>
    </row>
    <row r="42" spans="1:17" ht="15" customHeight="1" thickBot="1">
      <c r="A42" s="200"/>
      <c r="B42" s="72"/>
      <c r="C42" s="73"/>
      <c r="D42" s="91"/>
      <c r="E42" s="42">
        <v>295</v>
      </c>
      <c r="F42" s="40" t="s">
        <v>118</v>
      </c>
      <c r="G42" s="41">
        <v>46113</v>
      </c>
      <c r="H42" s="210">
        <v>96</v>
      </c>
      <c r="I42" s="211"/>
      <c r="J42" s="212"/>
      <c r="K42" s="210"/>
      <c r="L42" s="211"/>
      <c r="M42" s="212"/>
      <c r="N42" s="42">
        <f>IF(((B42+E42)-(H42+K42))=0," ",((B42+E42)-(H42+K42)))</f>
        <v>199</v>
      </c>
      <c r="O42" s="40" t="s">
        <v>118</v>
      </c>
      <c r="P42" s="41">
        <v>46113</v>
      </c>
      <c r="Q42" s="228"/>
    </row>
    <row r="43" spans="1:17" ht="20.100000000000001" customHeight="1">
      <c r="A43" s="213" t="s">
        <v>25</v>
      </c>
      <c r="B43" s="44">
        <v>85</v>
      </c>
      <c r="C43" s="45" t="s">
        <v>69</v>
      </c>
      <c r="D43" s="46">
        <v>45992</v>
      </c>
      <c r="E43" s="47"/>
      <c r="F43" s="45"/>
      <c r="G43" s="46"/>
      <c r="H43" s="215"/>
      <c r="I43" s="216"/>
      <c r="J43" s="217"/>
      <c r="K43" s="215"/>
      <c r="L43" s="216"/>
      <c r="M43" s="217"/>
      <c r="N43" s="44">
        <f>IF(((B43+E43)-(H43+K43))=0," ",((B43+E43)-(H43+K43)))</f>
        <v>85</v>
      </c>
      <c r="O43" s="44" t="s">
        <v>69</v>
      </c>
      <c r="P43" s="48">
        <v>45992</v>
      </c>
      <c r="Q43" s="228"/>
    </row>
    <row r="44" spans="1:17" ht="20.100000000000001" customHeight="1" thickBot="1">
      <c r="A44" s="214"/>
      <c r="B44" s="49">
        <v>10</v>
      </c>
      <c r="C44" s="50" t="s">
        <v>82</v>
      </c>
      <c r="D44" s="51">
        <v>46054</v>
      </c>
      <c r="E44" s="52"/>
      <c r="F44" s="50"/>
      <c r="G44" s="51"/>
      <c r="H44" s="218"/>
      <c r="I44" s="219"/>
      <c r="J44" s="220"/>
      <c r="K44" s="218"/>
      <c r="L44" s="219"/>
      <c r="M44" s="220"/>
      <c r="N44" s="49">
        <f>IF(((B44+E44)-(H44+K44))=0," ",((B44+E44)-(H44+K44)))</f>
        <v>10</v>
      </c>
      <c r="O44" s="49" t="s">
        <v>82</v>
      </c>
      <c r="P44" s="53">
        <v>46054</v>
      </c>
      <c r="Q44" s="228"/>
    </row>
    <row r="45" spans="1:17" ht="15.75" customHeight="1" thickBot="1">
      <c r="A45" s="54" t="s">
        <v>26</v>
      </c>
      <c r="B45" s="89">
        <f>IF(SUM(B40:B44)=0," ",SUM(B40:B44))</f>
        <v>916</v>
      </c>
      <c r="C45" s="192"/>
      <c r="D45" s="193"/>
      <c r="E45" s="56">
        <f>IF(SUM(E40:E44)=0," ",SUM(E40:E44))</f>
        <v>1145</v>
      </c>
      <c r="F45" s="192"/>
      <c r="G45" s="193"/>
      <c r="H45" s="194">
        <f>IF(SUM(H40:J44)=0," ",SUM(H40:J44))</f>
        <v>957</v>
      </c>
      <c r="I45" s="195"/>
      <c r="J45" s="196"/>
      <c r="K45" s="197">
        <f>IF(SUM(K40:M44)=0," ",SUM(K40:M44))</f>
        <v>810</v>
      </c>
      <c r="L45" s="197"/>
      <c r="M45" s="198"/>
      <c r="N45" s="56">
        <f>IF(SUM(N40:N44)=0," ",SUM(N40:N44))</f>
        <v>294</v>
      </c>
      <c r="O45" s="192"/>
      <c r="P45" s="193"/>
      <c r="Q45" s="229"/>
    </row>
    <row r="46" spans="1:17" ht="16.5" customHeight="1">
      <c r="A46" s="199" t="s">
        <v>31</v>
      </c>
      <c r="B46" s="59">
        <v>10</v>
      </c>
      <c r="C46" s="60" t="s">
        <v>63</v>
      </c>
      <c r="D46" s="61">
        <v>46204</v>
      </c>
      <c r="E46" s="26"/>
      <c r="F46" s="24"/>
      <c r="G46" s="25"/>
      <c r="H46" s="201"/>
      <c r="I46" s="202"/>
      <c r="J46" s="203"/>
      <c r="K46" s="201"/>
      <c r="L46" s="202"/>
      <c r="M46" s="203"/>
      <c r="N46" s="26">
        <f t="shared" ref="N46:N51" si="3">IF(((B46+E46)-(H46+K46))=0," ",((B46+E46)-(H46+K46)))</f>
        <v>10</v>
      </c>
      <c r="O46" s="60" t="s">
        <v>63</v>
      </c>
      <c r="P46" s="61">
        <v>46204</v>
      </c>
      <c r="Q46" s="199" t="s">
        <v>115</v>
      </c>
    </row>
    <row r="47" spans="1:17" ht="16.5" customHeight="1">
      <c r="A47" s="200"/>
      <c r="B47" s="92">
        <v>231</v>
      </c>
      <c r="C47" s="93" t="s">
        <v>71</v>
      </c>
      <c r="D47" s="94">
        <v>46235</v>
      </c>
      <c r="E47" s="95"/>
      <c r="F47" s="96"/>
      <c r="G47" s="97"/>
      <c r="H47" s="210">
        <v>105</v>
      </c>
      <c r="I47" s="211"/>
      <c r="J47" s="212"/>
      <c r="K47" s="210"/>
      <c r="L47" s="211"/>
      <c r="M47" s="212"/>
      <c r="N47" s="95">
        <f t="shared" si="3"/>
        <v>126</v>
      </c>
      <c r="O47" s="93" t="s">
        <v>71</v>
      </c>
      <c r="P47" s="94">
        <v>46235</v>
      </c>
      <c r="Q47" s="200"/>
    </row>
    <row r="48" spans="1:17" ht="16.5" customHeight="1">
      <c r="A48" s="200"/>
      <c r="B48" s="92">
        <v>1681</v>
      </c>
      <c r="C48" s="93" t="s">
        <v>113</v>
      </c>
      <c r="D48" s="94">
        <v>46388</v>
      </c>
      <c r="E48" s="95">
        <v>3975</v>
      </c>
      <c r="F48" s="96" t="s">
        <v>113</v>
      </c>
      <c r="G48" s="97">
        <v>46388</v>
      </c>
      <c r="H48" s="207">
        <v>2325</v>
      </c>
      <c r="I48" s="208"/>
      <c r="J48" s="209"/>
      <c r="K48" s="207"/>
      <c r="L48" s="208"/>
      <c r="M48" s="209"/>
      <c r="N48" s="95">
        <f t="shared" si="3"/>
        <v>3331</v>
      </c>
      <c r="O48" s="93" t="s">
        <v>113</v>
      </c>
      <c r="P48" s="94">
        <v>46388</v>
      </c>
      <c r="Q48" s="200"/>
    </row>
    <row r="49" spans="1:17" ht="16.5" customHeight="1" thickBot="1">
      <c r="A49" s="200"/>
      <c r="B49" s="92"/>
      <c r="C49" s="93"/>
      <c r="D49" s="94"/>
      <c r="E49" s="95"/>
      <c r="F49" s="96"/>
      <c r="G49" s="97"/>
      <c r="H49" s="210"/>
      <c r="I49" s="211"/>
      <c r="J49" s="212"/>
      <c r="K49" s="210"/>
      <c r="L49" s="211"/>
      <c r="M49" s="212"/>
      <c r="N49" s="95" t="str">
        <f t="shared" si="3"/>
        <v xml:space="preserve"> </v>
      </c>
      <c r="O49" s="93"/>
      <c r="P49" s="94"/>
      <c r="Q49" s="200"/>
    </row>
    <row r="50" spans="1:17" ht="20.100000000000001" customHeight="1">
      <c r="A50" s="213" t="s">
        <v>25</v>
      </c>
      <c r="B50" s="44">
        <v>28</v>
      </c>
      <c r="C50" s="44" t="s">
        <v>63</v>
      </c>
      <c r="D50" s="48">
        <v>46204</v>
      </c>
      <c r="E50" s="47"/>
      <c r="F50" s="45"/>
      <c r="G50" s="46"/>
      <c r="H50" s="215"/>
      <c r="I50" s="216"/>
      <c r="J50" s="217"/>
      <c r="K50" s="215"/>
      <c r="L50" s="216"/>
      <c r="M50" s="217"/>
      <c r="N50" s="44">
        <f t="shared" si="3"/>
        <v>28</v>
      </c>
      <c r="O50" s="44" t="s">
        <v>63</v>
      </c>
      <c r="P50" s="48">
        <v>46204</v>
      </c>
      <c r="Q50" s="200"/>
    </row>
    <row r="51" spans="1:17" ht="20.100000000000001" customHeight="1" thickBot="1">
      <c r="A51" s="214"/>
      <c r="B51" s="49">
        <v>92</v>
      </c>
      <c r="C51" s="49" t="s">
        <v>71</v>
      </c>
      <c r="D51" s="53">
        <v>46235</v>
      </c>
      <c r="E51" s="52"/>
      <c r="F51" s="50"/>
      <c r="G51" s="51"/>
      <c r="H51" s="218"/>
      <c r="I51" s="219"/>
      <c r="J51" s="220"/>
      <c r="K51" s="218"/>
      <c r="L51" s="219"/>
      <c r="M51" s="220"/>
      <c r="N51" s="49">
        <f t="shared" si="3"/>
        <v>92</v>
      </c>
      <c r="O51" s="49" t="s">
        <v>71</v>
      </c>
      <c r="P51" s="53">
        <v>46235</v>
      </c>
      <c r="Q51" s="200"/>
    </row>
    <row r="52" spans="1:17" ht="15.75" customHeight="1" thickBot="1">
      <c r="A52" s="54" t="s">
        <v>26</v>
      </c>
      <c r="B52" s="89">
        <f>IF(SUM(B46:B51)=0," ",SUM(B46:B51))</f>
        <v>2042</v>
      </c>
      <c r="C52" s="192"/>
      <c r="D52" s="193"/>
      <c r="E52" s="56">
        <f>IF(SUM(E47:E51)=0," ",SUM(E47:E51))</f>
        <v>3975</v>
      </c>
      <c r="F52" s="192"/>
      <c r="G52" s="193"/>
      <c r="H52" s="194">
        <f>IF(SUM(H46:J51)=0," ",SUM(H46:J51))</f>
        <v>2430</v>
      </c>
      <c r="I52" s="195"/>
      <c r="J52" s="196"/>
      <c r="K52" s="197" t="str">
        <f>IF(SUM(K46:M51)=0," ",SUM(K46:M51))</f>
        <v xml:space="preserve"> </v>
      </c>
      <c r="L52" s="197"/>
      <c r="M52" s="198"/>
      <c r="N52" s="56">
        <f>IF(SUM(N46:N51)=0," ",SUM(N46:N51))</f>
        <v>3587</v>
      </c>
      <c r="O52" s="192"/>
      <c r="P52" s="193"/>
      <c r="Q52" s="223"/>
    </row>
    <row r="53" spans="1:17" ht="18" customHeight="1">
      <c r="A53" s="199" t="s">
        <v>32</v>
      </c>
      <c r="B53" s="59"/>
      <c r="C53" s="24"/>
      <c r="D53" s="25"/>
      <c r="E53" s="26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4"/>
      <c r="P53" s="25"/>
      <c r="Q53" s="204" t="s">
        <v>124</v>
      </c>
    </row>
    <row r="54" spans="1:17" ht="18" customHeight="1">
      <c r="A54" s="200"/>
      <c r="B54" s="92"/>
      <c r="C54" s="93"/>
      <c r="D54" s="94"/>
      <c r="E54" s="95"/>
      <c r="F54" s="96"/>
      <c r="G54" s="97"/>
      <c r="H54" s="207"/>
      <c r="I54" s="208"/>
      <c r="J54" s="209"/>
      <c r="K54" s="207"/>
      <c r="L54" s="208"/>
      <c r="M54" s="209"/>
      <c r="N54" s="95" t="str">
        <f>IF(((B54+E54)-(H54+K54))=0," ",((B54+E54)-(H54+K54)))</f>
        <v xml:space="preserve"> </v>
      </c>
      <c r="O54" s="96"/>
      <c r="P54" s="97"/>
      <c r="Q54" s="205"/>
    </row>
    <row r="55" spans="1:17" ht="18" customHeight="1" thickBot="1">
      <c r="A55" s="200"/>
      <c r="B55" s="92"/>
      <c r="C55" s="93"/>
      <c r="D55" s="94"/>
      <c r="E55" s="95"/>
      <c r="F55" s="96"/>
      <c r="G55" s="97"/>
      <c r="H55" s="210"/>
      <c r="I55" s="211"/>
      <c r="J55" s="212"/>
      <c r="K55" s="210"/>
      <c r="L55" s="211"/>
      <c r="M55" s="212"/>
      <c r="N55" s="95" t="str">
        <f>IF(((B55+E55)-(H55+K55))=0," ",((B55+E55)-(H55+K55)))</f>
        <v xml:space="preserve"> </v>
      </c>
      <c r="O55" s="96"/>
      <c r="P55" s="97"/>
      <c r="Q55" s="205"/>
    </row>
    <row r="56" spans="1:17" ht="20.100000000000001" customHeight="1">
      <c r="A56" s="213" t="s">
        <v>25</v>
      </c>
      <c r="B56" s="44">
        <v>4</v>
      </c>
      <c r="C56" s="45" t="s">
        <v>59</v>
      </c>
      <c r="D56" s="46">
        <v>45870</v>
      </c>
      <c r="E56" s="47"/>
      <c r="F56" s="45"/>
      <c r="G56" s="46"/>
      <c r="H56" s="215"/>
      <c r="I56" s="216"/>
      <c r="J56" s="217"/>
      <c r="K56" s="215">
        <v>4</v>
      </c>
      <c r="L56" s="216"/>
      <c r="M56" s="217"/>
      <c r="N56" s="44" t="str">
        <f>IF(((B56+E56)-(H56+K56))=0," ",((B56+E56)-(H56+K56)))</f>
        <v xml:space="preserve"> </v>
      </c>
      <c r="O56" s="44" t="s">
        <v>59</v>
      </c>
      <c r="P56" s="48">
        <v>45870</v>
      </c>
      <c r="Q56" s="205"/>
    </row>
    <row r="57" spans="1:17" ht="20.100000000000001" customHeight="1" thickBot="1">
      <c r="A57" s="214"/>
      <c r="B57" s="49"/>
      <c r="C57" s="50"/>
      <c r="D57" s="51"/>
      <c r="E57" s="52"/>
      <c r="F57" s="50"/>
      <c r="G57" s="51"/>
      <c r="H57" s="218"/>
      <c r="I57" s="219"/>
      <c r="J57" s="220"/>
      <c r="K57" s="218"/>
      <c r="L57" s="219"/>
      <c r="M57" s="220"/>
      <c r="N57" s="49" t="str">
        <f>IF(((B57+E57)-(H57+K57))=0," ",((B57+E57)-(H57+K57)))</f>
        <v xml:space="preserve"> </v>
      </c>
      <c r="O57" s="49"/>
      <c r="P57" s="53"/>
      <c r="Q57" s="205"/>
    </row>
    <row r="58" spans="1:17" ht="15.75" customHeight="1" thickBot="1">
      <c r="A58" s="54" t="s">
        <v>26</v>
      </c>
      <c r="B58" s="89">
        <f>IF(SUM(B53:B57)=0," ",SUM(B53:B57))</f>
        <v>4</v>
      </c>
      <c r="C58" s="192"/>
      <c r="D58" s="193"/>
      <c r="E58" s="56"/>
      <c r="F58" s="192"/>
      <c r="G58" s="193"/>
      <c r="H58" s="194" t="str">
        <f>IF(SUM(H53:J57)=0," ",SUM(H53:J57))</f>
        <v xml:space="preserve"> </v>
      </c>
      <c r="I58" s="195"/>
      <c r="J58" s="196"/>
      <c r="K58" s="197">
        <f>IF(SUM(K53:M57)=0," ",SUM(K53:M57))</f>
        <v>4</v>
      </c>
      <c r="L58" s="197"/>
      <c r="M58" s="198"/>
      <c r="N58" s="56" t="str">
        <f>IF(SUM(N53:N57)=0," ",SUM(N53:N57))</f>
        <v xml:space="preserve"> </v>
      </c>
      <c r="O58" s="192"/>
      <c r="P58" s="193"/>
      <c r="Q58" s="206"/>
    </row>
    <row r="59" spans="1:17" ht="18" customHeight="1">
      <c r="A59" s="199" t="s">
        <v>35</v>
      </c>
      <c r="B59" s="59">
        <v>56</v>
      </c>
      <c r="C59" s="59" t="s">
        <v>83</v>
      </c>
      <c r="D59" s="61">
        <v>46113</v>
      </c>
      <c r="E59" s="26">
        <v>18155</v>
      </c>
      <c r="F59" s="24" t="s">
        <v>83</v>
      </c>
      <c r="G59" s="25">
        <v>46113</v>
      </c>
      <c r="H59" s="201">
        <v>3710</v>
      </c>
      <c r="I59" s="202"/>
      <c r="J59" s="203"/>
      <c r="K59" s="201"/>
      <c r="L59" s="202"/>
      <c r="M59" s="203"/>
      <c r="N59" s="26">
        <f>IF(((B59+E59)-(H59+K59))=0," ",((B59+E59)-(H59+K59)))</f>
        <v>14501</v>
      </c>
      <c r="O59" s="24" t="s">
        <v>83</v>
      </c>
      <c r="P59" s="25">
        <v>46113</v>
      </c>
      <c r="Q59" s="199" t="s">
        <v>116</v>
      </c>
    </row>
    <row r="60" spans="1:17" ht="18" customHeight="1">
      <c r="A60" s="200"/>
      <c r="B60" s="65">
        <v>767</v>
      </c>
      <c r="C60" s="65" t="s">
        <v>94</v>
      </c>
      <c r="D60" s="90">
        <v>46113</v>
      </c>
      <c r="E60" s="34"/>
      <c r="F60" s="32"/>
      <c r="G60" s="33"/>
      <c r="H60" s="207">
        <v>723</v>
      </c>
      <c r="I60" s="208"/>
      <c r="J60" s="209"/>
      <c r="K60" s="207"/>
      <c r="L60" s="208"/>
      <c r="M60" s="209"/>
      <c r="N60" s="34">
        <f>IF(((B60+E60)-(H60+K60))=0," ",((B60+E60)-(H60+K60)))</f>
        <v>44</v>
      </c>
      <c r="O60" s="32" t="s">
        <v>94</v>
      </c>
      <c r="P60" s="33">
        <v>46113</v>
      </c>
      <c r="Q60" s="200"/>
    </row>
    <row r="61" spans="1:17" ht="18" customHeight="1" thickBot="1">
      <c r="A61" s="200"/>
      <c r="B61" s="72">
        <v>636</v>
      </c>
      <c r="C61" s="72" t="s">
        <v>114</v>
      </c>
      <c r="D61" s="72">
        <v>46113</v>
      </c>
      <c r="E61" s="42">
        <v>3490</v>
      </c>
      <c r="F61" s="40" t="s">
        <v>114</v>
      </c>
      <c r="G61" s="41">
        <v>46113</v>
      </c>
      <c r="H61" s="242">
        <v>3591</v>
      </c>
      <c r="I61" s="243"/>
      <c r="J61" s="244"/>
      <c r="K61" s="242"/>
      <c r="L61" s="243"/>
      <c r="M61" s="244"/>
      <c r="N61" s="42">
        <f>IF(((B61+E61)-(H61+K61))=0," ",((B61+E61)-(H61+K61)))</f>
        <v>535</v>
      </c>
      <c r="O61" s="40" t="s">
        <v>114</v>
      </c>
      <c r="P61" s="41">
        <v>46113</v>
      </c>
      <c r="Q61" s="200"/>
    </row>
    <row r="62" spans="1:17" ht="20.100000000000001" customHeight="1">
      <c r="A62" s="213" t="s">
        <v>25</v>
      </c>
      <c r="B62" s="44">
        <v>574</v>
      </c>
      <c r="C62" s="47" t="s">
        <v>57</v>
      </c>
      <c r="D62" s="48">
        <v>44713</v>
      </c>
      <c r="E62" s="47"/>
      <c r="F62" s="45"/>
      <c r="G62" s="46"/>
      <c r="H62" s="215"/>
      <c r="I62" s="216"/>
      <c r="J62" s="217"/>
      <c r="K62" s="215"/>
      <c r="L62" s="216"/>
      <c r="M62" s="217"/>
      <c r="N62" s="44">
        <f>IF(((B62+E62)-(H62+K62))=0," ",((B62+E62)-(H62+K62)))</f>
        <v>574</v>
      </c>
      <c r="O62" s="44" t="s">
        <v>57</v>
      </c>
      <c r="P62" s="48">
        <v>44713</v>
      </c>
      <c r="Q62" s="200"/>
    </row>
    <row r="63" spans="1:17" ht="20.100000000000001" customHeight="1" thickBot="1">
      <c r="A63" s="214"/>
      <c r="B63" s="49">
        <v>87</v>
      </c>
      <c r="C63" s="52" t="s">
        <v>74</v>
      </c>
      <c r="D63" s="53">
        <v>46082</v>
      </c>
      <c r="E63" s="52"/>
      <c r="F63" s="50"/>
      <c r="G63" s="51"/>
      <c r="H63" s="218"/>
      <c r="I63" s="219"/>
      <c r="J63" s="220"/>
      <c r="K63" s="218"/>
      <c r="L63" s="219"/>
      <c r="M63" s="220"/>
      <c r="N63" s="49">
        <f>IF(((B63+E63)-(H63+K63))=0," ",((B63+E63)-(H63+K63)))</f>
        <v>87</v>
      </c>
      <c r="O63" s="49" t="s">
        <v>74</v>
      </c>
      <c r="P63" s="53">
        <v>46082</v>
      </c>
      <c r="Q63" s="200"/>
    </row>
    <row r="64" spans="1:17" ht="15.75" customHeight="1" thickBot="1">
      <c r="A64" s="54" t="s">
        <v>26</v>
      </c>
      <c r="B64" s="89">
        <f>IF(SUM(B59:B63)=0," ",SUM(B59:B63))</f>
        <v>2120</v>
      </c>
      <c r="C64" s="192"/>
      <c r="D64" s="193"/>
      <c r="E64" s="56">
        <f>IF(SUM(E59:E63)=0," ",SUM(E59:E63))</f>
        <v>21645</v>
      </c>
      <c r="F64" s="192"/>
      <c r="G64" s="193"/>
      <c r="H64" s="194">
        <f>IF(SUM(H59:J63)=0," ",SUM(H59:J63))</f>
        <v>8024</v>
      </c>
      <c r="I64" s="195"/>
      <c r="J64" s="196"/>
      <c r="K64" s="197" t="str">
        <f>IF(SUM(K59:M63)=0," ",SUM(K59:M63))</f>
        <v xml:space="preserve"> </v>
      </c>
      <c r="L64" s="197"/>
      <c r="M64" s="198"/>
      <c r="N64" s="56">
        <f>IF(SUM(N59:N63)=0," ",SUM(N59:N63))</f>
        <v>15741</v>
      </c>
      <c r="O64" s="192"/>
      <c r="P64" s="193"/>
      <c r="Q64" s="223"/>
    </row>
    <row r="65" spans="1:17">
      <c r="A65" s="167" t="s">
        <v>33</v>
      </c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</row>
    <row r="66" spans="1:17">
      <c r="A66" s="167" t="s">
        <v>1</v>
      </c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</row>
    <row r="67" spans="1:17">
      <c r="A67" s="167" t="s">
        <v>2</v>
      </c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</row>
    <row r="68" spans="1:17">
      <c r="A68" s="167" t="s">
        <v>3</v>
      </c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</row>
    <row r="69" spans="1:17" ht="15" customHeight="1">
      <c r="A69" s="3" t="s">
        <v>4</v>
      </c>
      <c r="B69" s="13"/>
      <c r="C69" s="13"/>
      <c r="D69" s="13"/>
      <c r="E69" s="13"/>
      <c r="H69" s="5"/>
      <c r="I69" s="5"/>
      <c r="J69" s="5"/>
      <c r="K69" s="5"/>
      <c r="L69" s="168" t="s">
        <v>5</v>
      </c>
      <c r="M69" s="168"/>
      <c r="N69" s="168"/>
      <c r="O69" s="169" t="str">
        <f>IF(O5=0," ",O5)</f>
        <v>FEBRERO</v>
      </c>
      <c r="P69" s="169"/>
      <c r="Q69" s="8"/>
    </row>
    <row r="70" spans="1:17">
      <c r="A70" s="187" t="s">
        <v>6</v>
      </c>
      <c r="B70" s="187"/>
      <c r="C70" s="187"/>
      <c r="D70" s="187"/>
      <c r="E70" s="187"/>
      <c r="N70" s="9"/>
      <c r="O70" s="9"/>
      <c r="P70" s="9"/>
      <c r="Q70" s="8"/>
    </row>
    <row r="71" spans="1:17">
      <c r="A71" s="7" t="s">
        <v>7</v>
      </c>
      <c r="B71" s="6" t="s">
        <v>8</v>
      </c>
      <c r="C71" s="10">
        <f>IF(C7=0," ",C7)</f>
        <v>28</v>
      </c>
      <c r="D71" s="6"/>
      <c r="E71" s="6" t="s">
        <v>9</v>
      </c>
      <c r="F71" s="11" t="str">
        <f>O69</f>
        <v>FEBRERO</v>
      </c>
      <c r="G71" s="1"/>
      <c r="H71" s="8" t="s">
        <v>10</v>
      </c>
      <c r="I71" s="169">
        <f>IF(I7=0," ",I7)</f>
        <v>2026</v>
      </c>
      <c r="J71" s="169"/>
      <c r="K71" s="12"/>
      <c r="L71" s="12"/>
      <c r="M71" s="168" t="s">
        <v>11</v>
      </c>
      <c r="N71" s="168"/>
      <c r="O71" s="169" t="str">
        <f>IF(O7=0," ",O7)</f>
        <v>QUERÉTARO</v>
      </c>
      <c r="P71" s="169"/>
    </row>
    <row r="72" spans="1:17">
      <c r="A72" s="188" t="s">
        <v>34</v>
      </c>
      <c r="B72" s="188"/>
      <c r="C72" s="188"/>
      <c r="D72" s="189" t="str">
        <f>IF(D8=0," ",D8)</f>
        <v>L.E. ANA MARÍA RAMÍREZ MUNGUÍA</v>
      </c>
      <c r="E72" s="189"/>
      <c r="F72" s="189"/>
      <c r="G72" s="189"/>
      <c r="H72" s="189"/>
      <c r="I72" s="189"/>
      <c r="J72" s="189"/>
      <c r="K72" s="189"/>
      <c r="L72" s="189"/>
    </row>
    <row r="73" spans="1:17" ht="15" thickBot="1">
      <c r="A73" s="8" t="s">
        <v>13</v>
      </c>
      <c r="B73" s="13"/>
      <c r="C73" s="13"/>
      <c r="D73" s="13"/>
      <c r="E73" s="13"/>
    </row>
    <row r="74" spans="1:17" ht="22.5" customHeight="1" thickBot="1">
      <c r="A74" s="170" t="s">
        <v>14</v>
      </c>
      <c r="B74" s="171" t="s">
        <v>15</v>
      </c>
      <c r="C74" s="172"/>
      <c r="D74" s="172"/>
      <c r="E74" s="171" t="s">
        <v>16</v>
      </c>
      <c r="F74" s="175"/>
      <c r="G74" s="176"/>
      <c r="H74" s="180" t="s">
        <v>17</v>
      </c>
      <c r="I74" s="175"/>
      <c r="J74" s="176"/>
      <c r="K74" s="171" t="s">
        <v>18</v>
      </c>
      <c r="L74" s="175"/>
      <c r="M74" s="176"/>
      <c r="N74" s="171" t="s">
        <v>19</v>
      </c>
      <c r="O74" s="175"/>
      <c r="P74" s="176"/>
      <c r="Q74" s="190" t="s">
        <v>20</v>
      </c>
    </row>
    <row r="75" spans="1:17" ht="22.5" customHeight="1" thickBot="1">
      <c r="A75" s="170"/>
      <c r="B75" s="173"/>
      <c r="C75" s="174"/>
      <c r="D75" s="174"/>
      <c r="E75" s="177"/>
      <c r="F75" s="178"/>
      <c r="G75" s="179"/>
      <c r="H75" s="181"/>
      <c r="I75" s="182"/>
      <c r="J75" s="183"/>
      <c r="K75" s="181"/>
      <c r="L75" s="182"/>
      <c r="M75" s="183"/>
      <c r="N75" s="177"/>
      <c r="O75" s="178"/>
      <c r="P75" s="179"/>
      <c r="Q75" s="191"/>
    </row>
    <row r="76" spans="1:17" ht="18" customHeight="1" thickBot="1">
      <c r="A76" s="170"/>
      <c r="B76" s="98" t="s">
        <v>21</v>
      </c>
      <c r="C76" s="99" t="s">
        <v>22</v>
      </c>
      <c r="D76" s="100" t="s">
        <v>23</v>
      </c>
      <c r="E76" s="101" t="s">
        <v>21</v>
      </c>
      <c r="F76" s="102" t="s">
        <v>22</v>
      </c>
      <c r="G76" s="103" t="s">
        <v>23</v>
      </c>
      <c r="H76" s="184"/>
      <c r="I76" s="185"/>
      <c r="J76" s="186"/>
      <c r="K76" s="184"/>
      <c r="L76" s="185"/>
      <c r="M76" s="186"/>
      <c r="N76" s="101" t="s">
        <v>21</v>
      </c>
      <c r="O76" s="102" t="s">
        <v>22</v>
      </c>
      <c r="P76" s="103" t="s">
        <v>23</v>
      </c>
      <c r="Q76" s="191"/>
    </row>
    <row r="77" spans="1:17" ht="18.95" customHeight="1">
      <c r="A77" s="199" t="s">
        <v>36</v>
      </c>
      <c r="B77" s="59">
        <v>15.6</v>
      </c>
      <c r="C77" s="59" t="s">
        <v>89</v>
      </c>
      <c r="D77" s="61">
        <v>46174</v>
      </c>
      <c r="E77" s="26"/>
      <c r="F77" s="24"/>
      <c r="G77" s="104"/>
      <c r="H77" s="236">
        <v>106</v>
      </c>
      <c r="I77" s="237"/>
      <c r="J77" s="238"/>
      <c r="K77" s="236"/>
      <c r="L77" s="237"/>
      <c r="M77" s="238"/>
      <c r="N77" s="23">
        <f t="shared" ref="N77:N83" si="4">IF((((B77+E77)*10)-(H77+K77))/10=0," ",(((B77+E77)*10)-(H77+K77))/10)</f>
        <v>5</v>
      </c>
      <c r="O77" s="24" t="s">
        <v>89</v>
      </c>
      <c r="P77" s="25">
        <v>46174</v>
      </c>
      <c r="Q77" s="239"/>
    </row>
    <row r="78" spans="1:17" ht="18.95" customHeight="1">
      <c r="A78" s="200"/>
      <c r="B78" s="92">
        <v>56.6</v>
      </c>
      <c r="C78" s="92" t="s">
        <v>96</v>
      </c>
      <c r="D78" s="94">
        <v>46204</v>
      </c>
      <c r="E78" s="95"/>
      <c r="F78" s="96"/>
      <c r="G78" s="105"/>
      <c r="H78" s="210">
        <v>265</v>
      </c>
      <c r="I78" s="211"/>
      <c r="J78" s="212"/>
      <c r="K78" s="210"/>
      <c r="L78" s="211"/>
      <c r="M78" s="212"/>
      <c r="N78" s="106">
        <f t="shared" si="4"/>
        <v>30.1</v>
      </c>
      <c r="O78" s="96" t="s">
        <v>96</v>
      </c>
      <c r="P78" s="97">
        <v>46204</v>
      </c>
      <c r="Q78" s="240"/>
    </row>
    <row r="79" spans="1:17" ht="18.95" customHeight="1">
      <c r="A79" s="200"/>
      <c r="B79" s="65">
        <v>348.2</v>
      </c>
      <c r="C79" s="65" t="s">
        <v>97</v>
      </c>
      <c r="D79" s="90">
        <v>46204</v>
      </c>
      <c r="E79" s="34"/>
      <c r="F79" s="32"/>
      <c r="G79" s="133"/>
      <c r="H79" s="210">
        <v>1969</v>
      </c>
      <c r="I79" s="211"/>
      <c r="J79" s="212"/>
      <c r="K79" s="119"/>
      <c r="L79" s="120"/>
      <c r="M79" s="121"/>
      <c r="N79" s="106">
        <f t="shared" si="4"/>
        <v>151.30000000000001</v>
      </c>
      <c r="O79" s="32" t="s">
        <v>97</v>
      </c>
      <c r="P79" s="33">
        <v>46204</v>
      </c>
      <c r="Q79" s="240"/>
    </row>
    <row r="80" spans="1:17" ht="18.95" customHeight="1">
      <c r="A80" s="200"/>
      <c r="B80" s="65">
        <v>1770.7</v>
      </c>
      <c r="C80" s="65" t="s">
        <v>110</v>
      </c>
      <c r="D80" s="90">
        <v>46266</v>
      </c>
      <c r="E80" s="34"/>
      <c r="F80" s="32"/>
      <c r="G80" s="133"/>
      <c r="H80" s="210">
        <v>11557</v>
      </c>
      <c r="I80" s="211"/>
      <c r="J80" s="212"/>
      <c r="K80" s="119"/>
      <c r="L80" s="120"/>
      <c r="M80" s="121"/>
      <c r="N80" s="106">
        <f t="shared" si="4"/>
        <v>615</v>
      </c>
      <c r="O80" s="32" t="s">
        <v>110</v>
      </c>
      <c r="P80" s="33">
        <v>46266</v>
      </c>
      <c r="Q80" s="240"/>
    </row>
    <row r="81" spans="1:17" ht="18.95" customHeight="1" thickBot="1">
      <c r="A81" s="200"/>
      <c r="B81" s="107">
        <v>688</v>
      </c>
      <c r="C81" s="107" t="s">
        <v>111</v>
      </c>
      <c r="D81" s="132">
        <v>46235</v>
      </c>
      <c r="E81" s="108"/>
      <c r="F81" s="109"/>
      <c r="G81" s="110"/>
      <c r="H81" s="184"/>
      <c r="I81" s="185"/>
      <c r="J81" s="186"/>
      <c r="K81" s="184"/>
      <c r="L81" s="185"/>
      <c r="M81" s="186"/>
      <c r="N81" s="111">
        <f t="shared" si="4"/>
        <v>688</v>
      </c>
      <c r="O81" s="109" t="s">
        <v>111</v>
      </c>
      <c r="P81" s="112">
        <v>46235</v>
      </c>
      <c r="Q81" s="240"/>
    </row>
    <row r="82" spans="1:17" ht="20.100000000000001" customHeight="1">
      <c r="A82" s="213" t="s">
        <v>25</v>
      </c>
      <c r="B82" s="44">
        <v>25</v>
      </c>
      <c r="C82" s="47" t="s">
        <v>125</v>
      </c>
      <c r="D82" s="48">
        <v>46539</v>
      </c>
      <c r="E82" s="47"/>
      <c r="F82" s="45"/>
      <c r="G82" s="81"/>
      <c r="H82" s="215"/>
      <c r="I82" s="216"/>
      <c r="J82" s="217"/>
      <c r="K82" s="215"/>
      <c r="L82" s="216"/>
      <c r="M82" s="217"/>
      <c r="N82" s="47">
        <f t="shared" si="4"/>
        <v>25</v>
      </c>
      <c r="O82" s="44" t="s">
        <v>125</v>
      </c>
      <c r="P82" s="48">
        <v>46539</v>
      </c>
      <c r="Q82" s="240"/>
    </row>
    <row r="83" spans="1:17" ht="20.100000000000001" customHeight="1" thickBot="1">
      <c r="A83" s="214"/>
      <c r="B83" s="49"/>
      <c r="C83" s="52"/>
      <c r="D83" s="52"/>
      <c r="E83" s="52"/>
      <c r="F83" s="50"/>
      <c r="G83" s="85"/>
      <c r="H83" s="233"/>
      <c r="I83" s="234"/>
      <c r="J83" s="235"/>
      <c r="K83" s="233"/>
      <c r="L83" s="234"/>
      <c r="M83" s="235"/>
      <c r="N83" s="52" t="str">
        <f t="shared" si="4"/>
        <v xml:space="preserve"> </v>
      </c>
      <c r="O83" s="49"/>
      <c r="P83" s="53"/>
      <c r="Q83" s="240"/>
    </row>
    <row r="84" spans="1:17" ht="15.75" customHeight="1" thickBot="1">
      <c r="A84" s="54" t="s">
        <v>26</v>
      </c>
      <c r="B84" s="57">
        <f>IF(SUM(B77:B83)=0," ",SUM(B77:B83))</f>
        <v>2904.1</v>
      </c>
      <c r="C84" s="192"/>
      <c r="D84" s="193"/>
      <c r="E84" s="56"/>
      <c r="F84" s="192"/>
      <c r="G84" s="193"/>
      <c r="H84" s="194">
        <f>IF(SUM(H77:J83)=0," ",SUM(H77:J83))</f>
        <v>13897</v>
      </c>
      <c r="I84" s="195"/>
      <c r="J84" s="196"/>
      <c r="K84" s="194" t="str">
        <f>IF(SUM(K77:M83)=0," ",SUM(K77:M83))</f>
        <v xml:space="preserve"> </v>
      </c>
      <c r="L84" s="195"/>
      <c r="M84" s="196"/>
      <c r="N84" s="56">
        <f>IF(SUM(N77:N83)=0," ",SUM(N77:N83))</f>
        <v>1514.4</v>
      </c>
      <c r="O84" s="192"/>
      <c r="P84" s="193"/>
      <c r="Q84" s="241"/>
    </row>
    <row r="85" spans="1:17" ht="18" customHeight="1">
      <c r="A85" s="199" t="s">
        <v>37</v>
      </c>
      <c r="B85" s="59">
        <v>1055</v>
      </c>
      <c r="C85" s="113" t="s">
        <v>81</v>
      </c>
      <c r="D85" s="61">
        <v>46539</v>
      </c>
      <c r="E85" s="23"/>
      <c r="F85" s="26"/>
      <c r="G85" s="27"/>
      <c r="H85" s="201">
        <v>10474</v>
      </c>
      <c r="I85" s="202"/>
      <c r="J85" s="203"/>
      <c r="K85" s="201">
        <v>46</v>
      </c>
      <c r="L85" s="202"/>
      <c r="M85" s="203"/>
      <c r="N85" s="26">
        <f t="shared" ref="N85:N90" si="5">IF((((B85+E85)*10)-(H85+K85))/10=0," ",(((B85+E85)*10)-(H85+K85))/10)</f>
        <v>3</v>
      </c>
      <c r="O85" s="24" t="s">
        <v>81</v>
      </c>
      <c r="P85" s="25">
        <v>46539</v>
      </c>
      <c r="Q85" s="204" t="s">
        <v>105</v>
      </c>
    </row>
    <row r="86" spans="1:17" ht="18" customHeight="1">
      <c r="A86" s="200"/>
      <c r="B86" s="92"/>
      <c r="C86" s="93"/>
      <c r="D86" s="92"/>
      <c r="E86" s="96">
        <v>2285</v>
      </c>
      <c r="F86" s="95" t="s">
        <v>119</v>
      </c>
      <c r="G86" s="114">
        <v>46784</v>
      </c>
      <c r="H86" s="207">
        <v>17895</v>
      </c>
      <c r="I86" s="208"/>
      <c r="J86" s="209"/>
      <c r="K86" s="207">
        <v>205</v>
      </c>
      <c r="L86" s="208"/>
      <c r="M86" s="209"/>
      <c r="N86" s="95">
        <f t="shared" si="5"/>
        <v>475</v>
      </c>
      <c r="O86" s="96" t="s">
        <v>119</v>
      </c>
      <c r="P86" s="97">
        <v>46784</v>
      </c>
      <c r="Q86" s="205"/>
    </row>
    <row r="87" spans="1:17" ht="18" customHeight="1">
      <c r="A87" s="200"/>
      <c r="B87" s="92"/>
      <c r="C87" s="93"/>
      <c r="D87" s="92"/>
      <c r="E87" s="96">
        <v>742</v>
      </c>
      <c r="F87" s="95" t="s">
        <v>120</v>
      </c>
      <c r="G87" s="114">
        <v>46813</v>
      </c>
      <c r="H87" s="210"/>
      <c r="I87" s="211"/>
      <c r="J87" s="212"/>
      <c r="K87" s="119"/>
      <c r="L87" s="120"/>
      <c r="M87" s="121"/>
      <c r="N87" s="95">
        <f t="shared" si="5"/>
        <v>742</v>
      </c>
      <c r="O87" s="96" t="s">
        <v>120</v>
      </c>
      <c r="P87" s="97">
        <v>46813</v>
      </c>
      <c r="Q87" s="205"/>
    </row>
    <row r="88" spans="1:17" ht="18" customHeight="1" thickBot="1">
      <c r="A88" s="200"/>
      <c r="B88" s="92"/>
      <c r="C88" s="93"/>
      <c r="D88" s="92"/>
      <c r="E88" s="96">
        <v>258</v>
      </c>
      <c r="F88" s="95" t="s">
        <v>121</v>
      </c>
      <c r="G88" s="114">
        <v>46784</v>
      </c>
      <c r="H88" s="210">
        <v>2500</v>
      </c>
      <c r="I88" s="211"/>
      <c r="J88" s="212"/>
      <c r="K88" s="210"/>
      <c r="L88" s="211"/>
      <c r="M88" s="212"/>
      <c r="N88" s="95">
        <f t="shared" si="5"/>
        <v>8</v>
      </c>
      <c r="O88" s="96" t="s">
        <v>121</v>
      </c>
      <c r="P88" s="97">
        <v>46784</v>
      </c>
      <c r="Q88" s="205"/>
    </row>
    <row r="89" spans="1:17" ht="20.100000000000001" customHeight="1">
      <c r="A89" s="213" t="s">
        <v>25</v>
      </c>
      <c r="B89" s="44">
        <v>1</v>
      </c>
      <c r="C89" s="45" t="s">
        <v>73</v>
      </c>
      <c r="D89" s="46">
        <v>46054</v>
      </c>
      <c r="E89" s="47"/>
      <c r="F89" s="45"/>
      <c r="G89" s="46"/>
      <c r="H89" s="215"/>
      <c r="I89" s="216"/>
      <c r="J89" s="217"/>
      <c r="K89" s="215"/>
      <c r="L89" s="216"/>
      <c r="M89" s="217"/>
      <c r="N89" s="44">
        <f t="shared" si="5"/>
        <v>1</v>
      </c>
      <c r="O89" s="44" t="s">
        <v>73</v>
      </c>
      <c r="P89" s="48">
        <v>46054</v>
      </c>
      <c r="Q89" s="205"/>
    </row>
    <row r="90" spans="1:17" ht="20.100000000000001" customHeight="1" thickBot="1">
      <c r="A90" s="214"/>
      <c r="B90" s="49">
        <v>1</v>
      </c>
      <c r="C90" s="50" t="s">
        <v>81</v>
      </c>
      <c r="D90" s="51">
        <v>46539</v>
      </c>
      <c r="E90" s="52"/>
      <c r="F90" s="50"/>
      <c r="G90" s="51"/>
      <c r="H90" s="218"/>
      <c r="I90" s="219"/>
      <c r="J90" s="220"/>
      <c r="K90" s="218"/>
      <c r="L90" s="219"/>
      <c r="M90" s="220"/>
      <c r="N90" s="49">
        <f t="shared" si="5"/>
        <v>1</v>
      </c>
      <c r="O90" s="49" t="s">
        <v>81</v>
      </c>
      <c r="P90" s="53">
        <v>46539</v>
      </c>
      <c r="Q90" s="205"/>
    </row>
    <row r="91" spans="1:17" ht="15.75" customHeight="1" thickBot="1">
      <c r="A91" s="115" t="s">
        <v>26</v>
      </c>
      <c r="B91" s="56">
        <f>IF(SUM(B85:B90)=0," ",SUM(B85:B90))</f>
        <v>1057</v>
      </c>
      <c r="C91" s="192"/>
      <c r="D91" s="193"/>
      <c r="E91" s="58">
        <f>IF(SUM(E85:E90)=0," ",SUM(E85:E90))</f>
        <v>3285</v>
      </c>
      <c r="F91" s="192"/>
      <c r="G91" s="193"/>
      <c r="H91" s="194">
        <f>IF(SUM(H85:J90)=0," ",SUM(H85:J90))</f>
        <v>30869</v>
      </c>
      <c r="I91" s="195"/>
      <c r="J91" s="196"/>
      <c r="K91" s="197">
        <f>IF(SUM(K85:M90)=0," ",SUM(K85:M90))</f>
        <v>251</v>
      </c>
      <c r="L91" s="197"/>
      <c r="M91" s="198"/>
      <c r="N91" s="56">
        <f>IF(SUM(N85:N90)=0," ",SUM(N85:N90))</f>
        <v>1230</v>
      </c>
      <c r="O91" s="192"/>
      <c r="P91" s="193"/>
      <c r="Q91" s="206"/>
    </row>
    <row r="92" spans="1:17" ht="15" customHeight="1">
      <c r="A92" s="199" t="s">
        <v>38</v>
      </c>
      <c r="B92" s="59">
        <v>197</v>
      </c>
      <c r="C92" s="60" t="s">
        <v>84</v>
      </c>
      <c r="D92" s="61">
        <v>46631</v>
      </c>
      <c r="E92" s="24"/>
      <c r="F92" s="26"/>
      <c r="G92" s="27"/>
      <c r="H92" s="201">
        <v>28</v>
      </c>
      <c r="I92" s="202"/>
      <c r="J92" s="203"/>
      <c r="K92" s="201"/>
      <c r="L92" s="202"/>
      <c r="M92" s="203"/>
      <c r="N92" s="26">
        <f>IF(((B92+E92)-(H92+K92))=0," ",((B92+E92)-(H92+K92)))</f>
        <v>169</v>
      </c>
      <c r="O92" s="24" t="s">
        <v>84</v>
      </c>
      <c r="P92" s="25">
        <v>46631</v>
      </c>
      <c r="Q92" s="204" t="s">
        <v>106</v>
      </c>
    </row>
    <row r="93" spans="1:17" ht="15" customHeight="1">
      <c r="A93" s="200"/>
      <c r="B93" s="92">
        <v>445</v>
      </c>
      <c r="C93" s="93" t="s">
        <v>87</v>
      </c>
      <c r="D93" s="94">
        <v>46722</v>
      </c>
      <c r="E93" s="96"/>
      <c r="F93" s="95"/>
      <c r="G93" s="114"/>
      <c r="H93" s="207">
        <v>60</v>
      </c>
      <c r="I93" s="208"/>
      <c r="J93" s="209"/>
      <c r="K93" s="207"/>
      <c r="L93" s="208"/>
      <c r="M93" s="209"/>
      <c r="N93" s="95">
        <f>IF(((B93+E93)-(H93+K93))=0," ",((B93+E93)-(H93+K93)))</f>
        <v>385</v>
      </c>
      <c r="O93" s="96" t="s">
        <v>87</v>
      </c>
      <c r="P93" s="97">
        <v>46722</v>
      </c>
      <c r="Q93" s="205"/>
    </row>
    <row r="94" spans="1:17" ht="15" customHeight="1" thickBot="1">
      <c r="A94" s="200"/>
      <c r="B94" s="92"/>
      <c r="C94" s="93" t="s">
        <v>61</v>
      </c>
      <c r="D94" s="92" t="s">
        <v>61</v>
      </c>
      <c r="E94" s="96"/>
      <c r="F94" s="95"/>
      <c r="G94" s="114"/>
      <c r="H94" s="210"/>
      <c r="I94" s="211"/>
      <c r="J94" s="212"/>
      <c r="K94" s="210"/>
      <c r="L94" s="211"/>
      <c r="M94" s="212"/>
      <c r="N94" s="95" t="str">
        <f>IF(((B94+E94)-(H94+K94))=0," ",((B94+E94)-(H94+K94)))</f>
        <v xml:space="preserve"> </v>
      </c>
      <c r="O94" s="96" t="s">
        <v>61</v>
      </c>
      <c r="P94" s="97" t="s">
        <v>61</v>
      </c>
      <c r="Q94" s="205"/>
    </row>
    <row r="95" spans="1:17" ht="20.100000000000001" customHeight="1">
      <c r="A95" s="213" t="s">
        <v>25</v>
      </c>
      <c r="B95" s="44">
        <v>10</v>
      </c>
      <c r="C95" s="45" t="s">
        <v>84</v>
      </c>
      <c r="D95" s="46">
        <v>46631</v>
      </c>
      <c r="E95" s="47"/>
      <c r="F95" s="45"/>
      <c r="G95" s="46"/>
      <c r="H95" s="215"/>
      <c r="I95" s="216"/>
      <c r="J95" s="217"/>
      <c r="K95" s="215"/>
      <c r="L95" s="216"/>
      <c r="M95" s="217"/>
      <c r="N95" s="44">
        <f>IF(((B95+E95)-(H95+K95))=0," ",((B95+E95)-(H95+K95)))</f>
        <v>10</v>
      </c>
      <c r="O95" s="44" t="s">
        <v>84</v>
      </c>
      <c r="P95" s="48">
        <v>46631</v>
      </c>
      <c r="Q95" s="205"/>
    </row>
    <row r="96" spans="1:17" ht="20.100000000000001" customHeight="1" thickBot="1">
      <c r="A96" s="214"/>
      <c r="B96" s="49"/>
      <c r="C96" s="50" t="s">
        <v>61</v>
      </c>
      <c r="D96" s="49" t="s">
        <v>61</v>
      </c>
      <c r="E96" s="52"/>
      <c r="F96" s="50"/>
      <c r="G96" s="51"/>
      <c r="H96" s="218"/>
      <c r="I96" s="219"/>
      <c r="J96" s="220"/>
      <c r="K96" s="218"/>
      <c r="L96" s="219"/>
      <c r="M96" s="220"/>
      <c r="N96" s="49" t="str">
        <f>IF(((B96+E96)-(H96+K96))=0," ",((B96+E96)-(H96+K96)))</f>
        <v xml:space="preserve"> </v>
      </c>
      <c r="O96" s="49"/>
      <c r="P96" s="53"/>
      <c r="Q96" s="205"/>
    </row>
    <row r="97" spans="1:17" ht="15.75" customHeight="1" thickBot="1">
      <c r="A97" s="115" t="s">
        <v>26</v>
      </c>
      <c r="B97" s="56">
        <f>IF(SUM(B92:B96)=0," ",SUM(B92:B96))</f>
        <v>652</v>
      </c>
      <c r="C97" s="192"/>
      <c r="D97" s="193"/>
      <c r="E97" s="58">
        <f>IF(SUM(E91:E96)=0," ",SUM(E91:E96))</f>
        <v>3285</v>
      </c>
      <c r="F97" s="192"/>
      <c r="G97" s="193"/>
      <c r="H97" s="194">
        <f>IF(SUM(H92:J96)=0," ",SUM(H92:J96))</f>
        <v>88</v>
      </c>
      <c r="I97" s="195"/>
      <c r="J97" s="196"/>
      <c r="K97" s="197" t="str">
        <f>IF(SUM(K92:M96)=0," ",SUM(K92:M96))</f>
        <v xml:space="preserve"> </v>
      </c>
      <c r="L97" s="197"/>
      <c r="M97" s="198"/>
      <c r="N97" s="56">
        <f>IF(SUM(N92:N96)=0," ",SUM(N92:N96))</f>
        <v>564</v>
      </c>
      <c r="O97" s="192"/>
      <c r="P97" s="193"/>
      <c r="Q97" s="206"/>
    </row>
    <row r="98" spans="1:17" ht="15" customHeight="1">
      <c r="A98" s="199" t="s">
        <v>39</v>
      </c>
      <c r="B98" s="59">
        <v>68</v>
      </c>
      <c r="C98" s="60" t="s">
        <v>88</v>
      </c>
      <c r="D98" s="61">
        <v>46388</v>
      </c>
      <c r="E98" s="24">
        <v>449</v>
      </c>
      <c r="F98" s="26" t="s">
        <v>88</v>
      </c>
      <c r="G98" s="27">
        <v>46388</v>
      </c>
      <c r="H98" s="201">
        <v>4564</v>
      </c>
      <c r="I98" s="202"/>
      <c r="J98" s="203"/>
      <c r="K98" s="201">
        <v>14</v>
      </c>
      <c r="L98" s="202"/>
      <c r="M98" s="203"/>
      <c r="N98" s="26">
        <f>IF((((B98+E98)*10)-(H98+K98))/10=0," ",(((B98+E98)*10)-(H98+K98))/10)</f>
        <v>59.2</v>
      </c>
      <c r="O98" s="24" t="s">
        <v>88</v>
      </c>
      <c r="P98" s="25">
        <v>46388</v>
      </c>
      <c r="Q98" s="239"/>
    </row>
    <row r="99" spans="1:17" ht="15" customHeight="1">
      <c r="A99" s="200"/>
      <c r="B99" s="92"/>
      <c r="C99" s="93"/>
      <c r="D99" s="92"/>
      <c r="E99" s="96"/>
      <c r="F99" s="95"/>
      <c r="G99" s="114"/>
      <c r="H99" s="207"/>
      <c r="I99" s="208"/>
      <c r="J99" s="209"/>
      <c r="K99" s="207"/>
      <c r="L99" s="208"/>
      <c r="M99" s="209"/>
      <c r="N99" s="95" t="str">
        <f>IF((((B99+E99)*10)-(H99+K99))/10=0," ",(((B99+E99)*10)-(H99+K99))/10)</f>
        <v xml:space="preserve"> </v>
      </c>
      <c r="O99" s="96"/>
      <c r="P99" s="97"/>
      <c r="Q99" s="240"/>
    </row>
    <row r="100" spans="1:17" ht="15" customHeight="1" thickBot="1">
      <c r="A100" s="200"/>
      <c r="B100" s="92"/>
      <c r="C100" s="93"/>
      <c r="D100" s="92"/>
      <c r="E100" s="96"/>
      <c r="F100" s="95"/>
      <c r="G100" s="114"/>
      <c r="H100" s="210"/>
      <c r="I100" s="211"/>
      <c r="J100" s="212"/>
      <c r="K100" s="210"/>
      <c r="L100" s="211"/>
      <c r="M100" s="212"/>
      <c r="N100" s="95" t="str">
        <f>IF((((B100+E100)*10)-(H100+K100))/10=0," ",(((B100+E100)*10)-(H100+K100))/10)</f>
        <v xml:space="preserve"> </v>
      </c>
      <c r="O100" s="96"/>
      <c r="P100" s="97"/>
      <c r="Q100" s="240"/>
    </row>
    <row r="101" spans="1:17" ht="20.100000000000001" customHeight="1">
      <c r="A101" s="213" t="s">
        <v>25</v>
      </c>
      <c r="B101" s="44"/>
      <c r="C101" s="45"/>
      <c r="D101" s="44"/>
      <c r="E101" s="47"/>
      <c r="F101" s="45"/>
      <c r="G101" s="46"/>
      <c r="H101" s="215"/>
      <c r="I101" s="216"/>
      <c r="J101" s="217"/>
      <c r="K101" s="215"/>
      <c r="L101" s="216"/>
      <c r="M101" s="217"/>
      <c r="N101" s="44" t="str">
        <f>IF((((B101+E101)*10)-(H101+K101))/10=0," ",(((B101+E101)*10)-(H101+K101))/10)</f>
        <v xml:space="preserve"> </v>
      </c>
      <c r="O101" s="44"/>
      <c r="P101" s="48"/>
      <c r="Q101" s="240"/>
    </row>
    <row r="102" spans="1:17" ht="20.100000000000001" customHeight="1" thickBot="1">
      <c r="A102" s="214"/>
      <c r="B102" s="49"/>
      <c r="C102" s="50"/>
      <c r="D102" s="49"/>
      <c r="E102" s="52"/>
      <c r="F102" s="50"/>
      <c r="G102" s="51"/>
      <c r="H102" s="218"/>
      <c r="I102" s="219"/>
      <c r="J102" s="220"/>
      <c r="K102" s="218"/>
      <c r="L102" s="219"/>
      <c r="M102" s="220"/>
      <c r="N102" s="49" t="str">
        <f>IF((((B102+E102)*10)-(H102+K102))/10=0," ",(((B102+E102)*10)-(H102+K102))/10)</f>
        <v xml:space="preserve"> </v>
      </c>
      <c r="O102" s="49"/>
      <c r="P102" s="53"/>
      <c r="Q102" s="240"/>
    </row>
    <row r="103" spans="1:17" ht="15.75" customHeight="1" thickBot="1">
      <c r="A103" s="54" t="s">
        <v>26</v>
      </c>
      <c r="B103" s="56">
        <f>IF(SUM(B98:B102)=0," ",SUM(B98:B102))</f>
        <v>68</v>
      </c>
      <c r="C103" s="192"/>
      <c r="D103" s="193"/>
      <c r="E103" s="58">
        <f>IF(SUM(E98:E102)=0," ",SUM(E98:E102))</f>
        <v>449</v>
      </c>
      <c r="F103" s="192"/>
      <c r="G103" s="193"/>
      <c r="H103" s="194">
        <f>IF(SUM(H98:J102)=0," ",SUM(H98:J102))</f>
        <v>4564</v>
      </c>
      <c r="I103" s="195"/>
      <c r="J103" s="196"/>
      <c r="K103" s="197">
        <f>IF(SUM(K98:M102)=0," ",SUM(K98:M102))</f>
        <v>14</v>
      </c>
      <c r="L103" s="197"/>
      <c r="M103" s="198"/>
      <c r="N103" s="56">
        <f>IF(SUM(N98:N102)=0," ",SUM(N98:N102))</f>
        <v>59.2</v>
      </c>
      <c r="O103" s="192"/>
      <c r="P103" s="193"/>
      <c r="Q103" s="241"/>
    </row>
    <row r="104" spans="1:17" ht="15" customHeight="1">
      <c r="A104" s="199" t="s">
        <v>40</v>
      </c>
      <c r="B104" s="59">
        <v>236</v>
      </c>
      <c r="C104" s="60" t="s">
        <v>70</v>
      </c>
      <c r="D104" s="61">
        <v>46082</v>
      </c>
      <c r="E104" s="24"/>
      <c r="F104" s="26"/>
      <c r="G104" s="27"/>
      <c r="H104" s="201">
        <v>179</v>
      </c>
      <c r="I104" s="202"/>
      <c r="J104" s="203"/>
      <c r="K104" s="201"/>
      <c r="L104" s="202"/>
      <c r="M104" s="203"/>
      <c r="N104" s="26">
        <f t="shared" ref="N104:N109" si="6">IF(((B104+E104)-(H104+K104))=0," ",((B104+E104)-(H104+K104)))</f>
        <v>57</v>
      </c>
      <c r="O104" s="24" t="s">
        <v>70</v>
      </c>
      <c r="P104" s="25">
        <v>46082</v>
      </c>
      <c r="Q104" s="199" t="s">
        <v>117</v>
      </c>
    </row>
    <row r="105" spans="1:17" ht="15" customHeight="1">
      <c r="A105" s="200"/>
      <c r="B105" s="92">
        <v>697</v>
      </c>
      <c r="C105" s="93" t="s">
        <v>109</v>
      </c>
      <c r="D105" s="94">
        <v>46508</v>
      </c>
      <c r="E105" s="96">
        <v>1416</v>
      </c>
      <c r="F105" s="95" t="s">
        <v>109</v>
      </c>
      <c r="G105" s="114">
        <v>46508</v>
      </c>
      <c r="H105" s="207">
        <v>1237</v>
      </c>
      <c r="I105" s="208"/>
      <c r="J105" s="209"/>
      <c r="K105" s="207"/>
      <c r="L105" s="208"/>
      <c r="M105" s="209"/>
      <c r="N105" s="95">
        <f t="shared" si="6"/>
        <v>876</v>
      </c>
      <c r="O105" s="96" t="s">
        <v>109</v>
      </c>
      <c r="P105" s="97">
        <v>46508</v>
      </c>
      <c r="Q105" s="200"/>
    </row>
    <row r="106" spans="1:17" ht="15" customHeight="1" thickBot="1">
      <c r="A106" s="200"/>
      <c r="B106" s="92"/>
      <c r="C106" s="93"/>
      <c r="D106" s="94"/>
      <c r="E106" s="96"/>
      <c r="F106" s="95"/>
      <c r="G106" s="114"/>
      <c r="H106" s="210"/>
      <c r="I106" s="211"/>
      <c r="J106" s="212"/>
      <c r="K106" s="210"/>
      <c r="L106" s="211"/>
      <c r="M106" s="212"/>
      <c r="N106" s="95" t="str">
        <f t="shared" si="6"/>
        <v xml:space="preserve"> </v>
      </c>
      <c r="O106" s="96"/>
      <c r="P106" s="97"/>
      <c r="Q106" s="200"/>
    </row>
    <row r="107" spans="1:17" ht="20.100000000000001" customHeight="1">
      <c r="A107" s="213" t="s">
        <v>25</v>
      </c>
      <c r="B107" s="128">
        <v>267</v>
      </c>
      <c r="C107" s="117" t="s">
        <v>58</v>
      </c>
      <c r="D107" s="129">
        <v>45870</v>
      </c>
      <c r="E107" s="118"/>
      <c r="F107" s="117"/>
      <c r="G107" s="129"/>
      <c r="H107" s="215"/>
      <c r="I107" s="216"/>
      <c r="J107" s="217"/>
      <c r="K107" s="215"/>
      <c r="L107" s="216"/>
      <c r="M107" s="217"/>
      <c r="N107" s="128">
        <f t="shared" si="6"/>
        <v>267</v>
      </c>
      <c r="O107" s="128" t="s">
        <v>58</v>
      </c>
      <c r="P107" s="130">
        <v>45870</v>
      </c>
      <c r="Q107" s="200"/>
    </row>
    <row r="108" spans="1:17" ht="20.100000000000001" customHeight="1">
      <c r="A108" s="222"/>
      <c r="B108" s="122">
        <v>9</v>
      </c>
      <c r="C108" s="123" t="s">
        <v>65</v>
      </c>
      <c r="D108" s="124">
        <v>45962</v>
      </c>
      <c r="E108" s="125"/>
      <c r="F108" s="123"/>
      <c r="G108" s="124"/>
      <c r="H108" s="126"/>
      <c r="I108" s="123"/>
      <c r="J108" s="125"/>
      <c r="K108" s="126"/>
      <c r="L108" s="123"/>
      <c r="M108" s="125"/>
      <c r="N108" s="131">
        <f t="shared" si="6"/>
        <v>9</v>
      </c>
      <c r="O108" s="122" t="s">
        <v>65</v>
      </c>
      <c r="P108" s="127">
        <v>45962</v>
      </c>
      <c r="Q108" s="200"/>
    </row>
    <row r="109" spans="1:17" ht="20.100000000000001" customHeight="1" thickBot="1">
      <c r="A109" s="214"/>
      <c r="B109" s="49">
        <v>44</v>
      </c>
      <c r="C109" s="50" t="s">
        <v>70</v>
      </c>
      <c r="D109" s="51">
        <v>46082</v>
      </c>
      <c r="E109" s="52"/>
      <c r="F109" s="50"/>
      <c r="G109" s="51"/>
      <c r="H109" s="218"/>
      <c r="I109" s="219"/>
      <c r="J109" s="220"/>
      <c r="K109" s="218"/>
      <c r="L109" s="219"/>
      <c r="M109" s="220"/>
      <c r="N109" s="49">
        <f t="shared" si="6"/>
        <v>44</v>
      </c>
      <c r="O109" s="49" t="s">
        <v>70</v>
      </c>
      <c r="P109" s="53">
        <v>46082</v>
      </c>
      <c r="Q109" s="200"/>
    </row>
    <row r="110" spans="1:17" ht="15.75" customHeight="1" thickBot="1">
      <c r="A110" s="54" t="s">
        <v>26</v>
      </c>
      <c r="B110" s="56">
        <f>IF(SUM(B104:B109)=0," ",SUM(B104:B109))</f>
        <v>1253</v>
      </c>
      <c r="C110" s="192"/>
      <c r="D110" s="193"/>
      <c r="E110" s="58">
        <f>IF(SUM(E105:E109)=0," ",SUM(E105:E109))</f>
        <v>1416</v>
      </c>
      <c r="F110" s="192"/>
      <c r="G110" s="193"/>
      <c r="H110" s="194">
        <f>IF(SUM(H104:J109)=0," ",SUM(H104:J109))</f>
        <v>1416</v>
      </c>
      <c r="I110" s="195"/>
      <c r="J110" s="196"/>
      <c r="K110" s="197" t="str">
        <f>IF(SUM(K104:M109)=0," ",SUM(K104:M109))</f>
        <v xml:space="preserve"> </v>
      </c>
      <c r="L110" s="197"/>
      <c r="M110" s="198"/>
      <c r="N110" s="56">
        <f>IF(SUM(N104:N109)=0," ",SUM(N104:N109))</f>
        <v>1253</v>
      </c>
      <c r="O110" s="192"/>
      <c r="P110" s="193"/>
      <c r="Q110" s="223"/>
    </row>
    <row r="111" spans="1:17" ht="15" customHeight="1">
      <c r="A111" s="199" t="s">
        <v>92</v>
      </c>
      <c r="B111" s="59">
        <v>303</v>
      </c>
      <c r="C111" s="60">
        <v>3053352</v>
      </c>
      <c r="D111" s="61">
        <v>46143</v>
      </c>
      <c r="E111" s="24"/>
      <c r="F111" s="26"/>
      <c r="G111" s="27"/>
      <c r="H111" s="62"/>
      <c r="I111" s="63"/>
      <c r="J111" s="64">
        <f>(((H111/2)+(I111)))</f>
        <v>0</v>
      </c>
      <c r="K111" s="62"/>
      <c r="L111" s="63">
        <v>1515</v>
      </c>
      <c r="M111" s="64">
        <f>(((K111/2)+(L111)))</f>
        <v>1515</v>
      </c>
      <c r="N111" s="26" t="str">
        <f>IFERROR(IF((((B111+E111)*5)-(J111+M111))/5=0," ",(((B111+E111)*5)-(J111+M111))/5)," ")</f>
        <v xml:space="preserve"> </v>
      </c>
      <c r="O111" s="24"/>
      <c r="P111" s="25"/>
      <c r="Q111" s="239"/>
    </row>
    <row r="112" spans="1:17" ht="15" customHeight="1">
      <c r="A112" s="200"/>
      <c r="B112" s="92"/>
      <c r="C112" s="93"/>
      <c r="D112" s="94"/>
      <c r="E112" s="96"/>
      <c r="F112" s="95"/>
      <c r="G112" s="114"/>
      <c r="H112" s="69"/>
      <c r="I112" s="70"/>
      <c r="J112" s="71">
        <f t="shared" ref="J112:J113" si="7">(((H112/2)+(I112)))</f>
        <v>0</v>
      </c>
      <c r="K112" s="69"/>
      <c r="L112" s="70"/>
      <c r="M112" s="71">
        <f t="shared" ref="M112:M113" si="8">(((K112/2)+(L112)))</f>
        <v>0</v>
      </c>
      <c r="N112" s="95" t="str">
        <f t="shared" ref="N112:N113" si="9">IFERROR(IF((((B112+E112)*5)-(J112+M112))/5=0," ",(((B112+E112)*5)-(J112+M112))/5)," ")</f>
        <v xml:space="preserve"> </v>
      </c>
      <c r="O112" s="96"/>
      <c r="P112" s="97"/>
      <c r="Q112" s="240"/>
    </row>
    <row r="113" spans="1:17" ht="15" customHeight="1" thickBot="1">
      <c r="A113" s="200"/>
      <c r="B113" s="107"/>
      <c r="C113" s="134"/>
      <c r="D113" s="107"/>
      <c r="E113" s="109"/>
      <c r="F113" s="108"/>
      <c r="G113" s="135"/>
      <c r="H113" s="76"/>
      <c r="I113" s="77"/>
      <c r="J113" s="78">
        <f t="shared" si="7"/>
        <v>0</v>
      </c>
      <c r="K113" s="79"/>
      <c r="L113" s="80"/>
      <c r="M113" s="78">
        <f t="shared" si="8"/>
        <v>0</v>
      </c>
      <c r="N113" s="108" t="str">
        <f t="shared" si="9"/>
        <v xml:space="preserve"> </v>
      </c>
      <c r="O113" s="109"/>
      <c r="P113" s="112"/>
      <c r="Q113" s="240"/>
    </row>
    <row r="114" spans="1:17" ht="15" customHeight="1">
      <c r="A114" s="199" t="s">
        <v>93</v>
      </c>
      <c r="B114" s="59"/>
      <c r="C114" s="60"/>
      <c r="D114" s="61"/>
      <c r="E114" s="24"/>
      <c r="F114" s="26"/>
      <c r="G114" s="27"/>
      <c r="H114" s="236"/>
      <c r="I114" s="237"/>
      <c r="J114" s="238"/>
      <c r="K114" s="236"/>
      <c r="L114" s="237"/>
      <c r="M114" s="238"/>
      <c r="N114" s="26"/>
      <c r="O114" s="24"/>
      <c r="P114" s="25"/>
      <c r="Q114" s="240"/>
    </row>
    <row r="115" spans="1:17" ht="15" customHeight="1">
      <c r="A115" s="200"/>
      <c r="B115" s="92"/>
      <c r="C115" s="93"/>
      <c r="D115" s="92"/>
      <c r="E115" s="96"/>
      <c r="F115" s="95"/>
      <c r="G115" s="114"/>
      <c r="H115" s="210"/>
      <c r="I115" s="211"/>
      <c r="J115" s="212"/>
      <c r="K115" s="210"/>
      <c r="L115" s="211"/>
      <c r="M115" s="212"/>
      <c r="N115" s="95" t="str">
        <f t="shared" ref="N115:N116" si="10">IF((((B115+E115)*10)-(H115+K115))/10=0," ",(((B115+E115)*10)-(H115+K115))/10)</f>
        <v xml:space="preserve"> </v>
      </c>
      <c r="O115" s="96"/>
      <c r="P115" s="97"/>
      <c r="Q115" s="240"/>
    </row>
    <row r="116" spans="1:17" ht="15" customHeight="1" thickBot="1">
      <c r="A116" s="223"/>
      <c r="B116" s="136"/>
      <c r="C116" s="137"/>
      <c r="D116" s="136"/>
      <c r="E116" s="138"/>
      <c r="F116" s="139"/>
      <c r="G116" s="140"/>
      <c r="H116" s="230"/>
      <c r="I116" s="231"/>
      <c r="J116" s="232"/>
      <c r="K116" s="230"/>
      <c r="L116" s="231"/>
      <c r="M116" s="232"/>
      <c r="N116" s="139" t="str">
        <f t="shared" si="10"/>
        <v xml:space="preserve"> </v>
      </c>
      <c r="O116" s="138"/>
      <c r="P116" s="141"/>
      <c r="Q116" s="240"/>
    </row>
    <row r="117" spans="1:17" ht="20.100000000000001" customHeight="1">
      <c r="A117" s="213" t="s">
        <v>25</v>
      </c>
      <c r="B117" s="44"/>
      <c r="C117" s="45"/>
      <c r="D117" s="44"/>
      <c r="E117" s="47"/>
      <c r="F117" s="45"/>
      <c r="G117" s="46"/>
      <c r="H117" s="215"/>
      <c r="I117" s="216"/>
      <c r="J117" s="217"/>
      <c r="K117" s="215"/>
      <c r="L117" s="216"/>
      <c r="M117" s="217"/>
      <c r="N117" s="44" t="str">
        <f>IF((((B117+E117)*5)-(H117+K117))/5=0," ",(((B117+E117)*5)-(H117+K117))/5)</f>
        <v xml:space="preserve"> </v>
      </c>
      <c r="O117" s="44"/>
      <c r="P117" s="48"/>
      <c r="Q117" s="240"/>
    </row>
    <row r="118" spans="1:17" ht="20.100000000000001" customHeight="1" thickBot="1">
      <c r="A118" s="214"/>
      <c r="B118" s="49"/>
      <c r="C118" s="50"/>
      <c r="D118" s="49"/>
      <c r="E118" s="52"/>
      <c r="F118" s="50"/>
      <c r="G118" s="51"/>
      <c r="H118" s="218"/>
      <c r="I118" s="219"/>
      <c r="J118" s="220"/>
      <c r="K118" s="218"/>
      <c r="L118" s="219"/>
      <c r="M118" s="220"/>
      <c r="N118" s="49" t="str">
        <f>IF((((B118+E118)*6)-(H118+K118))/6=0," ",(((B118+E118)*6)-(H118+K118))/6)</f>
        <v xml:space="preserve"> </v>
      </c>
      <c r="O118" s="49"/>
      <c r="P118" s="53"/>
      <c r="Q118" s="240"/>
    </row>
    <row r="119" spans="1:17" ht="15.75" customHeight="1" thickBot="1">
      <c r="A119" s="54" t="s">
        <v>26</v>
      </c>
      <c r="B119" s="56">
        <f>IF(SUM(B111:B118)=0," ",SUM(B111:B118))</f>
        <v>303</v>
      </c>
      <c r="C119" s="192"/>
      <c r="D119" s="193"/>
      <c r="E119" s="58"/>
      <c r="F119" s="192"/>
      <c r="G119" s="193"/>
      <c r="H119" s="194" t="str">
        <f t="shared" ref="H119:J119" si="11">IF(SUM(H111:H118)=0," ",SUM(H111:H118))</f>
        <v xml:space="preserve"> </v>
      </c>
      <c r="I119" s="195" t="str">
        <f t="shared" si="11"/>
        <v xml:space="preserve"> </v>
      </c>
      <c r="J119" s="196" t="str">
        <f t="shared" si="11"/>
        <v xml:space="preserve"> </v>
      </c>
      <c r="K119" s="197">
        <v>1515</v>
      </c>
      <c r="L119" s="197"/>
      <c r="M119" s="198"/>
      <c r="N119" s="56" t="str">
        <f>IF(SUM(N111:N118)=0," ",SUM(N111:N118))</f>
        <v xml:space="preserve"> </v>
      </c>
      <c r="O119" s="192"/>
      <c r="P119" s="193"/>
      <c r="Q119" s="241"/>
    </row>
    <row r="120" spans="1:17" ht="15" customHeight="1">
      <c r="A120" s="199" t="s">
        <v>75</v>
      </c>
      <c r="B120" s="59">
        <v>90</v>
      </c>
      <c r="C120" s="60" t="s">
        <v>95</v>
      </c>
      <c r="D120" s="61">
        <v>46054</v>
      </c>
      <c r="E120" s="24"/>
      <c r="F120" s="26"/>
      <c r="G120" s="27"/>
      <c r="H120" s="236">
        <v>90</v>
      </c>
      <c r="I120" s="237"/>
      <c r="J120" s="238"/>
      <c r="K120" s="236"/>
      <c r="L120" s="237"/>
      <c r="M120" s="238"/>
      <c r="N120" s="26" t="str">
        <f>IF(((B120+E120)-(H120+K120))=0," ",((B120+E120)-(H120+K120)))</f>
        <v xml:space="preserve"> </v>
      </c>
      <c r="O120" s="60" t="s">
        <v>95</v>
      </c>
      <c r="P120" s="61">
        <v>46054</v>
      </c>
      <c r="Q120" s="239"/>
    </row>
    <row r="121" spans="1:17" ht="15" customHeight="1">
      <c r="A121" s="200"/>
      <c r="B121" s="92">
        <v>154</v>
      </c>
      <c r="C121" s="93" t="s">
        <v>77</v>
      </c>
      <c r="D121" s="94">
        <v>46113</v>
      </c>
      <c r="E121" s="96">
        <v>150</v>
      </c>
      <c r="F121" s="95" t="s">
        <v>77</v>
      </c>
      <c r="G121" s="114">
        <v>46113</v>
      </c>
      <c r="H121" s="210">
        <v>115</v>
      </c>
      <c r="I121" s="211"/>
      <c r="J121" s="212"/>
      <c r="K121" s="210"/>
      <c r="L121" s="211"/>
      <c r="M121" s="212"/>
      <c r="N121" s="95">
        <f>IF(((B121+E121)-(H121+K121))=0," ",((B121+E121)-(H121+K121)))</f>
        <v>189</v>
      </c>
      <c r="O121" s="93" t="s">
        <v>77</v>
      </c>
      <c r="P121" s="94">
        <v>46113</v>
      </c>
      <c r="Q121" s="240"/>
    </row>
    <row r="122" spans="1:17" ht="15" customHeight="1" thickBot="1">
      <c r="A122" s="200"/>
      <c r="B122" s="92"/>
      <c r="C122" s="93"/>
      <c r="D122" s="94"/>
      <c r="E122" s="96"/>
      <c r="F122" s="95"/>
      <c r="G122" s="114"/>
      <c r="H122" s="210"/>
      <c r="I122" s="211"/>
      <c r="J122" s="212"/>
      <c r="K122" s="210"/>
      <c r="L122" s="211"/>
      <c r="M122" s="212"/>
      <c r="N122" s="95" t="str">
        <f>IF(((B122+E122)-(H122+K122))=0," ",((B122+E122)-(H122+K122)))</f>
        <v xml:space="preserve"> </v>
      </c>
      <c r="O122" s="96"/>
      <c r="P122" s="97"/>
      <c r="Q122" s="240"/>
    </row>
    <row r="123" spans="1:17" ht="20.100000000000001" customHeight="1">
      <c r="A123" s="213" t="s">
        <v>25</v>
      </c>
      <c r="B123" s="44"/>
      <c r="C123" s="45"/>
      <c r="D123" s="44"/>
      <c r="E123" s="47"/>
      <c r="F123" s="45"/>
      <c r="G123" s="46"/>
      <c r="H123" s="215"/>
      <c r="I123" s="216"/>
      <c r="J123" s="217"/>
      <c r="K123" s="215"/>
      <c r="L123" s="216"/>
      <c r="M123" s="217"/>
      <c r="N123" s="44" t="str">
        <f>IF(((B123+E123)-(H123+K123))=0," ",((B123+E123)-(H123+K123)))</f>
        <v xml:space="preserve"> </v>
      </c>
      <c r="O123" s="44"/>
      <c r="P123" s="48"/>
      <c r="Q123" s="240"/>
    </row>
    <row r="124" spans="1:17" ht="20.100000000000001" customHeight="1" thickBot="1">
      <c r="A124" s="214"/>
      <c r="B124" s="49"/>
      <c r="C124" s="50"/>
      <c r="D124" s="49"/>
      <c r="E124" s="52"/>
      <c r="F124" s="50"/>
      <c r="G124" s="51"/>
      <c r="H124" s="218"/>
      <c r="I124" s="219"/>
      <c r="J124" s="220"/>
      <c r="K124" s="218"/>
      <c r="L124" s="219"/>
      <c r="M124" s="220"/>
      <c r="N124" s="49" t="str">
        <f>IF(((B124+E124)-(H124+K124))=0," ",((B124+E124)-(H124+K124)))</f>
        <v xml:space="preserve"> </v>
      </c>
      <c r="O124" s="49"/>
      <c r="P124" s="53"/>
      <c r="Q124" s="240"/>
    </row>
    <row r="125" spans="1:17" ht="15.75" customHeight="1" thickBot="1">
      <c r="A125" s="54" t="s">
        <v>26</v>
      </c>
      <c r="B125" s="56">
        <f>IF(SUM(B120:B124)=0," ",SUM(B120:B124))</f>
        <v>244</v>
      </c>
      <c r="C125" s="192"/>
      <c r="D125" s="193"/>
      <c r="E125" s="58">
        <f>IF(SUM(E120:E124)=0," ",SUM(E120:E124))</f>
        <v>150</v>
      </c>
      <c r="F125" s="192"/>
      <c r="G125" s="193"/>
      <c r="H125" s="194">
        <f t="shared" ref="H125:J125" si="12">IF(SUM(H120:H124)=0," ",SUM(H120:H124))</f>
        <v>205</v>
      </c>
      <c r="I125" s="195" t="str">
        <f t="shared" si="12"/>
        <v xml:space="preserve"> </v>
      </c>
      <c r="J125" s="196" t="str">
        <f t="shared" si="12"/>
        <v xml:space="preserve"> </v>
      </c>
      <c r="K125" s="197" t="str">
        <f t="shared" ref="K125:M125" si="13">IF(SUM(K120:K124)=0," ",SUM(K120:K124))</f>
        <v xml:space="preserve"> </v>
      </c>
      <c r="L125" s="197" t="str">
        <f t="shared" si="13"/>
        <v xml:space="preserve"> </v>
      </c>
      <c r="M125" s="198" t="str">
        <f t="shared" si="13"/>
        <v xml:space="preserve"> </v>
      </c>
      <c r="N125" s="56">
        <f>IF(SUM(N120:N124)=0," ",SUM(N120:N124))</f>
        <v>189</v>
      </c>
      <c r="O125" s="192"/>
      <c r="P125" s="193"/>
      <c r="Q125" s="241"/>
    </row>
    <row r="126" spans="1:17" ht="15" customHeight="1">
      <c r="A126" s="199" t="s">
        <v>76</v>
      </c>
      <c r="B126" s="59">
        <v>284</v>
      </c>
      <c r="C126" s="60" t="s">
        <v>91</v>
      </c>
      <c r="D126" s="61">
        <v>46174</v>
      </c>
      <c r="E126" s="24">
        <v>170</v>
      </c>
      <c r="F126" s="26" t="s">
        <v>91</v>
      </c>
      <c r="G126" s="27">
        <v>46174</v>
      </c>
      <c r="H126" s="236">
        <v>146</v>
      </c>
      <c r="I126" s="237"/>
      <c r="J126" s="238"/>
      <c r="K126" s="236"/>
      <c r="L126" s="237"/>
      <c r="M126" s="238"/>
      <c r="N126" s="26">
        <f>IF(((B126+E126)-(H126+K126))=0," ",((B126+E126)-(H126+K126)))</f>
        <v>308</v>
      </c>
      <c r="O126" s="60" t="s">
        <v>91</v>
      </c>
      <c r="P126" s="61">
        <v>46174</v>
      </c>
      <c r="Q126" s="239"/>
    </row>
    <row r="127" spans="1:17" ht="15" customHeight="1">
      <c r="A127" s="200"/>
      <c r="B127" s="92"/>
      <c r="C127" s="93"/>
      <c r="D127" s="92"/>
      <c r="E127" s="96">
        <v>30</v>
      </c>
      <c r="F127" s="95" t="s">
        <v>122</v>
      </c>
      <c r="G127" s="114">
        <v>46296</v>
      </c>
      <c r="H127" s="210"/>
      <c r="I127" s="211"/>
      <c r="J127" s="212"/>
      <c r="K127" s="210"/>
      <c r="L127" s="211"/>
      <c r="M127" s="212"/>
      <c r="N127" s="95">
        <f>IF(((B127+E127)-(H127+K127))=0," ",((B127+E127)-(H127+K127)))</f>
        <v>30</v>
      </c>
      <c r="O127" s="96" t="s">
        <v>122</v>
      </c>
      <c r="P127" s="97">
        <v>46296</v>
      </c>
      <c r="Q127" s="240"/>
    </row>
    <row r="128" spans="1:17" ht="15" customHeight="1" thickBot="1">
      <c r="A128" s="200"/>
      <c r="B128" s="92"/>
      <c r="C128" s="93"/>
      <c r="D128" s="92"/>
      <c r="E128" s="96"/>
      <c r="F128" s="95"/>
      <c r="G128" s="114"/>
      <c r="H128" s="210"/>
      <c r="I128" s="211"/>
      <c r="J128" s="212"/>
      <c r="K128" s="210"/>
      <c r="L128" s="211"/>
      <c r="M128" s="212"/>
      <c r="N128" s="95" t="str">
        <f>IF(((B128+E128)-(H128+K128))=0," ",((B128+E128)-(H128+K128)))</f>
        <v xml:space="preserve"> </v>
      </c>
      <c r="O128" s="96"/>
      <c r="P128" s="97"/>
      <c r="Q128" s="240"/>
    </row>
    <row r="129" spans="1:17" ht="20.100000000000001" customHeight="1">
      <c r="A129" s="213" t="s">
        <v>25</v>
      </c>
      <c r="B129" s="44"/>
      <c r="C129" s="45"/>
      <c r="D129" s="44"/>
      <c r="E129" s="47"/>
      <c r="F129" s="45"/>
      <c r="G129" s="46"/>
      <c r="H129" s="215"/>
      <c r="I129" s="216"/>
      <c r="J129" s="217"/>
      <c r="K129" s="215"/>
      <c r="L129" s="216"/>
      <c r="M129" s="217"/>
      <c r="N129" s="44" t="str">
        <f>IF(((B129+E129)-(H129+K129))=0," ",((B129+E129)-(H129+K129)))</f>
        <v xml:space="preserve"> </v>
      </c>
      <c r="O129" s="44"/>
      <c r="P129" s="48"/>
      <c r="Q129" s="240"/>
    </row>
    <row r="130" spans="1:17" ht="20.100000000000001" customHeight="1" thickBot="1">
      <c r="A130" s="214"/>
      <c r="B130" s="49"/>
      <c r="C130" s="50"/>
      <c r="D130" s="49"/>
      <c r="E130" s="52"/>
      <c r="F130" s="50"/>
      <c r="G130" s="51"/>
      <c r="H130" s="218"/>
      <c r="I130" s="219"/>
      <c r="J130" s="220"/>
      <c r="K130" s="218"/>
      <c r="L130" s="219"/>
      <c r="M130" s="220"/>
      <c r="N130" s="49" t="str">
        <f>IF(((B130+E130)-(H130+K130))=0," ",((B130+E130)-(H130+K130)))</f>
        <v xml:space="preserve"> </v>
      </c>
      <c r="O130" s="49"/>
      <c r="P130" s="53"/>
      <c r="Q130" s="240"/>
    </row>
    <row r="131" spans="1:17" ht="15.75" customHeight="1" thickBot="1">
      <c r="A131" s="54" t="s">
        <v>26</v>
      </c>
      <c r="B131" s="56">
        <f>IF(SUM(B126:B130)=0," ",SUM(B126:B130))</f>
        <v>284</v>
      </c>
      <c r="C131" s="192"/>
      <c r="D131" s="193"/>
      <c r="E131" s="58">
        <f>IF(SUM(E126:E130)=0," ",SUM(E126:E130))</f>
        <v>200</v>
      </c>
      <c r="F131" s="192"/>
      <c r="G131" s="193"/>
      <c r="H131" s="194">
        <f t="shared" ref="H131:J131" si="14">IF(SUM(H126:H130)=0," ",SUM(H126:H130))</f>
        <v>146</v>
      </c>
      <c r="I131" s="195" t="str">
        <f t="shared" si="14"/>
        <v xml:space="preserve"> </v>
      </c>
      <c r="J131" s="196" t="str">
        <f t="shared" si="14"/>
        <v xml:space="preserve"> </v>
      </c>
      <c r="K131" s="197"/>
      <c r="L131" s="197"/>
      <c r="M131" s="198"/>
      <c r="N131" s="56">
        <f>IF(SUM(N126:N130)=0," ",SUM(N126:N130))</f>
        <v>338</v>
      </c>
      <c r="O131" s="192"/>
      <c r="P131" s="193"/>
      <c r="Q131" s="241"/>
    </row>
  </sheetData>
  <protectedRanges>
    <protectedRange sqref="I7" name="año"/>
    <protectedRange sqref="O7" name="Unidad de salud"/>
    <protectedRange sqref="D8:K8" name="Nombre"/>
    <protectedRange sqref="B104:M109 B98:M102 B92:M96 B77:M83 B59:M63 B85:M90" name="APLICACIONES 2"/>
    <protectedRange sqref="K77:L83" name="INFLUENZA DESPERDICIO"/>
    <protectedRange sqref="H77:I83" name="INFLUENZA DÓSIS APLICADAS"/>
    <protectedRange sqref="K19:L23 B54:M57 B46:M49 B40:M44 B34:M38 B25:M32 B19:I23 B13:M17 O46:P49 B53 E53:M53 E50:M51 O42:P42" name="APLICACIONES 1"/>
    <protectedRange sqref="Q104:Q109 Q46:Q51 Q53:Q57 Q59:Q63 Q77:Q83 Q85:Q90 Q92:Q96 Q98:Q102 Q13:Q17" name="PEDIDO DE BIOLÓGICO"/>
    <protectedRange sqref="Q13:Q18 Q77:Q110 Q119 Q46:Q64" name="Pedido mensual"/>
    <protectedRange sqref="C53:D53" name="LOTE Y CADUCIDAD CORTE FINAL_1"/>
    <protectedRange sqref="B114:M118 B111:G113" name="APLICACIONES 2_1"/>
    <protectedRange sqref="K111:L113 H111:I113" name="APLICACIONES 1_1"/>
    <protectedRange sqref="Q111:Q118" name="PEDIDO DE BIOLÓGICO_1"/>
    <protectedRange sqref="O111:P118" name="LOTE Y CADUCIDAD CORTE FINAL_2"/>
    <protectedRange sqref="Q111:Q118" name="Pedido mensual_1"/>
    <protectedRange sqref="Q19:Q23" name="PEDIDO DE BIOLÓGICO_2"/>
    <protectedRange sqref="Q19:Q24" name="Pedido mensual_2"/>
    <protectedRange sqref="Q25:Q32" name="PEDIDO DE BIOLÓGICO_3"/>
    <protectedRange sqref="Q25:Q33" name="Pedido mensual_3"/>
    <protectedRange sqref="Q34:Q38" name="PEDIDO DE BIOLÓGICO_4"/>
    <protectedRange sqref="Q34:Q39" name="Pedido mensual_4"/>
    <protectedRange sqref="Q40:Q44" name="PEDIDO DE BIOLÓGICO_5"/>
    <protectedRange sqref="Q40:Q45" name="Pedido mensual_5"/>
    <protectedRange sqref="C50:D51" name="LOTE Y CADUCIDAD CORTE FINAL_5"/>
  </protectedRanges>
  <mergeCells count="323">
    <mergeCell ref="A126:A128"/>
    <mergeCell ref="H126:J126"/>
    <mergeCell ref="K126:M126"/>
    <mergeCell ref="Q126:Q131"/>
    <mergeCell ref="H127:J127"/>
    <mergeCell ref="K127:M127"/>
    <mergeCell ref="H128:J128"/>
    <mergeCell ref="K128:M128"/>
    <mergeCell ref="A129:A130"/>
    <mergeCell ref="O131:P131"/>
    <mergeCell ref="H129:J129"/>
    <mergeCell ref="K129:M129"/>
    <mergeCell ref="H130:J130"/>
    <mergeCell ref="K130:M130"/>
    <mergeCell ref="C131:D131"/>
    <mergeCell ref="F131:G131"/>
    <mergeCell ref="H131:J131"/>
    <mergeCell ref="K131:M131"/>
    <mergeCell ref="A120:A122"/>
    <mergeCell ref="H120:J120"/>
    <mergeCell ref="K120:M120"/>
    <mergeCell ref="Q120:Q125"/>
    <mergeCell ref="H121:J121"/>
    <mergeCell ref="K121:M121"/>
    <mergeCell ref="H122:J122"/>
    <mergeCell ref="K122:M122"/>
    <mergeCell ref="A123:A124"/>
    <mergeCell ref="H123:J123"/>
    <mergeCell ref="K123:M123"/>
    <mergeCell ref="H124:J124"/>
    <mergeCell ref="K124:M124"/>
    <mergeCell ref="C125:D125"/>
    <mergeCell ref="F125:G125"/>
    <mergeCell ref="H125:J125"/>
    <mergeCell ref="K125:M125"/>
    <mergeCell ref="O125:P125"/>
    <mergeCell ref="K117:M117"/>
    <mergeCell ref="H118:J118"/>
    <mergeCell ref="K118:M118"/>
    <mergeCell ref="C119:D119"/>
    <mergeCell ref="F119:G119"/>
    <mergeCell ref="H119:J119"/>
    <mergeCell ref="K119:M119"/>
    <mergeCell ref="Q111:Q119"/>
    <mergeCell ref="A114:A116"/>
    <mergeCell ref="H114:J114"/>
    <mergeCell ref="K114:M114"/>
    <mergeCell ref="H115:J115"/>
    <mergeCell ref="K115:M115"/>
    <mergeCell ref="H116:J116"/>
    <mergeCell ref="K116:M116"/>
    <mergeCell ref="A117:A118"/>
    <mergeCell ref="H117:J117"/>
    <mergeCell ref="O119:P119"/>
    <mergeCell ref="C110:D110"/>
    <mergeCell ref="F110:G110"/>
    <mergeCell ref="H110:J110"/>
    <mergeCell ref="K110:M110"/>
    <mergeCell ref="O110:P110"/>
    <mergeCell ref="A111:A113"/>
    <mergeCell ref="Q104:Q110"/>
    <mergeCell ref="H105:J105"/>
    <mergeCell ref="K105:M105"/>
    <mergeCell ref="H106:J106"/>
    <mergeCell ref="K106:M106"/>
    <mergeCell ref="A107:A109"/>
    <mergeCell ref="H107:J107"/>
    <mergeCell ref="K107:M107"/>
    <mergeCell ref="H109:J109"/>
    <mergeCell ref="K109:M109"/>
    <mergeCell ref="C103:D103"/>
    <mergeCell ref="F103:G103"/>
    <mergeCell ref="H103:J103"/>
    <mergeCell ref="K103:M103"/>
    <mergeCell ref="O103:P103"/>
    <mergeCell ref="A104:A106"/>
    <mergeCell ref="H104:J104"/>
    <mergeCell ref="K104:M104"/>
    <mergeCell ref="Q98:Q103"/>
    <mergeCell ref="H99:J99"/>
    <mergeCell ref="K99:M99"/>
    <mergeCell ref="H100:J100"/>
    <mergeCell ref="K100:M100"/>
    <mergeCell ref="A101:A102"/>
    <mergeCell ref="H101:J101"/>
    <mergeCell ref="K101:M101"/>
    <mergeCell ref="H102:J102"/>
    <mergeCell ref="K102:M102"/>
    <mergeCell ref="C97:D97"/>
    <mergeCell ref="F97:G97"/>
    <mergeCell ref="H97:J97"/>
    <mergeCell ref="K97:M97"/>
    <mergeCell ref="O97:P97"/>
    <mergeCell ref="A98:A100"/>
    <mergeCell ref="H98:J98"/>
    <mergeCell ref="K98:M98"/>
    <mergeCell ref="Q92:Q97"/>
    <mergeCell ref="H93:J93"/>
    <mergeCell ref="K93:M93"/>
    <mergeCell ref="H94:J94"/>
    <mergeCell ref="K94:M94"/>
    <mergeCell ref="A95:A96"/>
    <mergeCell ref="H95:J95"/>
    <mergeCell ref="K95:M95"/>
    <mergeCell ref="H96:J96"/>
    <mergeCell ref="K96:M96"/>
    <mergeCell ref="C91:D91"/>
    <mergeCell ref="F91:G91"/>
    <mergeCell ref="H91:J91"/>
    <mergeCell ref="K91:M91"/>
    <mergeCell ref="O91:P91"/>
    <mergeCell ref="A92:A94"/>
    <mergeCell ref="H92:J92"/>
    <mergeCell ref="K92:M92"/>
    <mergeCell ref="Q85:Q91"/>
    <mergeCell ref="H86:J86"/>
    <mergeCell ref="K86:M86"/>
    <mergeCell ref="H88:J88"/>
    <mergeCell ref="K88:M88"/>
    <mergeCell ref="A89:A90"/>
    <mergeCell ref="H89:J89"/>
    <mergeCell ref="K89:M89"/>
    <mergeCell ref="H90:J90"/>
    <mergeCell ref="K90:M90"/>
    <mergeCell ref="A85:A88"/>
    <mergeCell ref="H85:J85"/>
    <mergeCell ref="K85:M85"/>
    <mergeCell ref="H87:J87"/>
    <mergeCell ref="H81:J81"/>
    <mergeCell ref="K81:M81"/>
    <mergeCell ref="A82:A83"/>
    <mergeCell ref="H82:J82"/>
    <mergeCell ref="K82:M82"/>
    <mergeCell ref="H83:J83"/>
    <mergeCell ref="K83:M83"/>
    <mergeCell ref="Q74:Q76"/>
    <mergeCell ref="A77:A81"/>
    <mergeCell ref="H77:J77"/>
    <mergeCell ref="K77:M77"/>
    <mergeCell ref="Q77:Q84"/>
    <mergeCell ref="H78:J78"/>
    <mergeCell ref="K78:M78"/>
    <mergeCell ref="H79:J79"/>
    <mergeCell ref="H80:J80"/>
    <mergeCell ref="C84:D84"/>
    <mergeCell ref="F84:G84"/>
    <mergeCell ref="H84:J84"/>
    <mergeCell ref="K84:M84"/>
    <mergeCell ref="O84:P84"/>
    <mergeCell ref="I71:J71"/>
    <mergeCell ref="M71:N71"/>
    <mergeCell ref="O71:P71"/>
    <mergeCell ref="A72:C72"/>
    <mergeCell ref="D72:L72"/>
    <mergeCell ref="A74:A76"/>
    <mergeCell ref="B74:D75"/>
    <mergeCell ref="E74:G75"/>
    <mergeCell ref="H74:J76"/>
    <mergeCell ref="K74:M76"/>
    <mergeCell ref="N74:P75"/>
    <mergeCell ref="A66:Q66"/>
    <mergeCell ref="A67:Q67"/>
    <mergeCell ref="A68:Q68"/>
    <mergeCell ref="L69:N69"/>
    <mergeCell ref="O69:P69"/>
    <mergeCell ref="A70:E70"/>
    <mergeCell ref="C64:D64"/>
    <mergeCell ref="F64:G64"/>
    <mergeCell ref="H64:J64"/>
    <mergeCell ref="K64:M64"/>
    <mergeCell ref="O64:P64"/>
    <mergeCell ref="A65:Q65"/>
    <mergeCell ref="Q59:Q64"/>
    <mergeCell ref="H60:J60"/>
    <mergeCell ref="K60:M60"/>
    <mergeCell ref="H61:J61"/>
    <mergeCell ref="K61:M61"/>
    <mergeCell ref="A62:A63"/>
    <mergeCell ref="H62:J62"/>
    <mergeCell ref="K62:M62"/>
    <mergeCell ref="H63:J63"/>
    <mergeCell ref="K63:M63"/>
    <mergeCell ref="O58:P58"/>
    <mergeCell ref="A59:A61"/>
    <mergeCell ref="H59:J59"/>
    <mergeCell ref="K59:M59"/>
    <mergeCell ref="Q53:Q58"/>
    <mergeCell ref="H54:J54"/>
    <mergeCell ref="K54:M54"/>
    <mergeCell ref="H55:J55"/>
    <mergeCell ref="K55:M55"/>
    <mergeCell ref="A56:A57"/>
    <mergeCell ref="H56:J56"/>
    <mergeCell ref="K56:M56"/>
    <mergeCell ref="H57:J57"/>
    <mergeCell ref="K57:M57"/>
    <mergeCell ref="A53:A55"/>
    <mergeCell ref="H53:J53"/>
    <mergeCell ref="K53:M53"/>
    <mergeCell ref="A50:A51"/>
    <mergeCell ref="H50:J50"/>
    <mergeCell ref="K50:M50"/>
    <mergeCell ref="H51:J51"/>
    <mergeCell ref="K51:M51"/>
    <mergeCell ref="A46:A49"/>
    <mergeCell ref="H46:J46"/>
    <mergeCell ref="K46:M46"/>
    <mergeCell ref="C58:D58"/>
    <mergeCell ref="F58:G58"/>
    <mergeCell ref="H58:J58"/>
    <mergeCell ref="K58:M58"/>
    <mergeCell ref="Q46:Q52"/>
    <mergeCell ref="H47:J47"/>
    <mergeCell ref="K47:M47"/>
    <mergeCell ref="H48:J48"/>
    <mergeCell ref="K48:M48"/>
    <mergeCell ref="H49:J49"/>
    <mergeCell ref="C52:D52"/>
    <mergeCell ref="F52:G52"/>
    <mergeCell ref="H52:J52"/>
    <mergeCell ref="K52:M52"/>
    <mergeCell ref="O52:P52"/>
    <mergeCell ref="K49:M49"/>
    <mergeCell ref="O33:P33"/>
    <mergeCell ref="O39:P39"/>
    <mergeCell ref="Q25:Q33"/>
    <mergeCell ref="H26:J26"/>
    <mergeCell ref="A40:A42"/>
    <mergeCell ref="H40:J40"/>
    <mergeCell ref="K40:M40"/>
    <mergeCell ref="Q40:Q45"/>
    <mergeCell ref="H41:J41"/>
    <mergeCell ref="K41:M41"/>
    <mergeCell ref="H42:J42"/>
    <mergeCell ref="K42:M42"/>
    <mergeCell ref="A43:A44"/>
    <mergeCell ref="H43:J43"/>
    <mergeCell ref="K43:M43"/>
    <mergeCell ref="H44:J44"/>
    <mergeCell ref="K44:M44"/>
    <mergeCell ref="C45:D45"/>
    <mergeCell ref="F45:G45"/>
    <mergeCell ref="H45:J45"/>
    <mergeCell ref="K45:M45"/>
    <mergeCell ref="O45:P45"/>
    <mergeCell ref="A34:A36"/>
    <mergeCell ref="H34:J34"/>
    <mergeCell ref="K34:M34"/>
    <mergeCell ref="Q34:Q39"/>
    <mergeCell ref="H35:J35"/>
    <mergeCell ref="K35:M35"/>
    <mergeCell ref="H36:J36"/>
    <mergeCell ref="K36:M36"/>
    <mergeCell ref="A37:A38"/>
    <mergeCell ref="H37:J37"/>
    <mergeCell ref="K37:M37"/>
    <mergeCell ref="H38:J38"/>
    <mergeCell ref="K38:M38"/>
    <mergeCell ref="C39:D39"/>
    <mergeCell ref="F39:G39"/>
    <mergeCell ref="H39:J39"/>
    <mergeCell ref="K39:M39"/>
    <mergeCell ref="K28:M28"/>
    <mergeCell ref="A29:A32"/>
    <mergeCell ref="O18:P18"/>
    <mergeCell ref="A19:A21"/>
    <mergeCell ref="Q19:Q24"/>
    <mergeCell ref="A22:A23"/>
    <mergeCell ref="C24:D24"/>
    <mergeCell ref="F24:G24"/>
    <mergeCell ref="H24:J24"/>
    <mergeCell ref="K24:M24"/>
    <mergeCell ref="O24:P24"/>
    <mergeCell ref="H29:J29"/>
    <mergeCell ref="K29:M29"/>
    <mergeCell ref="H32:J32"/>
    <mergeCell ref="K32:M32"/>
    <mergeCell ref="A25:A28"/>
    <mergeCell ref="H25:J25"/>
    <mergeCell ref="K25:M25"/>
    <mergeCell ref="C33:D33"/>
    <mergeCell ref="F33:G33"/>
    <mergeCell ref="H33:J33"/>
    <mergeCell ref="K33:M33"/>
    <mergeCell ref="A13:A15"/>
    <mergeCell ref="H13:J13"/>
    <mergeCell ref="K13:M13"/>
    <mergeCell ref="Q13:Q18"/>
    <mergeCell ref="H14:J14"/>
    <mergeCell ref="K14:M14"/>
    <mergeCell ref="H15:J15"/>
    <mergeCell ref="K15:M15"/>
    <mergeCell ref="A16:A17"/>
    <mergeCell ref="H16:J16"/>
    <mergeCell ref="K16:M16"/>
    <mergeCell ref="H17:J17"/>
    <mergeCell ref="K17:M17"/>
    <mergeCell ref="C18:D18"/>
    <mergeCell ref="F18:G18"/>
    <mergeCell ref="H18:J18"/>
    <mergeCell ref="K18:M18"/>
    <mergeCell ref="K26:M26"/>
    <mergeCell ref="H27:J27"/>
    <mergeCell ref="H28:J28"/>
    <mergeCell ref="A1:Q1"/>
    <mergeCell ref="A2:Q2"/>
    <mergeCell ref="A3:Q3"/>
    <mergeCell ref="A4:Q4"/>
    <mergeCell ref="L5:N5"/>
    <mergeCell ref="O5:P5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Q10:Q12"/>
  </mergeCells>
  <dataValidations count="1">
    <dataValidation allowBlank="1" showErrorMessage="1" sqref="H77:H83 K77:M83 I77:J78 I81:J83" xr:uid="{CA45B959-AC1B-490A-B1A1-06E1E05BDDA8}"/>
  </dataValidations>
  <printOptions horizontalCentered="1" verticalCentered="1"/>
  <pageMargins left="0.19685039370078741" right="0.19685039370078741" top="0.19685039370078741" bottom="0.19685039370078741" header="0" footer="0"/>
  <pageSetup scale="50" fitToHeight="2" orientation="landscape" horizontalDpi="1200" verticalDpi="1200" r:id="rId1"/>
  <rowBreaks count="1" manualBreakCount="1">
    <brk id="6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6833-82F7-404D-AEEA-3FE0938B6CA1}">
  <sheetPr>
    <tabColor theme="7" tint="-0.249977111117893"/>
  </sheetPr>
  <dimension ref="A1:Q134"/>
  <sheetViews>
    <sheetView showGridLines="0" tabSelected="1" topLeftCell="A70" zoomScale="70" zoomScaleNormal="70" zoomScaleSheetLayoutView="85" workbookViewId="0">
      <selection activeCell="K36" sqref="K36:M36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 t="s">
        <v>43</v>
      </c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>
        <f>_xlfn.XLOOKUP(O5,[1]DATOS!A1:A12,[1]DATOS!B1:B12," ",0)</f>
        <v>31</v>
      </c>
      <c r="D7" s="6"/>
      <c r="E7" s="6" t="s">
        <v>9</v>
      </c>
      <c r="F7" s="11" t="s">
        <v>126</v>
      </c>
      <c r="G7" s="1"/>
      <c r="H7" s="8" t="s">
        <v>10</v>
      </c>
      <c r="I7" s="169">
        <v>2026</v>
      </c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127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>
        <v>185</v>
      </c>
      <c r="C13" s="21" t="s">
        <v>98</v>
      </c>
      <c r="D13" s="22">
        <v>46447</v>
      </c>
      <c r="E13" s="23">
        <v>72</v>
      </c>
      <c r="F13" s="24" t="s">
        <v>98</v>
      </c>
      <c r="G13" s="25">
        <v>46447</v>
      </c>
      <c r="H13" s="201">
        <v>434</v>
      </c>
      <c r="I13" s="202"/>
      <c r="J13" s="203"/>
      <c r="K13" s="201">
        <v>456</v>
      </c>
      <c r="L13" s="202"/>
      <c r="M13" s="203"/>
      <c r="N13" s="26">
        <f>IF((((B13+E13)*10)-(H13+K13))/10=0," ",(((B13+E13)*10)-(H13+K13))/10)</f>
        <v>168</v>
      </c>
      <c r="O13" s="26" t="s">
        <v>98</v>
      </c>
      <c r="P13" s="27">
        <v>46447</v>
      </c>
      <c r="Q13" s="204" t="s">
        <v>85</v>
      </c>
    </row>
    <row r="14" spans="1:17" ht="15" customHeight="1">
      <c r="A14" s="200"/>
      <c r="B14" s="28"/>
      <c r="C14" s="29" t="s">
        <v>61</v>
      </c>
      <c r="D14" s="30" t="s">
        <v>61</v>
      </c>
      <c r="E14" s="31"/>
      <c r="F14" s="32"/>
      <c r="G14" s="33"/>
      <c r="H14" s="207"/>
      <c r="I14" s="208"/>
      <c r="J14" s="209"/>
      <c r="K14" s="207"/>
      <c r="L14" s="208"/>
      <c r="M14" s="209"/>
      <c r="N14" s="34" t="str">
        <f>IF((((B14+E14)*10)-(H14+K14))/10=0," ",(((B14+E14)*10)-(H14+K14))/10)</f>
        <v xml:space="preserve"> </v>
      </c>
      <c r="O14" s="34" t="s">
        <v>61</v>
      </c>
      <c r="P14" s="35" t="s">
        <v>61</v>
      </c>
      <c r="Q14" s="205"/>
    </row>
    <row r="15" spans="1:17" ht="15" customHeight="1" thickBot="1">
      <c r="A15" s="200"/>
      <c r="B15" s="36"/>
      <c r="C15" s="37" t="s">
        <v>61</v>
      </c>
      <c r="D15" s="38" t="s">
        <v>61</v>
      </c>
      <c r="E15" s="39"/>
      <c r="F15" s="40"/>
      <c r="G15" s="41"/>
      <c r="H15" s="210"/>
      <c r="I15" s="211"/>
      <c r="J15" s="212"/>
      <c r="K15" s="210"/>
      <c r="L15" s="211"/>
      <c r="M15" s="212"/>
      <c r="N15" s="42" t="str">
        <f>IF((((B15+E15)*10)-(H15+K15))/10=0," ",(((B15+E15)*10)-(H15+K15))/10)</f>
        <v xml:space="preserve"> </v>
      </c>
      <c r="O15" s="42" t="s">
        <v>61</v>
      </c>
      <c r="P15" s="43" t="s">
        <v>61</v>
      </c>
      <c r="Q15" s="205"/>
    </row>
    <row r="16" spans="1:17" ht="20.100000000000001" customHeight="1">
      <c r="A16" s="213" t="s">
        <v>25</v>
      </c>
      <c r="B16" s="44">
        <v>10</v>
      </c>
      <c r="C16" s="45" t="s">
        <v>66</v>
      </c>
      <c r="D16" s="46">
        <v>45809</v>
      </c>
      <c r="E16" s="47"/>
      <c r="F16" s="45"/>
      <c r="G16" s="46"/>
      <c r="H16" s="215"/>
      <c r="I16" s="216"/>
      <c r="J16" s="217"/>
      <c r="K16" s="215"/>
      <c r="L16" s="216"/>
      <c r="M16" s="217"/>
      <c r="N16" s="44">
        <f>IF((((B16+E16)*10)-(H16+K16))/10=0," ",(((B16+E16)*10)-(H16+K16))/10)</f>
        <v>10</v>
      </c>
      <c r="O16" s="44" t="s">
        <v>66</v>
      </c>
      <c r="P16" s="48">
        <v>45809</v>
      </c>
      <c r="Q16" s="205"/>
    </row>
    <row r="17" spans="1:17" ht="20.100000000000001" customHeight="1" thickBot="1">
      <c r="A17" s="214"/>
      <c r="B17" s="49"/>
      <c r="C17" s="50"/>
      <c r="D17" s="51"/>
      <c r="E17" s="52"/>
      <c r="F17" s="50"/>
      <c r="G17" s="51"/>
      <c r="H17" s="218"/>
      <c r="I17" s="219"/>
      <c r="J17" s="220"/>
      <c r="K17" s="218"/>
      <c r="L17" s="219"/>
      <c r="M17" s="220"/>
      <c r="N17" s="49" t="str">
        <f>IF((((B17+E17)*10)-(H17+K17))/10=0," ",(((B17+E17)*10)-(H17+K17))/10)</f>
        <v xml:space="preserve"> </v>
      </c>
      <c r="O17" s="49"/>
      <c r="P17" s="53"/>
      <c r="Q17" s="205"/>
    </row>
    <row r="18" spans="1:17" ht="15" thickBot="1">
      <c r="A18" s="54" t="s">
        <v>26</v>
      </c>
      <c r="B18" s="55">
        <f>IF(SUM(B13:B17)=0," ",SUM(B13:B17))</f>
        <v>195</v>
      </c>
      <c r="C18" s="192"/>
      <c r="D18" s="193"/>
      <c r="E18" s="56">
        <f>IF(SUM(E13:E17)=0," ",SUM(E13:E17))</f>
        <v>72</v>
      </c>
      <c r="F18" s="192"/>
      <c r="G18" s="193"/>
      <c r="H18" s="194">
        <f>IF(SUM(H13:J17)=0," ",SUM(H13:J17))</f>
        <v>434</v>
      </c>
      <c r="I18" s="195"/>
      <c r="J18" s="196"/>
      <c r="K18" s="221">
        <f>IF(SUM(K13:M17)=0," ",SUM(K13:M17))</f>
        <v>456</v>
      </c>
      <c r="L18" s="197"/>
      <c r="M18" s="198"/>
      <c r="N18" s="56">
        <f>IF(SUM(N13:N17)=0," ",SUM(N13:N17))</f>
        <v>178</v>
      </c>
      <c r="O18" s="192"/>
      <c r="P18" s="193"/>
      <c r="Q18" s="206"/>
    </row>
    <row r="19" spans="1:17" ht="15" customHeight="1">
      <c r="A19" s="199" t="s">
        <v>27</v>
      </c>
      <c r="B19" s="59">
        <v>18.2</v>
      </c>
      <c r="C19" s="60">
        <v>2526240806</v>
      </c>
      <c r="D19" s="61">
        <v>46600</v>
      </c>
      <c r="E19" s="23"/>
      <c r="F19" s="24"/>
      <c r="G19" s="25"/>
      <c r="H19" s="62">
        <v>6</v>
      </c>
      <c r="I19" s="116">
        <v>8</v>
      </c>
      <c r="J19" s="64">
        <f t="shared" ref="J19:J23" si="0">(((H19/2)+(I19)))</f>
        <v>11</v>
      </c>
      <c r="K19" s="62">
        <v>1</v>
      </c>
      <c r="L19" s="63">
        <v>18</v>
      </c>
      <c r="M19" s="64">
        <f>(((K19/2)+(L19)))</f>
        <v>18.5</v>
      </c>
      <c r="N19" s="23">
        <f>IFERROR(IF((((B19+E19)*10)-(J19+M19))/10=0," ",(((B19+E19)*10)-(J19+M19))/10)," ")</f>
        <v>15.25</v>
      </c>
      <c r="O19" s="24">
        <v>2526240806</v>
      </c>
      <c r="P19" s="25">
        <v>46600</v>
      </c>
      <c r="Q19" s="246" t="s">
        <v>133</v>
      </c>
    </row>
    <row r="20" spans="1:17" ht="15" customHeight="1">
      <c r="A20" s="200"/>
      <c r="B20" s="65">
        <v>35.450000000000003</v>
      </c>
      <c r="C20" s="66">
        <v>2526241009</v>
      </c>
      <c r="D20" s="67">
        <v>46661</v>
      </c>
      <c r="E20" s="31">
        <v>40</v>
      </c>
      <c r="F20" s="32">
        <v>2526241009</v>
      </c>
      <c r="G20" s="68">
        <v>46661</v>
      </c>
      <c r="H20" s="69">
        <v>164</v>
      </c>
      <c r="I20" s="70">
        <v>223</v>
      </c>
      <c r="J20" s="71">
        <f t="shared" si="0"/>
        <v>305</v>
      </c>
      <c r="K20" s="69">
        <v>1</v>
      </c>
      <c r="L20" s="70">
        <v>40</v>
      </c>
      <c r="M20" s="71">
        <f t="shared" ref="M20:M23" si="1">(((K20/2)+(L20)))</f>
        <v>40.5</v>
      </c>
      <c r="N20" s="31">
        <f>IFERROR(IF((((B20+E20)*10)-(J20+M20))/10=0," ",(((B20+E20)*10)-(J20+M20))/10)," ")</f>
        <v>40.9</v>
      </c>
      <c r="O20" s="32">
        <v>2526241009</v>
      </c>
      <c r="P20" s="33">
        <v>46661</v>
      </c>
      <c r="Q20" s="247"/>
    </row>
    <row r="21" spans="1:17" ht="15" customHeight="1" thickBot="1">
      <c r="A21" s="200"/>
      <c r="B21" s="72"/>
      <c r="C21" s="73"/>
      <c r="D21" s="74"/>
      <c r="E21" s="39"/>
      <c r="F21" s="40"/>
      <c r="G21" s="75"/>
      <c r="H21" s="76"/>
      <c r="I21" s="77"/>
      <c r="J21" s="78">
        <f t="shared" si="0"/>
        <v>0</v>
      </c>
      <c r="K21" s="79"/>
      <c r="L21" s="80"/>
      <c r="M21" s="78">
        <f t="shared" si="1"/>
        <v>0</v>
      </c>
      <c r="N21" s="39" t="str">
        <f>IFERROR(IF((((B21+E21)*10)-(J21+M21))/10=0," ",(((B21+E21)*10)-(J21+M21))/10)," ")</f>
        <v xml:space="preserve"> </v>
      </c>
      <c r="O21" s="40"/>
      <c r="P21" s="41"/>
      <c r="Q21" s="247"/>
    </row>
    <row r="22" spans="1:17" ht="20.100000000000001" customHeight="1">
      <c r="A22" s="213" t="s">
        <v>25</v>
      </c>
      <c r="B22" s="44">
        <v>1.3</v>
      </c>
      <c r="C22" s="45" t="s">
        <v>64</v>
      </c>
      <c r="D22" s="46">
        <v>45931</v>
      </c>
      <c r="E22" s="47"/>
      <c r="F22" s="45"/>
      <c r="G22" s="81"/>
      <c r="H22" s="82"/>
      <c r="I22" s="83"/>
      <c r="J22" s="84">
        <f t="shared" si="0"/>
        <v>0</v>
      </c>
      <c r="K22" s="82"/>
      <c r="L22" s="83">
        <v>13</v>
      </c>
      <c r="M22" s="84">
        <f t="shared" si="1"/>
        <v>13</v>
      </c>
      <c r="N22" s="44" t="str">
        <f>IFERROR(IF((((B22+E22)*10)-(J22+M22))/10=0," ",(((B22+E22)*10)-(J22+M22))/10)," ")</f>
        <v xml:space="preserve"> </v>
      </c>
      <c r="O22" s="44" t="s">
        <v>64</v>
      </c>
      <c r="P22" s="48">
        <v>45931</v>
      </c>
      <c r="Q22" s="247"/>
    </row>
    <row r="23" spans="1:17" ht="20.100000000000001" customHeight="1" thickBot="1">
      <c r="A23" s="214"/>
      <c r="B23" s="49">
        <v>2</v>
      </c>
      <c r="C23" s="50" t="s">
        <v>72</v>
      </c>
      <c r="D23" s="51">
        <v>45901</v>
      </c>
      <c r="E23" s="52"/>
      <c r="F23" s="50"/>
      <c r="G23" s="85"/>
      <c r="H23" s="86"/>
      <c r="I23" s="87"/>
      <c r="J23" s="88">
        <f t="shared" si="0"/>
        <v>0</v>
      </c>
      <c r="K23" s="86"/>
      <c r="L23" s="87">
        <v>20</v>
      </c>
      <c r="M23" s="88">
        <f t="shared" si="1"/>
        <v>20</v>
      </c>
      <c r="N23" s="49" t="str">
        <f>IFERROR(IF((((B23+E23)*10)-(J23+M23))/10=0," ",(((B23+E23)*10)-(J23+M23))/10)," ")</f>
        <v xml:space="preserve"> </v>
      </c>
      <c r="O23" s="49" t="s">
        <v>72</v>
      </c>
      <c r="P23" s="53">
        <v>45901</v>
      </c>
      <c r="Q23" s="247"/>
    </row>
    <row r="24" spans="1:17" ht="15.75" customHeight="1" thickBot="1">
      <c r="A24" s="54" t="s">
        <v>26</v>
      </c>
      <c r="B24" s="89">
        <f>IF(SUM(B19:B23)=0," ",SUM(B19:B23))</f>
        <v>56.95</v>
      </c>
      <c r="C24" s="192"/>
      <c r="D24" s="193"/>
      <c r="E24" s="56">
        <f>IF(SUM(E19:E23)=0," ",SUM(E19:E23))</f>
        <v>40</v>
      </c>
      <c r="F24" s="192"/>
      <c r="G24" s="193"/>
      <c r="H24" s="224">
        <f>IF(SUM(J19:J23)=0," ",SUM(J19:J23))</f>
        <v>316</v>
      </c>
      <c r="I24" s="225"/>
      <c r="J24" s="226"/>
      <c r="K24" s="221">
        <f>IF(SUM(M19:M23)=0," ",SUM(M19:M23))</f>
        <v>92</v>
      </c>
      <c r="L24" s="197"/>
      <c r="M24" s="198"/>
      <c r="N24" s="56">
        <f>IF(SUM(N19:N23)=0," ",SUM(N19:N23))</f>
        <v>56.15</v>
      </c>
      <c r="O24" s="192"/>
      <c r="P24" s="193"/>
      <c r="Q24" s="248"/>
    </row>
    <row r="25" spans="1:17" ht="15" customHeight="1">
      <c r="A25" s="199" t="s">
        <v>28</v>
      </c>
      <c r="B25" s="59">
        <v>1079</v>
      </c>
      <c r="C25" s="60" t="s">
        <v>112</v>
      </c>
      <c r="D25" s="61">
        <v>46661</v>
      </c>
      <c r="E25" s="26">
        <v>2195</v>
      </c>
      <c r="F25" s="24" t="s">
        <v>112</v>
      </c>
      <c r="G25" s="25">
        <v>46661</v>
      </c>
      <c r="H25" s="201">
        <v>1954</v>
      </c>
      <c r="I25" s="202"/>
      <c r="J25" s="203"/>
      <c r="K25" s="201"/>
      <c r="L25" s="202"/>
      <c r="M25" s="203"/>
      <c r="N25" s="26">
        <v>1295</v>
      </c>
      <c r="O25" s="24" t="s">
        <v>112</v>
      </c>
      <c r="P25" s="25">
        <v>46661</v>
      </c>
      <c r="Q25" s="199" t="s">
        <v>128</v>
      </c>
    </row>
    <row r="26" spans="1:17" ht="15" customHeight="1">
      <c r="A26" s="200"/>
      <c r="B26" s="65">
        <v>34</v>
      </c>
      <c r="C26" s="66" t="s">
        <v>80</v>
      </c>
      <c r="D26" s="90">
        <v>46508</v>
      </c>
      <c r="E26" s="34"/>
      <c r="F26" s="32"/>
      <c r="G26" s="33"/>
      <c r="H26" s="207">
        <v>6</v>
      </c>
      <c r="I26" s="208"/>
      <c r="J26" s="209"/>
      <c r="K26" s="207"/>
      <c r="L26" s="208"/>
      <c r="M26" s="209"/>
      <c r="N26" s="34">
        <f t="shared" ref="N26:N32" si="2">IF(((B26+E26)-(H26+K26))=0," ",((B26+E26)-(H26+K26)))</f>
        <v>28</v>
      </c>
      <c r="O26" s="32" t="s">
        <v>80</v>
      </c>
      <c r="P26" s="33">
        <v>46508</v>
      </c>
      <c r="Q26" s="200"/>
    </row>
    <row r="27" spans="1:17" ht="15" customHeight="1">
      <c r="A27" s="200"/>
      <c r="B27" s="72">
        <v>36</v>
      </c>
      <c r="C27" s="73" t="s">
        <v>108</v>
      </c>
      <c r="D27" s="91">
        <v>46508</v>
      </c>
      <c r="E27" s="42"/>
      <c r="F27" s="40"/>
      <c r="G27" s="41"/>
      <c r="H27" s="210">
        <v>6</v>
      </c>
      <c r="I27" s="211"/>
      <c r="J27" s="212"/>
      <c r="K27" s="119"/>
      <c r="L27" s="120"/>
      <c r="M27" s="121"/>
      <c r="N27" s="34">
        <f t="shared" si="2"/>
        <v>30</v>
      </c>
      <c r="O27" s="40" t="s">
        <v>108</v>
      </c>
      <c r="P27" s="41">
        <v>46508</v>
      </c>
      <c r="Q27" s="200"/>
    </row>
    <row r="28" spans="1:17" ht="15" customHeight="1" thickBot="1">
      <c r="A28" s="200"/>
      <c r="B28" s="72"/>
      <c r="C28" s="73"/>
      <c r="D28" s="91"/>
      <c r="E28" s="42"/>
      <c r="F28" s="40"/>
      <c r="G28" s="41"/>
      <c r="H28" s="210"/>
      <c r="I28" s="211"/>
      <c r="J28" s="212"/>
      <c r="K28" s="210"/>
      <c r="L28" s="211"/>
      <c r="M28" s="212"/>
      <c r="N28" s="42" t="str">
        <f t="shared" si="2"/>
        <v xml:space="preserve"> </v>
      </c>
      <c r="O28" s="40"/>
      <c r="P28" s="41"/>
      <c r="Q28" s="200"/>
    </row>
    <row r="29" spans="1:17" ht="20.100000000000001" customHeight="1">
      <c r="A29" s="213" t="s">
        <v>25</v>
      </c>
      <c r="B29" s="128">
        <v>114</v>
      </c>
      <c r="C29" s="117" t="s">
        <v>67</v>
      </c>
      <c r="D29" s="129">
        <v>46447</v>
      </c>
      <c r="E29" s="118"/>
      <c r="F29" s="117"/>
      <c r="G29" s="129"/>
      <c r="H29" s="215"/>
      <c r="I29" s="216"/>
      <c r="J29" s="217"/>
      <c r="K29" s="215"/>
      <c r="L29" s="216"/>
      <c r="M29" s="217"/>
      <c r="N29" s="128">
        <f t="shared" si="2"/>
        <v>114</v>
      </c>
      <c r="O29" s="128" t="s">
        <v>67</v>
      </c>
      <c r="P29" s="130">
        <v>46447</v>
      </c>
      <c r="Q29" s="200"/>
    </row>
    <row r="30" spans="1:17" ht="20.100000000000001" customHeight="1">
      <c r="A30" s="222"/>
      <c r="B30" s="147">
        <v>1</v>
      </c>
      <c r="C30" s="151" t="s">
        <v>62</v>
      </c>
      <c r="D30" s="152">
        <v>46174</v>
      </c>
      <c r="E30" s="153"/>
      <c r="F30" s="151"/>
      <c r="G30" s="152"/>
      <c r="H30" s="154"/>
      <c r="I30" s="151"/>
      <c r="J30" s="153"/>
      <c r="K30" s="154"/>
      <c r="L30" s="151"/>
      <c r="M30" s="153"/>
      <c r="N30" s="147">
        <f t="shared" si="2"/>
        <v>1</v>
      </c>
      <c r="O30" s="147" t="s">
        <v>62</v>
      </c>
      <c r="P30" s="155">
        <v>46174</v>
      </c>
      <c r="Q30" s="200"/>
    </row>
    <row r="31" spans="1:17" ht="20.100000000000001" customHeight="1">
      <c r="A31" s="222"/>
      <c r="B31" s="122">
        <v>75</v>
      </c>
      <c r="C31" s="123" t="s">
        <v>112</v>
      </c>
      <c r="D31" s="124">
        <v>46661</v>
      </c>
      <c r="E31" s="125"/>
      <c r="F31" s="123"/>
      <c r="G31" s="124"/>
      <c r="H31" s="126"/>
      <c r="I31" s="123"/>
      <c r="J31" s="125"/>
      <c r="K31" s="126"/>
      <c r="L31" s="123"/>
      <c r="M31" s="125"/>
      <c r="N31" s="131">
        <f t="shared" si="2"/>
        <v>75</v>
      </c>
      <c r="O31" s="122" t="s">
        <v>112</v>
      </c>
      <c r="P31" s="127">
        <v>46661</v>
      </c>
      <c r="Q31" s="200"/>
    </row>
    <row r="32" spans="1:17" ht="20.100000000000001" customHeight="1" thickBot="1">
      <c r="A32" s="214"/>
      <c r="B32" s="49">
        <v>175</v>
      </c>
      <c r="C32" s="50" t="s">
        <v>108</v>
      </c>
      <c r="D32" s="51">
        <v>46508</v>
      </c>
      <c r="E32" s="52"/>
      <c r="F32" s="50"/>
      <c r="G32" s="51"/>
      <c r="H32" s="218"/>
      <c r="I32" s="219"/>
      <c r="J32" s="220"/>
      <c r="K32" s="218"/>
      <c r="L32" s="219"/>
      <c r="M32" s="220"/>
      <c r="N32" s="49">
        <f t="shared" si="2"/>
        <v>175</v>
      </c>
      <c r="O32" s="49" t="s">
        <v>108</v>
      </c>
      <c r="P32" s="53">
        <v>46508</v>
      </c>
      <c r="Q32" s="200"/>
    </row>
    <row r="33" spans="1:17" ht="15.75" customHeight="1" thickBot="1">
      <c r="A33" s="54" t="s">
        <v>26</v>
      </c>
      <c r="B33" s="89">
        <f>IF(SUM(B25:B32)=0," ",SUM(B25:B32))</f>
        <v>1514</v>
      </c>
      <c r="C33" s="192"/>
      <c r="D33" s="193"/>
      <c r="E33" s="56">
        <f>IF(SUM(E25:E32)=0," ",SUM(E25:E32))</f>
        <v>2195</v>
      </c>
      <c r="F33" s="192"/>
      <c r="G33" s="193"/>
      <c r="H33" s="194">
        <f>IF(SUM(H25:J32)=0," ",SUM(H25:J32))</f>
        <v>1966</v>
      </c>
      <c r="I33" s="195"/>
      <c r="J33" s="196"/>
      <c r="K33" s="197" t="str">
        <f>IF(SUM(K25:M32)=0," ",SUM(K25:M32))</f>
        <v xml:space="preserve"> </v>
      </c>
      <c r="L33" s="197"/>
      <c r="M33" s="198"/>
      <c r="N33" s="56">
        <f>IF(SUM(N25:N32)=0," ",SUM(N25:N32))</f>
        <v>1718</v>
      </c>
      <c r="O33" s="192"/>
      <c r="P33" s="193"/>
      <c r="Q33" s="223"/>
    </row>
    <row r="34" spans="1:17" ht="15" customHeight="1">
      <c r="A34" s="199" t="s">
        <v>29</v>
      </c>
      <c r="B34" s="59">
        <v>9</v>
      </c>
      <c r="C34" s="60" t="s">
        <v>86</v>
      </c>
      <c r="D34" s="61">
        <v>46388</v>
      </c>
      <c r="E34" s="26"/>
      <c r="F34" s="24"/>
      <c r="G34" s="25"/>
      <c r="H34" s="201">
        <v>66</v>
      </c>
      <c r="I34" s="202"/>
      <c r="J34" s="203"/>
      <c r="K34" s="201">
        <v>4</v>
      </c>
      <c r="L34" s="202"/>
      <c r="M34" s="203"/>
      <c r="N34" s="26">
        <f>IF((((B34+E34)*10)-(H34+K34))/10=0," ",(((B34+E34)*10)-(H34+K34))/10)</f>
        <v>2</v>
      </c>
      <c r="O34" s="24" t="s">
        <v>86</v>
      </c>
      <c r="P34" s="25">
        <v>46388</v>
      </c>
      <c r="Q34" s="246" t="s">
        <v>134</v>
      </c>
    </row>
    <row r="35" spans="1:17" ht="15" customHeight="1">
      <c r="A35" s="200"/>
      <c r="B35" s="65"/>
      <c r="C35" s="66" t="s">
        <v>61</v>
      </c>
      <c r="D35" s="90"/>
      <c r="E35" s="34">
        <v>90</v>
      </c>
      <c r="F35" s="32" t="s">
        <v>130</v>
      </c>
      <c r="G35" s="33">
        <v>46419</v>
      </c>
      <c r="H35" s="207">
        <v>280</v>
      </c>
      <c r="I35" s="208"/>
      <c r="J35" s="209"/>
      <c r="K35" s="207"/>
      <c r="L35" s="208"/>
      <c r="M35" s="209"/>
      <c r="N35" s="34">
        <f>IF((((B35+E35)*10)-(H35+K35))/10=0," ",(((B35+E35)*10)-(H35+K35))/10)</f>
        <v>62</v>
      </c>
      <c r="O35" s="32" t="s">
        <v>130</v>
      </c>
      <c r="P35" s="33">
        <v>46419</v>
      </c>
      <c r="Q35" s="247"/>
    </row>
    <row r="36" spans="1:17" ht="15" customHeight="1" thickBot="1">
      <c r="A36" s="200"/>
      <c r="B36" s="72"/>
      <c r="C36" s="73" t="s">
        <v>61</v>
      </c>
      <c r="D36" s="91" t="s">
        <v>61</v>
      </c>
      <c r="E36" s="42"/>
      <c r="F36" s="40"/>
      <c r="G36" s="41"/>
      <c r="H36" s="210"/>
      <c r="I36" s="211"/>
      <c r="J36" s="212"/>
      <c r="K36" s="210"/>
      <c r="L36" s="211"/>
      <c r="M36" s="212"/>
      <c r="N36" s="42" t="str">
        <f>IF((((B36+E36)*10)-(H36+K36))/10=0," ",(((B36+E36)*10)-(H36+K36))/10)</f>
        <v xml:space="preserve"> </v>
      </c>
      <c r="O36" s="40"/>
      <c r="P36" s="41"/>
      <c r="Q36" s="247"/>
    </row>
    <row r="37" spans="1:17" ht="20.100000000000001" customHeight="1">
      <c r="A37" s="213" t="s">
        <v>25</v>
      </c>
      <c r="B37" s="44">
        <v>3.9</v>
      </c>
      <c r="C37" s="45" t="s">
        <v>68</v>
      </c>
      <c r="D37" s="46">
        <v>45870</v>
      </c>
      <c r="E37" s="47"/>
      <c r="F37" s="45"/>
      <c r="G37" s="46"/>
      <c r="H37" s="215"/>
      <c r="I37" s="216"/>
      <c r="J37" s="217"/>
      <c r="K37" s="215">
        <v>39</v>
      </c>
      <c r="L37" s="216"/>
      <c r="M37" s="217"/>
      <c r="N37" s="44" t="str">
        <f>IF((((B37+E37)*10)-(H37+K37))/10=0," ",(((B37+E37)*10)-(H37+K37))/10)</f>
        <v xml:space="preserve"> </v>
      </c>
      <c r="O37" s="44"/>
      <c r="P37" s="48"/>
      <c r="Q37" s="247"/>
    </row>
    <row r="38" spans="1:17" ht="20.100000000000001" customHeight="1" thickBot="1">
      <c r="A38" s="214"/>
      <c r="B38" s="49"/>
      <c r="C38" s="50"/>
      <c r="D38" s="51"/>
      <c r="E38" s="52"/>
      <c r="F38" s="50"/>
      <c r="G38" s="51"/>
      <c r="H38" s="218"/>
      <c r="I38" s="219"/>
      <c r="J38" s="220"/>
      <c r="K38" s="218"/>
      <c r="L38" s="219"/>
      <c r="M38" s="220"/>
      <c r="N38" s="49" t="str">
        <f>IF((((B38+E38)*10)-(H38+K38))/10=0," ",(((B38+E38)*10)-(H38+K38))/10)</f>
        <v xml:space="preserve"> </v>
      </c>
      <c r="O38" s="49"/>
      <c r="P38" s="53"/>
      <c r="Q38" s="247"/>
    </row>
    <row r="39" spans="1:17" ht="15.75" customHeight="1" thickBot="1">
      <c r="A39" s="54" t="s">
        <v>26</v>
      </c>
      <c r="B39" s="89">
        <f>IF(SUM(B34:B38)=0," ",SUM(B34:B38))</f>
        <v>12.9</v>
      </c>
      <c r="C39" s="192"/>
      <c r="D39" s="193"/>
      <c r="E39" s="56">
        <f>IF(SUM(E34:E38)=0," ",SUM(E34:E38))</f>
        <v>90</v>
      </c>
      <c r="F39" s="192"/>
      <c r="G39" s="193"/>
      <c r="H39" s="194">
        <f>IF(SUM(H34:J38)=0," ",SUM(H34:J38))</f>
        <v>346</v>
      </c>
      <c r="I39" s="195"/>
      <c r="J39" s="196"/>
      <c r="K39" s="197">
        <f>IF(SUM(K34:M38)=0," ",SUM(K34:M38))</f>
        <v>43</v>
      </c>
      <c r="L39" s="197"/>
      <c r="M39" s="198"/>
      <c r="N39" s="56">
        <f>IF(SUM(N34:N38)=0," ",SUM(N34:N38))</f>
        <v>64</v>
      </c>
      <c r="O39" s="192"/>
      <c r="P39" s="193"/>
      <c r="Q39" s="248"/>
    </row>
    <row r="40" spans="1:17" ht="15" customHeight="1">
      <c r="A40" s="199" t="s">
        <v>30</v>
      </c>
      <c r="B40" s="42">
        <v>199</v>
      </c>
      <c r="C40" s="40" t="s">
        <v>118</v>
      </c>
      <c r="D40" s="41">
        <v>46113</v>
      </c>
      <c r="E40" s="26">
        <v>1225</v>
      </c>
      <c r="F40" s="24" t="s">
        <v>118</v>
      </c>
      <c r="G40" s="25">
        <v>46113</v>
      </c>
      <c r="H40" s="201">
        <v>774</v>
      </c>
      <c r="I40" s="202"/>
      <c r="J40" s="203"/>
      <c r="K40" s="201"/>
      <c r="L40" s="202"/>
      <c r="M40" s="203"/>
      <c r="N40" s="26">
        <f>IF(((B40+E40)-(H40+K40))=0," ",((B40+E40)-(H40+K40)))</f>
        <v>650</v>
      </c>
      <c r="O40" s="24" t="s">
        <v>118</v>
      </c>
      <c r="P40" s="25">
        <v>46113</v>
      </c>
      <c r="Q40" s="249" t="s">
        <v>132</v>
      </c>
    </row>
    <row r="41" spans="1:17" ht="15" customHeight="1">
      <c r="A41" s="200"/>
      <c r="B41" s="65"/>
      <c r="C41" s="66"/>
      <c r="D41" s="90"/>
      <c r="E41" s="34"/>
      <c r="F41" s="32"/>
      <c r="G41" s="33"/>
      <c r="H41" s="207"/>
      <c r="I41" s="208"/>
      <c r="J41" s="209"/>
      <c r="K41" s="207"/>
      <c r="L41" s="208"/>
      <c r="M41" s="209"/>
      <c r="N41" s="34" t="str">
        <f>IF(((B41+E41)-(H41+K41))=0," ",((B41+E41)-(H41+K41)))</f>
        <v xml:space="preserve"> </v>
      </c>
      <c r="O41" s="32"/>
      <c r="P41" s="33"/>
      <c r="Q41" s="250"/>
    </row>
    <row r="42" spans="1:17" ht="15" customHeight="1" thickBot="1">
      <c r="A42" s="200"/>
      <c r="B42" s="72"/>
      <c r="C42" s="73"/>
      <c r="D42" s="91"/>
      <c r="E42" s="42"/>
      <c r="F42" s="40"/>
      <c r="G42" s="41"/>
      <c r="H42" s="210"/>
      <c r="I42" s="211"/>
      <c r="J42" s="212"/>
      <c r="K42" s="210"/>
      <c r="L42" s="211"/>
      <c r="M42" s="212"/>
      <c r="N42" s="42" t="str">
        <f>IF(((B42+E42)-(H42+K42))=0," ",((B42+E42)-(H42+K42)))</f>
        <v xml:space="preserve"> </v>
      </c>
      <c r="O42" s="40"/>
      <c r="P42" s="41"/>
      <c r="Q42" s="250"/>
    </row>
    <row r="43" spans="1:17" ht="20.100000000000001" customHeight="1">
      <c r="A43" s="213" t="s">
        <v>25</v>
      </c>
      <c r="B43" s="44">
        <v>85</v>
      </c>
      <c r="C43" s="45" t="s">
        <v>69</v>
      </c>
      <c r="D43" s="46">
        <v>45992</v>
      </c>
      <c r="E43" s="47"/>
      <c r="F43" s="45"/>
      <c r="G43" s="46"/>
      <c r="H43" s="215"/>
      <c r="I43" s="216"/>
      <c r="J43" s="217"/>
      <c r="K43" s="215">
        <v>85</v>
      </c>
      <c r="L43" s="216"/>
      <c r="M43" s="217"/>
      <c r="N43" s="44" t="str">
        <f>IF(((B43+E43)-(H43+K43))=0," ",((B43+E43)-(H43+K43)))</f>
        <v xml:space="preserve"> </v>
      </c>
      <c r="O43" s="44"/>
      <c r="P43" s="48"/>
      <c r="Q43" s="250"/>
    </row>
    <row r="44" spans="1:17" ht="20.100000000000001" customHeight="1" thickBot="1">
      <c r="A44" s="214"/>
      <c r="B44" s="49">
        <v>10</v>
      </c>
      <c r="C44" s="50" t="s">
        <v>82</v>
      </c>
      <c r="D44" s="51">
        <v>46054</v>
      </c>
      <c r="E44" s="52"/>
      <c r="F44" s="50"/>
      <c r="G44" s="51"/>
      <c r="H44" s="218"/>
      <c r="I44" s="219"/>
      <c r="J44" s="220"/>
      <c r="K44" s="218">
        <v>10</v>
      </c>
      <c r="L44" s="219"/>
      <c r="M44" s="220"/>
      <c r="N44" s="49" t="str">
        <f>IF(((B44+E44)-(H44+K44))=0," ",((B44+E44)-(H44+K44)))</f>
        <v xml:space="preserve"> </v>
      </c>
      <c r="O44" s="49"/>
      <c r="P44" s="53"/>
      <c r="Q44" s="250"/>
    </row>
    <row r="45" spans="1:17" ht="15.75" customHeight="1" thickBot="1">
      <c r="A45" s="54" t="s">
        <v>26</v>
      </c>
      <c r="B45" s="89">
        <f>IF(SUM(B40:B44)=0," ",SUM(B40:B44))</f>
        <v>294</v>
      </c>
      <c r="C45" s="192"/>
      <c r="D45" s="193"/>
      <c r="E45" s="56">
        <f>IF(SUM(E40:E44)=0," ",SUM(E40:E44))</f>
        <v>1225</v>
      </c>
      <c r="F45" s="192"/>
      <c r="G45" s="193"/>
      <c r="H45" s="194">
        <f>IF(SUM(H40:J44)=0," ",SUM(H40:J44))</f>
        <v>774</v>
      </c>
      <c r="I45" s="195"/>
      <c r="J45" s="196"/>
      <c r="K45" s="197">
        <f>IF(SUM(K40:M44)=0," ",SUM(K40:M44))</f>
        <v>95</v>
      </c>
      <c r="L45" s="197"/>
      <c r="M45" s="198"/>
      <c r="N45" s="56">
        <f>IF(SUM(N40:N44)=0," ",SUM(N40:N44))</f>
        <v>650</v>
      </c>
      <c r="O45" s="192"/>
      <c r="P45" s="193"/>
      <c r="Q45" s="251"/>
    </row>
    <row r="46" spans="1:17" ht="16.5" customHeight="1">
      <c r="A46" s="199" t="s">
        <v>31</v>
      </c>
      <c r="B46" s="59">
        <v>10</v>
      </c>
      <c r="C46" s="60" t="s">
        <v>63</v>
      </c>
      <c r="D46" s="61">
        <v>46204</v>
      </c>
      <c r="E46" s="26"/>
      <c r="F46" s="24"/>
      <c r="G46" s="25"/>
      <c r="H46" s="201">
        <v>4</v>
      </c>
      <c r="I46" s="202"/>
      <c r="J46" s="203"/>
      <c r="K46" s="201"/>
      <c r="L46" s="202"/>
      <c r="M46" s="203"/>
      <c r="N46" s="26">
        <f t="shared" ref="N46:N52" si="3">IF(((B46+E46)-(H46+K46))=0," ",((B46+E46)-(H46+K46)))</f>
        <v>6</v>
      </c>
      <c r="O46" s="60" t="s">
        <v>63</v>
      </c>
      <c r="P46" s="61">
        <v>46204</v>
      </c>
      <c r="Q46" s="199" t="s">
        <v>103</v>
      </c>
    </row>
    <row r="47" spans="1:17" ht="16.5" customHeight="1">
      <c r="A47" s="200"/>
      <c r="B47" s="92">
        <v>126</v>
      </c>
      <c r="C47" s="93" t="s">
        <v>71</v>
      </c>
      <c r="D47" s="94">
        <v>46235</v>
      </c>
      <c r="E47" s="95"/>
      <c r="F47" s="96"/>
      <c r="G47" s="97"/>
      <c r="H47" s="210">
        <v>63</v>
      </c>
      <c r="I47" s="211"/>
      <c r="J47" s="212"/>
      <c r="K47" s="210"/>
      <c r="L47" s="211"/>
      <c r="M47" s="212"/>
      <c r="N47" s="95">
        <f t="shared" si="3"/>
        <v>63</v>
      </c>
      <c r="O47" s="93" t="s">
        <v>71</v>
      </c>
      <c r="P47" s="94">
        <v>46235</v>
      </c>
      <c r="Q47" s="200"/>
    </row>
    <row r="48" spans="1:17" ht="16.5" customHeight="1">
      <c r="A48" s="200"/>
      <c r="B48" s="92">
        <v>3331</v>
      </c>
      <c r="C48" s="93" t="s">
        <v>113</v>
      </c>
      <c r="D48" s="94">
        <v>46388</v>
      </c>
      <c r="E48" s="95"/>
      <c r="F48" s="96"/>
      <c r="G48" s="97"/>
      <c r="H48" s="210">
        <v>1809</v>
      </c>
      <c r="I48" s="211"/>
      <c r="J48" s="212"/>
      <c r="K48" s="119"/>
      <c r="L48" s="120"/>
      <c r="M48" s="121"/>
      <c r="N48" s="95">
        <f t="shared" si="3"/>
        <v>1522</v>
      </c>
      <c r="O48" s="93" t="s">
        <v>113</v>
      </c>
      <c r="P48" s="94">
        <v>46388</v>
      </c>
      <c r="Q48" s="200"/>
    </row>
    <row r="49" spans="1:17" ht="16.5" customHeight="1">
      <c r="A49" s="200"/>
      <c r="B49" s="92"/>
      <c r="C49" s="93"/>
      <c r="D49" s="94"/>
      <c r="E49" s="95">
        <v>1800</v>
      </c>
      <c r="F49" s="96" t="s">
        <v>129</v>
      </c>
      <c r="G49" s="97">
        <v>46327</v>
      </c>
      <c r="H49" s="207">
        <v>236</v>
      </c>
      <c r="I49" s="208"/>
      <c r="J49" s="209"/>
      <c r="K49" s="207"/>
      <c r="L49" s="208"/>
      <c r="M49" s="209"/>
      <c r="N49" s="95">
        <f t="shared" si="3"/>
        <v>1564</v>
      </c>
      <c r="O49" s="93" t="s">
        <v>129</v>
      </c>
      <c r="P49" s="94">
        <v>46327</v>
      </c>
      <c r="Q49" s="200"/>
    </row>
    <row r="50" spans="1:17" ht="16.5" customHeight="1" thickBot="1">
      <c r="A50" s="200"/>
      <c r="B50" s="92"/>
      <c r="C50" s="93"/>
      <c r="D50" s="94"/>
      <c r="E50" s="95"/>
      <c r="F50" s="96"/>
      <c r="G50" s="97"/>
      <c r="H50" s="210"/>
      <c r="I50" s="211"/>
      <c r="J50" s="212"/>
      <c r="K50" s="210"/>
      <c r="L50" s="211"/>
      <c r="M50" s="212"/>
      <c r="N50" s="95" t="str">
        <f t="shared" si="3"/>
        <v xml:space="preserve"> </v>
      </c>
      <c r="O50" s="93"/>
      <c r="P50" s="94"/>
      <c r="Q50" s="200"/>
    </row>
    <row r="51" spans="1:17" ht="20.100000000000001" customHeight="1">
      <c r="A51" s="213" t="s">
        <v>25</v>
      </c>
      <c r="B51" s="44">
        <v>28</v>
      </c>
      <c r="C51" s="45" t="s">
        <v>63</v>
      </c>
      <c r="D51" s="46">
        <v>46204</v>
      </c>
      <c r="E51" s="47"/>
      <c r="F51" s="45"/>
      <c r="G51" s="46"/>
      <c r="H51" s="215"/>
      <c r="I51" s="216"/>
      <c r="J51" s="217"/>
      <c r="K51" s="215"/>
      <c r="L51" s="216"/>
      <c r="M51" s="217"/>
      <c r="N51" s="44">
        <f t="shared" si="3"/>
        <v>28</v>
      </c>
      <c r="O51" s="44" t="s">
        <v>63</v>
      </c>
      <c r="P51" s="48">
        <v>46204</v>
      </c>
      <c r="Q51" s="200"/>
    </row>
    <row r="52" spans="1:17" ht="20.100000000000001" customHeight="1" thickBot="1">
      <c r="A52" s="214"/>
      <c r="B52" s="49">
        <v>92</v>
      </c>
      <c r="C52" s="50" t="s">
        <v>71</v>
      </c>
      <c r="D52" s="51">
        <v>46235</v>
      </c>
      <c r="E52" s="52"/>
      <c r="F52" s="50"/>
      <c r="G52" s="51"/>
      <c r="H52" s="218"/>
      <c r="I52" s="219"/>
      <c r="J52" s="220"/>
      <c r="K52" s="218"/>
      <c r="L52" s="219"/>
      <c r="M52" s="220"/>
      <c r="N52" s="49">
        <f t="shared" si="3"/>
        <v>92</v>
      </c>
      <c r="O52" s="49" t="s">
        <v>71</v>
      </c>
      <c r="P52" s="53">
        <v>46235</v>
      </c>
      <c r="Q52" s="200"/>
    </row>
    <row r="53" spans="1:17" ht="15.75" customHeight="1" thickBot="1">
      <c r="A53" s="54" t="s">
        <v>26</v>
      </c>
      <c r="B53" s="89">
        <f>IF(SUM(B46:B52)=0," ",SUM(B46:B52))</f>
        <v>3587</v>
      </c>
      <c r="C53" s="192"/>
      <c r="D53" s="193"/>
      <c r="E53" s="56">
        <f>IF(SUM(E46:E52)=0," ",SUM(E46:E52))</f>
        <v>1800</v>
      </c>
      <c r="F53" s="192"/>
      <c r="G53" s="193"/>
      <c r="H53" s="194">
        <f>IF(SUM(H46:J52)=0," ",SUM(H46:J52))</f>
        <v>2112</v>
      </c>
      <c r="I53" s="195"/>
      <c r="J53" s="196"/>
      <c r="K53" s="197" t="str">
        <f>IF(SUM(K46:M52)=0," ",SUM(K46:M52))</f>
        <v xml:space="preserve"> </v>
      </c>
      <c r="L53" s="197"/>
      <c r="M53" s="198"/>
      <c r="N53" s="56">
        <f>IF(SUM(N46:N52)=0," ",SUM(N46:N52))</f>
        <v>3275</v>
      </c>
      <c r="O53" s="192"/>
      <c r="P53" s="193"/>
      <c r="Q53" s="223"/>
    </row>
    <row r="54" spans="1:17" ht="18" customHeight="1">
      <c r="A54" s="199" t="s">
        <v>32</v>
      </c>
      <c r="B54" s="59"/>
      <c r="C54" s="24"/>
      <c r="D54" s="25"/>
      <c r="E54" s="26"/>
      <c r="F54" s="24"/>
      <c r="G54" s="25"/>
      <c r="H54" s="201"/>
      <c r="I54" s="202"/>
      <c r="J54" s="203"/>
      <c r="K54" s="201"/>
      <c r="L54" s="202"/>
      <c r="M54" s="203"/>
      <c r="N54" s="26" t="str">
        <f>IF(((B54+E54)-(H54+K54))=0," ",((B54+E54)-(H54+K54)))</f>
        <v xml:space="preserve"> </v>
      </c>
      <c r="O54" s="24"/>
      <c r="P54" s="25"/>
      <c r="Q54" s="204"/>
    </row>
    <row r="55" spans="1:17" ht="18" customHeight="1">
      <c r="A55" s="200"/>
      <c r="B55" s="92"/>
      <c r="C55" s="93"/>
      <c r="D55" s="94"/>
      <c r="E55" s="95"/>
      <c r="F55" s="96"/>
      <c r="G55" s="97"/>
      <c r="H55" s="207"/>
      <c r="I55" s="208"/>
      <c r="J55" s="209"/>
      <c r="K55" s="207"/>
      <c r="L55" s="208"/>
      <c r="M55" s="209"/>
      <c r="N55" s="95" t="str">
        <f>IF(((B55+E55)-(H55+K55))=0," ",((B55+E55)-(H55+K55)))</f>
        <v xml:space="preserve"> </v>
      </c>
      <c r="O55" s="96"/>
      <c r="P55" s="97"/>
      <c r="Q55" s="205"/>
    </row>
    <row r="56" spans="1:17" ht="18" customHeight="1" thickBot="1">
      <c r="A56" s="200"/>
      <c r="B56" s="92"/>
      <c r="C56" s="93"/>
      <c r="D56" s="94"/>
      <c r="E56" s="95"/>
      <c r="F56" s="96"/>
      <c r="G56" s="97"/>
      <c r="H56" s="210"/>
      <c r="I56" s="211"/>
      <c r="J56" s="212"/>
      <c r="K56" s="210"/>
      <c r="L56" s="211"/>
      <c r="M56" s="212"/>
      <c r="N56" s="95" t="str">
        <f>IF(((B56+E56)-(H56+K56))=0," ",((B56+E56)-(H56+K56)))</f>
        <v xml:space="preserve"> </v>
      </c>
      <c r="O56" s="96"/>
      <c r="P56" s="97"/>
      <c r="Q56" s="205"/>
    </row>
    <row r="57" spans="1:17" ht="20.100000000000001" customHeight="1">
      <c r="A57" s="213" t="s">
        <v>25</v>
      </c>
      <c r="B57" s="44"/>
      <c r="C57" s="45"/>
      <c r="D57" s="46"/>
      <c r="E57" s="47"/>
      <c r="F57" s="45"/>
      <c r="G57" s="46"/>
      <c r="H57" s="215"/>
      <c r="I57" s="216"/>
      <c r="J57" s="217"/>
      <c r="K57" s="215"/>
      <c r="L57" s="216"/>
      <c r="M57" s="217"/>
      <c r="N57" s="44" t="str">
        <f>IF(((B57+E57)-(H57+K57))=0," ",((B57+E57)-(H57+K57)))</f>
        <v xml:space="preserve"> </v>
      </c>
      <c r="O57" s="44"/>
      <c r="P57" s="48"/>
      <c r="Q57" s="205"/>
    </row>
    <row r="58" spans="1:17" ht="20.100000000000001" customHeight="1" thickBot="1">
      <c r="A58" s="214"/>
      <c r="B58" s="49"/>
      <c r="C58" s="50"/>
      <c r="D58" s="51"/>
      <c r="E58" s="52"/>
      <c r="F58" s="50"/>
      <c r="G58" s="51"/>
      <c r="H58" s="218"/>
      <c r="I58" s="219"/>
      <c r="J58" s="220"/>
      <c r="K58" s="218"/>
      <c r="L58" s="219"/>
      <c r="M58" s="220"/>
      <c r="N58" s="49" t="str">
        <f>IF(((B58+E58)-(H58+K58))=0," ",((B58+E58)-(H58+K58)))</f>
        <v xml:space="preserve"> </v>
      </c>
      <c r="O58" s="49"/>
      <c r="P58" s="53"/>
      <c r="Q58" s="205"/>
    </row>
    <row r="59" spans="1:17" ht="15.75" customHeight="1" thickBot="1">
      <c r="A59" s="54" t="s">
        <v>26</v>
      </c>
      <c r="B59" s="89"/>
      <c r="C59" s="192"/>
      <c r="D59" s="193"/>
      <c r="E59" s="56"/>
      <c r="F59" s="192"/>
      <c r="G59" s="193"/>
      <c r="H59" s="194" t="str">
        <f>IF(SUM(H54:J58)=0," ",SUM(H54:J58))</f>
        <v xml:space="preserve"> </v>
      </c>
      <c r="I59" s="195"/>
      <c r="J59" s="196"/>
      <c r="K59" s="197" t="str">
        <f>IF(SUM(K54:M58)=0," ",SUM(K54:M58))</f>
        <v xml:space="preserve"> </v>
      </c>
      <c r="L59" s="197"/>
      <c r="M59" s="198"/>
      <c r="N59" s="56" t="str">
        <f>IF(SUM(N54:N58)=0," ",SUM(N54:N58))</f>
        <v xml:space="preserve"> </v>
      </c>
      <c r="O59" s="192"/>
      <c r="P59" s="193"/>
      <c r="Q59" s="206"/>
    </row>
    <row r="60" spans="1:17" ht="18" customHeight="1">
      <c r="A60" s="199" t="s">
        <v>35</v>
      </c>
      <c r="B60" s="59">
        <v>14501</v>
      </c>
      <c r="C60" s="59" t="s">
        <v>83</v>
      </c>
      <c r="D60" s="61">
        <v>46113</v>
      </c>
      <c r="E60" s="26"/>
      <c r="F60" s="24"/>
      <c r="G60" s="25"/>
      <c r="H60" s="201">
        <v>4943</v>
      </c>
      <c r="I60" s="202"/>
      <c r="J60" s="203"/>
      <c r="K60" s="201"/>
      <c r="L60" s="202"/>
      <c r="M60" s="203"/>
      <c r="N60" s="26">
        <f>IF(((B60+E60)-(H60+K60))=0," ",((B60+E60)-(H60+K60)))</f>
        <v>9558</v>
      </c>
      <c r="O60" s="24" t="s">
        <v>83</v>
      </c>
      <c r="P60" s="25">
        <v>46113</v>
      </c>
      <c r="Q60" s="246" t="s">
        <v>135</v>
      </c>
    </row>
    <row r="61" spans="1:17" ht="18" customHeight="1">
      <c r="A61" s="200"/>
      <c r="B61" s="65">
        <v>44</v>
      </c>
      <c r="C61" s="65" t="s">
        <v>94</v>
      </c>
      <c r="D61" s="90">
        <v>46113</v>
      </c>
      <c r="E61" s="34"/>
      <c r="F61" s="32"/>
      <c r="G61" s="33"/>
      <c r="H61" s="207">
        <v>19</v>
      </c>
      <c r="I61" s="208"/>
      <c r="J61" s="209"/>
      <c r="K61" s="207"/>
      <c r="L61" s="208"/>
      <c r="M61" s="209"/>
      <c r="N61" s="34">
        <f>IF(((B61+E61)-(H61+K61))=0," ",((B61+E61)-(H61+K61)))</f>
        <v>25</v>
      </c>
      <c r="O61" s="32" t="s">
        <v>94</v>
      </c>
      <c r="P61" s="33">
        <v>46113</v>
      </c>
      <c r="Q61" s="247"/>
    </row>
    <row r="62" spans="1:17" ht="18" customHeight="1">
      <c r="A62" s="200"/>
      <c r="B62" s="72">
        <v>535</v>
      </c>
      <c r="C62" s="72" t="s">
        <v>114</v>
      </c>
      <c r="D62" s="91">
        <v>46113</v>
      </c>
      <c r="E62" s="42"/>
      <c r="F62" s="40"/>
      <c r="G62" s="41"/>
      <c r="H62" s="210">
        <v>133</v>
      </c>
      <c r="I62" s="211"/>
      <c r="J62" s="212"/>
      <c r="K62" s="148"/>
      <c r="L62" s="149"/>
      <c r="M62" s="150"/>
      <c r="N62" s="34">
        <f t="shared" ref="N62:N63" si="4">IF(((B62+E62)-(H62+K62))=0," ",((B62+E62)-(H62+K62)))</f>
        <v>402</v>
      </c>
      <c r="O62" s="40" t="s">
        <v>114</v>
      </c>
      <c r="P62" s="41">
        <v>46113</v>
      </c>
      <c r="Q62" s="247"/>
    </row>
    <row r="63" spans="1:17" ht="18" customHeight="1" thickBot="1">
      <c r="A63" s="200"/>
      <c r="B63" s="72"/>
      <c r="C63" s="72"/>
      <c r="D63" s="91"/>
      <c r="E63" s="42">
        <v>8940</v>
      </c>
      <c r="F63" s="40" t="s">
        <v>131</v>
      </c>
      <c r="G63" s="41">
        <v>46539</v>
      </c>
      <c r="H63" s="242">
        <v>194</v>
      </c>
      <c r="I63" s="243"/>
      <c r="J63" s="244"/>
      <c r="K63" s="242"/>
      <c r="L63" s="243"/>
      <c r="M63" s="244"/>
      <c r="N63" s="34">
        <f t="shared" si="4"/>
        <v>8746</v>
      </c>
      <c r="O63" s="40" t="s">
        <v>131</v>
      </c>
      <c r="P63" s="41">
        <v>46539</v>
      </c>
      <c r="Q63" s="247"/>
    </row>
    <row r="64" spans="1:17" ht="20.100000000000001" customHeight="1">
      <c r="A64" s="213" t="s">
        <v>25</v>
      </c>
      <c r="B64" s="44">
        <v>574</v>
      </c>
      <c r="C64" s="47" t="s">
        <v>57</v>
      </c>
      <c r="D64" s="48">
        <v>44713</v>
      </c>
      <c r="E64" s="47"/>
      <c r="F64" s="45"/>
      <c r="G64" s="46"/>
      <c r="H64" s="215"/>
      <c r="I64" s="216"/>
      <c r="J64" s="217"/>
      <c r="K64" s="215"/>
      <c r="L64" s="216"/>
      <c r="M64" s="217"/>
      <c r="N64" s="44">
        <f>IF(((B64+E64)-(H64+K64))=0," ",((B64+E64)-(H64+K64)))</f>
        <v>574</v>
      </c>
      <c r="O64" s="44" t="s">
        <v>57</v>
      </c>
      <c r="P64" s="48">
        <v>44713</v>
      </c>
      <c r="Q64" s="247"/>
    </row>
    <row r="65" spans="1:17" ht="20.100000000000001" customHeight="1" thickBot="1">
      <c r="A65" s="214"/>
      <c r="B65" s="49">
        <v>87</v>
      </c>
      <c r="C65" s="52" t="s">
        <v>74</v>
      </c>
      <c r="D65" s="53">
        <v>46082</v>
      </c>
      <c r="E65" s="52"/>
      <c r="F65" s="50"/>
      <c r="G65" s="51"/>
      <c r="H65" s="218"/>
      <c r="I65" s="219"/>
      <c r="J65" s="220"/>
      <c r="K65" s="218">
        <v>87</v>
      </c>
      <c r="L65" s="219"/>
      <c r="M65" s="220"/>
      <c r="N65" s="49" t="str">
        <f>IF(((B65+E65)-(H65+K65))=0," ",((B65+E65)-(H65+K65)))</f>
        <v xml:space="preserve"> </v>
      </c>
      <c r="O65" s="49"/>
      <c r="P65" s="53"/>
      <c r="Q65" s="247"/>
    </row>
    <row r="66" spans="1:17" ht="15.75" customHeight="1" thickBot="1">
      <c r="A66" s="54" t="s">
        <v>26</v>
      </c>
      <c r="B66" s="89">
        <f>IF(SUM(B60:B65)=0," ",SUM(B60:B65))</f>
        <v>15741</v>
      </c>
      <c r="C66" s="192"/>
      <c r="D66" s="193"/>
      <c r="E66" s="56">
        <f>IF(SUM(E60:E65)=0," ",SUM(E60:E65))</f>
        <v>8940</v>
      </c>
      <c r="F66" s="192"/>
      <c r="G66" s="193"/>
      <c r="H66" s="194">
        <f>IF(SUM(H60:J65)=0," ",SUM(H60:J65))</f>
        <v>5289</v>
      </c>
      <c r="I66" s="195"/>
      <c r="J66" s="196"/>
      <c r="K66" s="197">
        <f>IF(SUM(K60:M65)=0," ",SUM(K60:M65))</f>
        <v>87</v>
      </c>
      <c r="L66" s="197"/>
      <c r="M66" s="198"/>
      <c r="N66" s="56">
        <f>IF(SUM(N60:N65)=0," ",SUM(N60:N65))</f>
        <v>19305</v>
      </c>
      <c r="O66" s="192"/>
      <c r="P66" s="193"/>
      <c r="Q66" s="248"/>
    </row>
    <row r="67" spans="1:17">
      <c r="A67" s="167" t="s">
        <v>33</v>
      </c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</row>
    <row r="68" spans="1:17">
      <c r="A68" s="167" t="s">
        <v>1</v>
      </c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</row>
    <row r="69" spans="1:17">
      <c r="A69" s="167" t="s">
        <v>2</v>
      </c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</row>
    <row r="70" spans="1:17">
      <c r="A70" s="167" t="s">
        <v>3</v>
      </c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</row>
    <row r="71" spans="1:17" ht="15" customHeight="1">
      <c r="A71" s="3" t="s">
        <v>4</v>
      </c>
      <c r="B71" s="13"/>
      <c r="C71" s="13"/>
      <c r="D71" s="13"/>
      <c r="E71" s="13"/>
      <c r="H71" s="5"/>
      <c r="I71" s="5"/>
      <c r="J71" s="5"/>
      <c r="K71" s="5"/>
      <c r="L71" s="168" t="s">
        <v>5</v>
      </c>
      <c r="M71" s="168"/>
      <c r="N71" s="168"/>
      <c r="O71" s="169" t="str">
        <f>IF(O5=0," ",O5)</f>
        <v>MARZO</v>
      </c>
      <c r="P71" s="169"/>
      <c r="Q71" s="8"/>
    </row>
    <row r="72" spans="1:17">
      <c r="A72" s="187" t="s">
        <v>6</v>
      </c>
      <c r="B72" s="187"/>
      <c r="C72" s="187"/>
      <c r="D72" s="187"/>
      <c r="E72" s="187"/>
      <c r="N72" s="9"/>
      <c r="O72" s="9"/>
      <c r="P72" s="9"/>
      <c r="Q72" s="8"/>
    </row>
    <row r="73" spans="1:17">
      <c r="A73" s="7" t="s">
        <v>7</v>
      </c>
      <c r="B73" s="6" t="s">
        <v>8</v>
      </c>
      <c r="C73" s="10">
        <f>IF(C7=0," ",C7)</f>
        <v>31</v>
      </c>
      <c r="D73" s="6"/>
      <c r="E73" s="6" t="s">
        <v>9</v>
      </c>
      <c r="F73" s="11" t="str">
        <f>O71</f>
        <v>MARZO</v>
      </c>
      <c r="G73" s="1"/>
      <c r="H73" s="8" t="s">
        <v>10</v>
      </c>
      <c r="I73" s="169">
        <f>IF(I7=0," ",I7)</f>
        <v>2026</v>
      </c>
      <c r="J73" s="169"/>
      <c r="K73" s="12"/>
      <c r="L73" s="12"/>
      <c r="M73" s="168" t="s">
        <v>11</v>
      </c>
      <c r="N73" s="168"/>
      <c r="O73" s="169" t="str">
        <f>IF(O7=0," ",O7)</f>
        <v>QUERÉTARO</v>
      </c>
      <c r="P73" s="169"/>
    </row>
    <row r="74" spans="1:17">
      <c r="A74" s="188" t="s">
        <v>34</v>
      </c>
      <c r="B74" s="188"/>
      <c r="C74" s="188"/>
      <c r="D74" s="189" t="str">
        <f>IF(D8=0," ",D8)</f>
        <v>MAIS. ANA MARÍA RAMÍREZ MUNGUÍA</v>
      </c>
      <c r="E74" s="189"/>
      <c r="F74" s="189"/>
      <c r="G74" s="189"/>
      <c r="H74" s="189"/>
      <c r="I74" s="189"/>
      <c r="J74" s="189"/>
      <c r="K74" s="189"/>
      <c r="L74" s="189"/>
    </row>
    <row r="75" spans="1:17" ht="15" thickBot="1">
      <c r="A75" s="8" t="s">
        <v>13</v>
      </c>
      <c r="B75" s="13"/>
      <c r="C75" s="13"/>
      <c r="D75" s="13"/>
      <c r="E75" s="13"/>
    </row>
    <row r="76" spans="1:17" ht="22.5" customHeight="1" thickBot="1">
      <c r="A76" s="170" t="s">
        <v>14</v>
      </c>
      <c r="B76" s="171" t="s">
        <v>15</v>
      </c>
      <c r="C76" s="172"/>
      <c r="D76" s="172"/>
      <c r="E76" s="171" t="s">
        <v>16</v>
      </c>
      <c r="F76" s="175"/>
      <c r="G76" s="176"/>
      <c r="H76" s="180" t="s">
        <v>17</v>
      </c>
      <c r="I76" s="175"/>
      <c r="J76" s="176"/>
      <c r="K76" s="171" t="s">
        <v>18</v>
      </c>
      <c r="L76" s="175"/>
      <c r="M76" s="176"/>
      <c r="N76" s="171" t="s">
        <v>19</v>
      </c>
      <c r="O76" s="175"/>
      <c r="P76" s="176"/>
      <c r="Q76" s="190" t="s">
        <v>20</v>
      </c>
    </row>
    <row r="77" spans="1:17" ht="22.5" customHeight="1" thickBot="1">
      <c r="A77" s="170"/>
      <c r="B77" s="173"/>
      <c r="C77" s="174"/>
      <c r="D77" s="174"/>
      <c r="E77" s="177"/>
      <c r="F77" s="178"/>
      <c r="G77" s="179"/>
      <c r="H77" s="181"/>
      <c r="I77" s="182"/>
      <c r="J77" s="183"/>
      <c r="K77" s="181"/>
      <c r="L77" s="182"/>
      <c r="M77" s="183"/>
      <c r="N77" s="177"/>
      <c r="O77" s="178"/>
      <c r="P77" s="179"/>
      <c r="Q77" s="191"/>
    </row>
    <row r="78" spans="1:17" ht="18" customHeight="1" thickBot="1">
      <c r="A78" s="170"/>
      <c r="B78" s="98" t="s">
        <v>21</v>
      </c>
      <c r="C78" s="99" t="s">
        <v>22</v>
      </c>
      <c r="D78" s="100" t="s">
        <v>23</v>
      </c>
      <c r="E78" s="101" t="s">
        <v>21</v>
      </c>
      <c r="F78" s="102" t="s">
        <v>22</v>
      </c>
      <c r="G78" s="103" t="s">
        <v>23</v>
      </c>
      <c r="H78" s="184"/>
      <c r="I78" s="185"/>
      <c r="J78" s="186"/>
      <c r="K78" s="184"/>
      <c r="L78" s="185"/>
      <c r="M78" s="186"/>
      <c r="N78" s="101" t="s">
        <v>21</v>
      </c>
      <c r="O78" s="102" t="s">
        <v>22</v>
      </c>
      <c r="P78" s="103" t="s">
        <v>23</v>
      </c>
      <c r="Q78" s="191"/>
    </row>
    <row r="79" spans="1:17" ht="18.95" customHeight="1">
      <c r="A79" s="199" t="s">
        <v>36</v>
      </c>
      <c r="B79" s="156">
        <v>5</v>
      </c>
      <c r="C79" s="59" t="s">
        <v>89</v>
      </c>
      <c r="D79" s="61">
        <v>46174</v>
      </c>
      <c r="E79" s="26"/>
      <c r="F79" s="24"/>
      <c r="G79" s="104"/>
      <c r="H79" s="236">
        <v>50</v>
      </c>
      <c r="I79" s="237"/>
      <c r="J79" s="238"/>
      <c r="K79" s="236"/>
      <c r="L79" s="237"/>
      <c r="M79" s="238"/>
      <c r="N79" s="23" t="str">
        <f t="shared" ref="N79:N86" si="5">IF((((B79+E79)*10)-(H79+K79))/10=0," ",(((B79+E79)*10)-(H79+K79))/10)</f>
        <v xml:space="preserve"> </v>
      </c>
      <c r="O79" s="24"/>
      <c r="P79" s="25"/>
      <c r="Q79" s="239"/>
    </row>
    <row r="80" spans="1:17" ht="18.95" customHeight="1">
      <c r="A80" s="200"/>
      <c r="B80" s="92">
        <v>30.1</v>
      </c>
      <c r="C80" s="92" t="s">
        <v>96</v>
      </c>
      <c r="D80" s="94">
        <v>46204</v>
      </c>
      <c r="E80" s="95"/>
      <c r="F80" s="96"/>
      <c r="G80" s="105"/>
      <c r="H80" s="210">
        <v>133</v>
      </c>
      <c r="I80" s="211"/>
      <c r="J80" s="212"/>
      <c r="K80" s="210"/>
      <c r="L80" s="211"/>
      <c r="M80" s="212"/>
      <c r="N80" s="106">
        <f t="shared" si="5"/>
        <v>16.8</v>
      </c>
      <c r="O80" s="96" t="s">
        <v>96</v>
      </c>
      <c r="P80" s="97">
        <v>46204</v>
      </c>
      <c r="Q80" s="240"/>
    </row>
    <row r="81" spans="1:17" ht="18.95" customHeight="1">
      <c r="A81" s="200"/>
      <c r="B81" s="65">
        <v>151.30000000000001</v>
      </c>
      <c r="C81" s="65" t="s">
        <v>97</v>
      </c>
      <c r="D81" s="90">
        <v>46204</v>
      </c>
      <c r="E81" s="34"/>
      <c r="F81" s="32"/>
      <c r="G81" s="133"/>
      <c r="H81" s="210">
        <v>424</v>
      </c>
      <c r="I81" s="211"/>
      <c r="J81" s="212"/>
      <c r="K81" s="119"/>
      <c r="L81" s="120"/>
      <c r="M81" s="121"/>
      <c r="N81" s="106">
        <f t="shared" si="5"/>
        <v>108.9</v>
      </c>
      <c r="O81" s="32" t="s">
        <v>97</v>
      </c>
      <c r="P81" s="33">
        <v>46204</v>
      </c>
      <c r="Q81" s="240"/>
    </row>
    <row r="82" spans="1:17" ht="18.95" customHeight="1">
      <c r="A82" s="200"/>
      <c r="B82" s="65">
        <v>615</v>
      </c>
      <c r="C82" s="65" t="s">
        <v>110</v>
      </c>
      <c r="D82" s="90">
        <v>46266</v>
      </c>
      <c r="E82" s="34"/>
      <c r="F82" s="32"/>
      <c r="G82" s="133"/>
      <c r="H82" s="210">
        <v>2438</v>
      </c>
      <c r="I82" s="211"/>
      <c r="J82" s="212"/>
      <c r="K82" s="119"/>
      <c r="L82" s="120"/>
      <c r="M82" s="121"/>
      <c r="N82" s="106">
        <f t="shared" si="5"/>
        <v>371.2</v>
      </c>
      <c r="O82" s="32" t="s">
        <v>110</v>
      </c>
      <c r="P82" s="33">
        <v>46266</v>
      </c>
      <c r="Q82" s="240"/>
    </row>
    <row r="83" spans="1:17" ht="18.95" customHeight="1">
      <c r="A83" s="200"/>
      <c r="B83" s="65">
        <v>688</v>
      </c>
      <c r="C83" s="65" t="s">
        <v>111</v>
      </c>
      <c r="D83" s="90">
        <v>46235</v>
      </c>
      <c r="E83" s="34"/>
      <c r="F83" s="32"/>
      <c r="G83" s="133"/>
      <c r="H83" s="210"/>
      <c r="I83" s="211"/>
      <c r="J83" s="212"/>
      <c r="K83" s="119"/>
      <c r="L83" s="120"/>
      <c r="M83" s="121"/>
      <c r="N83" s="106">
        <f t="shared" si="5"/>
        <v>688</v>
      </c>
      <c r="O83" s="32" t="s">
        <v>111</v>
      </c>
      <c r="P83" s="33">
        <v>46235</v>
      </c>
      <c r="Q83" s="240"/>
    </row>
    <row r="84" spans="1:17" ht="18.95" customHeight="1" thickBot="1">
      <c r="A84" s="200"/>
      <c r="B84" s="157">
        <v>25</v>
      </c>
      <c r="C84" s="107" t="s">
        <v>125</v>
      </c>
      <c r="D84" s="132">
        <v>46539</v>
      </c>
      <c r="E84" s="108"/>
      <c r="F84" s="109"/>
      <c r="G84" s="110"/>
      <c r="H84" s="184">
        <v>250</v>
      </c>
      <c r="I84" s="185"/>
      <c r="J84" s="186"/>
      <c r="K84" s="184"/>
      <c r="L84" s="185"/>
      <c r="M84" s="186"/>
      <c r="N84" s="111" t="str">
        <f t="shared" si="5"/>
        <v xml:space="preserve"> </v>
      </c>
      <c r="O84" s="109"/>
      <c r="P84" s="112"/>
      <c r="Q84" s="240"/>
    </row>
    <row r="85" spans="1:17" ht="20.100000000000001" customHeight="1">
      <c r="A85" s="213" t="s">
        <v>25</v>
      </c>
      <c r="B85" s="44"/>
      <c r="C85" s="47"/>
      <c r="D85" s="48"/>
      <c r="E85" s="47"/>
      <c r="F85" s="45"/>
      <c r="G85" s="81"/>
      <c r="H85" s="215"/>
      <c r="I85" s="216"/>
      <c r="J85" s="217"/>
      <c r="K85" s="215"/>
      <c r="L85" s="216"/>
      <c r="M85" s="217"/>
      <c r="N85" s="47" t="str">
        <f t="shared" si="5"/>
        <v xml:space="preserve"> </v>
      </c>
      <c r="O85" s="44"/>
      <c r="P85" s="48"/>
      <c r="Q85" s="240"/>
    </row>
    <row r="86" spans="1:17" ht="20.100000000000001" customHeight="1" thickBot="1">
      <c r="A86" s="214"/>
      <c r="B86" s="49"/>
      <c r="C86" s="52"/>
      <c r="D86" s="52"/>
      <c r="E86" s="52"/>
      <c r="F86" s="50"/>
      <c r="G86" s="85"/>
      <c r="H86" s="233"/>
      <c r="I86" s="234"/>
      <c r="J86" s="235"/>
      <c r="K86" s="233"/>
      <c r="L86" s="234"/>
      <c r="M86" s="235"/>
      <c r="N86" s="52" t="str">
        <f t="shared" si="5"/>
        <v xml:space="preserve"> </v>
      </c>
      <c r="O86" s="49"/>
      <c r="P86" s="53"/>
      <c r="Q86" s="240"/>
    </row>
    <row r="87" spans="1:17" ht="15.75" customHeight="1" thickBot="1">
      <c r="A87" s="54" t="s">
        <v>26</v>
      </c>
      <c r="B87" s="57">
        <f>IF(SUM(B79:B86)=0," ",SUM(B79:B86))</f>
        <v>1514.4</v>
      </c>
      <c r="C87" s="192"/>
      <c r="D87" s="193"/>
      <c r="E87" s="56"/>
      <c r="F87" s="192"/>
      <c r="G87" s="193"/>
      <c r="H87" s="194">
        <f>IF(SUM(H79:J86)=0," ",SUM(H79:J86))</f>
        <v>3295</v>
      </c>
      <c r="I87" s="195"/>
      <c r="J87" s="196"/>
      <c r="K87" s="194" t="str">
        <f>IF(SUM(K79:M86)=0," ",SUM(K79:M86))</f>
        <v xml:space="preserve"> </v>
      </c>
      <c r="L87" s="195"/>
      <c r="M87" s="196"/>
      <c r="N87" s="56">
        <f>IF(SUM(N79:N86)=0," ",SUM(N79:N86))</f>
        <v>1184.9000000000001</v>
      </c>
      <c r="O87" s="192"/>
      <c r="P87" s="193"/>
      <c r="Q87" s="241"/>
    </row>
    <row r="88" spans="1:17" ht="18" customHeight="1">
      <c r="A88" s="199" t="s">
        <v>37</v>
      </c>
      <c r="B88" s="59">
        <v>3</v>
      </c>
      <c r="C88" s="113" t="s">
        <v>81</v>
      </c>
      <c r="D88" s="61">
        <v>46539</v>
      </c>
      <c r="E88" s="23"/>
      <c r="F88" s="26"/>
      <c r="G88" s="27"/>
      <c r="H88" s="201">
        <v>10</v>
      </c>
      <c r="I88" s="202"/>
      <c r="J88" s="203"/>
      <c r="K88" s="201">
        <v>10</v>
      </c>
      <c r="L88" s="202"/>
      <c r="M88" s="203"/>
      <c r="N88" s="26">
        <f t="shared" ref="N88:N93" si="6">IF((((B88+E88)*10)-(H88+K88))/10=0," ",(((B88+E88)*10)-(H88+K88))/10)</f>
        <v>1</v>
      </c>
      <c r="O88" s="24" t="s">
        <v>81</v>
      </c>
      <c r="P88" s="25">
        <v>46539</v>
      </c>
      <c r="Q88" s="227" t="s">
        <v>137</v>
      </c>
    </row>
    <row r="89" spans="1:17" ht="18" customHeight="1">
      <c r="A89" s="200"/>
      <c r="B89" s="92">
        <v>475</v>
      </c>
      <c r="C89" s="93" t="s">
        <v>119</v>
      </c>
      <c r="D89" s="94">
        <v>46784</v>
      </c>
      <c r="E89" s="96"/>
      <c r="F89" s="95"/>
      <c r="G89" s="114"/>
      <c r="H89" s="210">
        <v>1118</v>
      </c>
      <c r="I89" s="211"/>
      <c r="J89" s="212"/>
      <c r="K89" s="210">
        <v>192</v>
      </c>
      <c r="L89" s="211"/>
      <c r="M89" s="212"/>
      <c r="N89" s="95">
        <f t="shared" si="6"/>
        <v>344</v>
      </c>
      <c r="O89" s="96" t="s">
        <v>119</v>
      </c>
      <c r="P89" s="97">
        <v>46784</v>
      </c>
      <c r="Q89" s="228"/>
    </row>
    <row r="90" spans="1:17" ht="18" customHeight="1">
      <c r="A90" s="200"/>
      <c r="B90" s="92">
        <v>742</v>
      </c>
      <c r="C90" s="93" t="s">
        <v>120</v>
      </c>
      <c r="D90" s="94">
        <v>46813</v>
      </c>
      <c r="E90" s="96"/>
      <c r="F90" s="95"/>
      <c r="G90" s="114"/>
      <c r="H90" s="207"/>
      <c r="I90" s="208"/>
      <c r="J90" s="209"/>
      <c r="K90" s="207"/>
      <c r="L90" s="208"/>
      <c r="M90" s="209"/>
      <c r="N90" s="95">
        <f t="shared" si="6"/>
        <v>742</v>
      </c>
      <c r="O90" s="96" t="s">
        <v>120</v>
      </c>
      <c r="P90" s="97">
        <v>46813</v>
      </c>
      <c r="Q90" s="228"/>
    </row>
    <row r="91" spans="1:17" ht="18" customHeight="1" thickBot="1">
      <c r="A91" s="200"/>
      <c r="B91" s="92">
        <v>8</v>
      </c>
      <c r="C91" s="93" t="s">
        <v>121</v>
      </c>
      <c r="D91" s="94">
        <v>46784</v>
      </c>
      <c r="E91" s="96"/>
      <c r="F91" s="95"/>
      <c r="G91" s="114"/>
      <c r="H91" s="210">
        <v>56</v>
      </c>
      <c r="I91" s="211"/>
      <c r="J91" s="212"/>
      <c r="K91" s="210">
        <v>24</v>
      </c>
      <c r="L91" s="211"/>
      <c r="M91" s="212"/>
      <c r="N91" s="95" t="str">
        <f t="shared" si="6"/>
        <v xml:space="preserve"> </v>
      </c>
      <c r="O91" s="96"/>
      <c r="P91" s="97"/>
      <c r="Q91" s="228"/>
    </row>
    <row r="92" spans="1:17" ht="20.100000000000001" customHeight="1">
      <c r="A92" s="213" t="s">
        <v>25</v>
      </c>
      <c r="B92" s="44">
        <v>1</v>
      </c>
      <c r="C92" s="45" t="s">
        <v>73</v>
      </c>
      <c r="D92" s="46">
        <v>46054</v>
      </c>
      <c r="E92" s="47"/>
      <c r="F92" s="45"/>
      <c r="G92" s="46"/>
      <c r="H92" s="215"/>
      <c r="I92" s="216"/>
      <c r="J92" s="217"/>
      <c r="K92" s="215">
        <v>10</v>
      </c>
      <c r="L92" s="216"/>
      <c r="M92" s="217"/>
      <c r="N92" s="44" t="str">
        <f t="shared" si="6"/>
        <v xml:space="preserve"> </v>
      </c>
      <c r="O92" s="44"/>
      <c r="P92" s="48"/>
      <c r="Q92" s="228"/>
    </row>
    <row r="93" spans="1:17" ht="20.100000000000001" customHeight="1" thickBot="1">
      <c r="A93" s="214"/>
      <c r="B93" s="49">
        <v>1</v>
      </c>
      <c r="C93" s="50" t="s">
        <v>81</v>
      </c>
      <c r="D93" s="51">
        <v>46539</v>
      </c>
      <c r="E93" s="52"/>
      <c r="F93" s="50"/>
      <c r="G93" s="51"/>
      <c r="H93" s="218"/>
      <c r="I93" s="219"/>
      <c r="J93" s="220"/>
      <c r="K93" s="218"/>
      <c r="L93" s="219"/>
      <c r="M93" s="220"/>
      <c r="N93" s="49">
        <f t="shared" si="6"/>
        <v>1</v>
      </c>
      <c r="O93" s="49" t="s">
        <v>81</v>
      </c>
      <c r="P93" s="53">
        <v>46539</v>
      </c>
      <c r="Q93" s="228"/>
    </row>
    <row r="94" spans="1:17" ht="15.75" customHeight="1" thickBot="1">
      <c r="A94" s="115" t="s">
        <v>26</v>
      </c>
      <c r="B94" s="56">
        <f>IF(SUM(B88:B93)=0," ",SUM(B88:B93))</f>
        <v>1230</v>
      </c>
      <c r="C94" s="192"/>
      <c r="D94" s="193"/>
      <c r="E94" s="58"/>
      <c r="F94" s="192"/>
      <c r="G94" s="193"/>
      <c r="H94" s="194">
        <f>IF(SUM(H88:J93)=0," ",SUM(H88:J93))</f>
        <v>1184</v>
      </c>
      <c r="I94" s="195"/>
      <c r="J94" s="196"/>
      <c r="K94" s="197">
        <f>IF(SUM(K88:M93)=0," ",SUM(K88:M93))</f>
        <v>236</v>
      </c>
      <c r="L94" s="197"/>
      <c r="M94" s="198"/>
      <c r="N94" s="56">
        <f>IF(SUM(N88:N93)=0," ",SUM(N88:N93))</f>
        <v>1088</v>
      </c>
      <c r="O94" s="192"/>
      <c r="P94" s="193"/>
      <c r="Q94" s="229"/>
    </row>
    <row r="95" spans="1:17" ht="15" customHeight="1">
      <c r="A95" s="199" t="s">
        <v>38</v>
      </c>
      <c r="B95" s="59">
        <v>169</v>
      </c>
      <c r="C95" s="60" t="s">
        <v>84</v>
      </c>
      <c r="D95" s="61">
        <v>46631</v>
      </c>
      <c r="E95" s="24"/>
      <c r="F95" s="26"/>
      <c r="G95" s="27"/>
      <c r="H95" s="201">
        <v>8</v>
      </c>
      <c r="I95" s="202"/>
      <c r="J95" s="203"/>
      <c r="K95" s="201"/>
      <c r="L95" s="202"/>
      <c r="M95" s="203"/>
      <c r="N95" s="26">
        <f>IF(((B95+E95)-(H95+K95))=0," ",((B95+E95)-(H95+K95)))</f>
        <v>161</v>
      </c>
      <c r="O95" s="24" t="s">
        <v>84</v>
      </c>
      <c r="P95" s="25">
        <v>46631</v>
      </c>
      <c r="Q95" s="204" t="s">
        <v>136</v>
      </c>
    </row>
    <row r="96" spans="1:17" ht="15" customHeight="1">
      <c r="A96" s="200"/>
      <c r="B96" s="92">
        <v>385</v>
      </c>
      <c r="C96" s="93" t="s">
        <v>87</v>
      </c>
      <c r="D96" s="94">
        <v>46722</v>
      </c>
      <c r="E96" s="96"/>
      <c r="F96" s="95"/>
      <c r="G96" s="114"/>
      <c r="H96" s="207">
        <v>93</v>
      </c>
      <c r="I96" s="208"/>
      <c r="J96" s="209"/>
      <c r="K96" s="207"/>
      <c r="L96" s="208"/>
      <c r="M96" s="209"/>
      <c r="N96" s="95">
        <f>IF(((B96+E96)-(H96+K96))=0," ",((B96+E96)-(H96+K96)))</f>
        <v>292</v>
      </c>
      <c r="O96" s="96" t="s">
        <v>87</v>
      </c>
      <c r="P96" s="97">
        <v>46722</v>
      </c>
      <c r="Q96" s="205"/>
    </row>
    <row r="97" spans="1:17" ht="15" customHeight="1" thickBot="1">
      <c r="A97" s="200"/>
      <c r="B97" s="92"/>
      <c r="C97" s="93" t="s">
        <v>61</v>
      </c>
      <c r="D97" s="92" t="s">
        <v>61</v>
      </c>
      <c r="E97" s="96"/>
      <c r="F97" s="95"/>
      <c r="G97" s="114"/>
      <c r="H97" s="210"/>
      <c r="I97" s="211"/>
      <c r="J97" s="212"/>
      <c r="K97" s="210"/>
      <c r="L97" s="211"/>
      <c r="M97" s="212"/>
      <c r="N97" s="95" t="str">
        <f>IF(((B97+E97)-(H97+K97))=0," ",((B97+E97)-(H97+K97)))</f>
        <v xml:space="preserve"> </v>
      </c>
      <c r="O97" s="96" t="s">
        <v>61</v>
      </c>
      <c r="P97" s="97" t="s">
        <v>61</v>
      </c>
      <c r="Q97" s="205"/>
    </row>
    <row r="98" spans="1:17" ht="20.100000000000001" customHeight="1">
      <c r="A98" s="213" t="s">
        <v>25</v>
      </c>
      <c r="B98" s="44">
        <v>10</v>
      </c>
      <c r="C98" s="45" t="s">
        <v>84</v>
      </c>
      <c r="D98" s="46">
        <v>46631</v>
      </c>
      <c r="E98" s="47"/>
      <c r="F98" s="45"/>
      <c r="G98" s="46"/>
      <c r="H98" s="215"/>
      <c r="I98" s="216"/>
      <c r="J98" s="217"/>
      <c r="K98" s="215"/>
      <c r="L98" s="216"/>
      <c r="M98" s="217"/>
      <c r="N98" s="44">
        <f>IF(((B98+E98)-(H98+K98))=0," ",((B98+E98)-(H98+K98)))</f>
        <v>10</v>
      </c>
      <c r="O98" s="44" t="s">
        <v>84</v>
      </c>
      <c r="P98" s="48">
        <v>46631</v>
      </c>
      <c r="Q98" s="205"/>
    </row>
    <row r="99" spans="1:17" ht="20.100000000000001" customHeight="1" thickBot="1">
      <c r="A99" s="214"/>
      <c r="B99" s="49"/>
      <c r="C99" s="50"/>
      <c r="D99" s="49"/>
      <c r="E99" s="52"/>
      <c r="F99" s="50"/>
      <c r="G99" s="51"/>
      <c r="H99" s="218"/>
      <c r="I99" s="219"/>
      <c r="J99" s="220"/>
      <c r="K99" s="218"/>
      <c r="L99" s="219"/>
      <c r="M99" s="220"/>
      <c r="N99" s="49" t="str">
        <f>IF(((B99+E99)-(H99+K99))=0," ",((B99+E99)-(H99+K99)))</f>
        <v xml:space="preserve"> </v>
      </c>
      <c r="O99" s="49"/>
      <c r="P99" s="53"/>
      <c r="Q99" s="205"/>
    </row>
    <row r="100" spans="1:17" ht="15.75" customHeight="1" thickBot="1">
      <c r="A100" s="115" t="s">
        <v>26</v>
      </c>
      <c r="B100" s="56">
        <f>IF(SUM(B95:B99)=0," ",SUM(B95:B99))</f>
        <v>564</v>
      </c>
      <c r="C100" s="192"/>
      <c r="D100" s="193"/>
      <c r="E100" s="58"/>
      <c r="F100" s="192"/>
      <c r="G100" s="193"/>
      <c r="H100" s="194">
        <f>IF(SUM(H95:J99)=0," ",SUM(H95:J99))</f>
        <v>101</v>
      </c>
      <c r="I100" s="195"/>
      <c r="J100" s="196"/>
      <c r="K100" s="197" t="str">
        <f>IF(SUM(K95:M99)=0," ",SUM(K95:M99))</f>
        <v xml:space="preserve"> </v>
      </c>
      <c r="L100" s="197"/>
      <c r="M100" s="198"/>
      <c r="N100" s="56">
        <f>IF(SUM(N95:N99)=0," ",SUM(N95:N99))</f>
        <v>463</v>
      </c>
      <c r="O100" s="192"/>
      <c r="P100" s="193"/>
      <c r="Q100" s="206"/>
    </row>
    <row r="101" spans="1:17" ht="15" customHeight="1">
      <c r="A101" s="199" t="s">
        <v>39</v>
      </c>
      <c r="B101" s="59">
        <v>59.2</v>
      </c>
      <c r="C101" s="60" t="s">
        <v>88</v>
      </c>
      <c r="D101" s="61">
        <v>46388</v>
      </c>
      <c r="E101" s="24">
        <v>286</v>
      </c>
      <c r="F101" s="26" t="s">
        <v>88</v>
      </c>
      <c r="G101" s="27">
        <v>46388</v>
      </c>
      <c r="H101" s="201">
        <v>2627</v>
      </c>
      <c r="I101" s="202"/>
      <c r="J101" s="203"/>
      <c r="K101" s="201">
        <v>24</v>
      </c>
      <c r="L101" s="202"/>
      <c r="M101" s="203"/>
      <c r="N101" s="26">
        <f>IF((((B101+E101)*10)-(H101+K101))/10=0," ",(((B101+E101)*10)-(H101+K101))/10)</f>
        <v>80.099999999999994</v>
      </c>
      <c r="O101" s="24" t="s">
        <v>88</v>
      </c>
      <c r="P101" s="25">
        <v>46388</v>
      </c>
      <c r="Q101" s="239"/>
    </row>
    <row r="102" spans="1:17" ht="15" customHeight="1">
      <c r="A102" s="200"/>
      <c r="B102" s="92"/>
      <c r="C102" s="93"/>
      <c r="D102" s="92"/>
      <c r="E102" s="96"/>
      <c r="F102" s="95"/>
      <c r="G102" s="114"/>
      <c r="H102" s="207"/>
      <c r="I102" s="208"/>
      <c r="J102" s="209"/>
      <c r="K102" s="207"/>
      <c r="L102" s="208"/>
      <c r="M102" s="209"/>
      <c r="N102" s="95" t="str">
        <f>IF((((B102+E102)*10)-(H102+K102))/10=0," ",(((B102+E102)*10)-(H102+K102))/10)</f>
        <v xml:space="preserve"> </v>
      </c>
      <c r="O102" s="96"/>
      <c r="P102" s="97"/>
      <c r="Q102" s="240"/>
    </row>
    <row r="103" spans="1:17" ht="15" customHeight="1" thickBot="1">
      <c r="A103" s="200"/>
      <c r="B103" s="92"/>
      <c r="C103" s="93"/>
      <c r="D103" s="92"/>
      <c r="E103" s="96"/>
      <c r="F103" s="95"/>
      <c r="G103" s="114"/>
      <c r="H103" s="210"/>
      <c r="I103" s="211"/>
      <c r="J103" s="212"/>
      <c r="K103" s="210"/>
      <c r="L103" s="211"/>
      <c r="M103" s="212"/>
      <c r="N103" s="95" t="str">
        <f>IF((((B103+E103)*10)-(H103+K103))/10=0," ",(((B103+E103)*10)-(H103+K103))/10)</f>
        <v xml:space="preserve"> </v>
      </c>
      <c r="O103" s="96"/>
      <c r="P103" s="97"/>
      <c r="Q103" s="240"/>
    </row>
    <row r="104" spans="1:17" ht="20.100000000000001" customHeight="1">
      <c r="A104" s="213" t="s">
        <v>25</v>
      </c>
      <c r="B104" s="44"/>
      <c r="C104" s="45"/>
      <c r="D104" s="44"/>
      <c r="E104" s="47"/>
      <c r="F104" s="45"/>
      <c r="G104" s="46"/>
      <c r="H104" s="215"/>
      <c r="I104" s="216"/>
      <c r="J104" s="217"/>
      <c r="K104" s="215"/>
      <c r="L104" s="216"/>
      <c r="M104" s="217"/>
      <c r="N104" s="44" t="str">
        <f>IF((((B104+E104)*10)-(H104+K104))/10=0," ",(((B104+E104)*10)-(H104+K104))/10)</f>
        <v xml:space="preserve"> </v>
      </c>
      <c r="O104" s="44"/>
      <c r="P104" s="48"/>
      <c r="Q104" s="240"/>
    </row>
    <row r="105" spans="1:17" ht="20.100000000000001" customHeight="1" thickBot="1">
      <c r="A105" s="214"/>
      <c r="B105" s="49"/>
      <c r="C105" s="50"/>
      <c r="D105" s="49"/>
      <c r="E105" s="52"/>
      <c r="F105" s="50"/>
      <c r="G105" s="51"/>
      <c r="H105" s="218"/>
      <c r="I105" s="219"/>
      <c r="J105" s="220"/>
      <c r="K105" s="218"/>
      <c r="L105" s="219"/>
      <c r="M105" s="220"/>
      <c r="N105" s="49" t="str">
        <f>IF((((B105+E105)*10)-(H105+K105))/10=0," ",(((B105+E105)*10)-(H105+K105))/10)</f>
        <v xml:space="preserve"> </v>
      </c>
      <c r="O105" s="49"/>
      <c r="P105" s="53"/>
      <c r="Q105" s="240"/>
    </row>
    <row r="106" spans="1:17" ht="15.75" customHeight="1" thickBot="1">
      <c r="A106" s="54" t="s">
        <v>26</v>
      </c>
      <c r="B106" s="56">
        <f>IF(SUM(B101:B105)=0," ",SUM(B101:B105))</f>
        <v>59.2</v>
      </c>
      <c r="C106" s="192"/>
      <c r="D106" s="193"/>
      <c r="E106" s="58">
        <f>IF(SUM(E101:E105)=0," ",SUM(E101:E105))</f>
        <v>286</v>
      </c>
      <c r="F106" s="192"/>
      <c r="G106" s="193"/>
      <c r="H106" s="194">
        <f>IF(SUM(H101:J105)=0," ",SUM(H101:J105))</f>
        <v>2627</v>
      </c>
      <c r="I106" s="195"/>
      <c r="J106" s="196"/>
      <c r="K106" s="197">
        <f>IF(SUM(K101:M105)=0," ",SUM(K101:M105))</f>
        <v>24</v>
      </c>
      <c r="L106" s="197"/>
      <c r="M106" s="198"/>
      <c r="N106" s="56">
        <f>IF(SUM(N101:N105)=0," ",SUM(N101:N105))</f>
        <v>80.099999999999994</v>
      </c>
      <c r="O106" s="192"/>
      <c r="P106" s="193"/>
      <c r="Q106" s="241"/>
    </row>
    <row r="107" spans="1:17" ht="15" customHeight="1">
      <c r="A107" s="199" t="s">
        <v>40</v>
      </c>
      <c r="B107" s="59">
        <v>57</v>
      </c>
      <c r="C107" s="60" t="s">
        <v>70</v>
      </c>
      <c r="D107" s="61">
        <v>46082</v>
      </c>
      <c r="E107" s="24"/>
      <c r="F107" s="26"/>
      <c r="G107" s="27"/>
      <c r="H107" s="201">
        <v>55</v>
      </c>
      <c r="I107" s="202"/>
      <c r="J107" s="203"/>
      <c r="K107" s="201">
        <v>2</v>
      </c>
      <c r="L107" s="202"/>
      <c r="M107" s="203"/>
      <c r="N107" s="26" t="str">
        <f t="shared" ref="N107:N112" si="7">IF(((B107+E107)-(H107+K107))=0," ",((B107+E107)-(H107+K107)))</f>
        <v xml:space="preserve"> </v>
      </c>
      <c r="O107" s="24" t="s">
        <v>70</v>
      </c>
      <c r="P107" s="25">
        <v>46082</v>
      </c>
      <c r="Q107" s="246" t="s">
        <v>138</v>
      </c>
    </row>
    <row r="108" spans="1:17" ht="15" customHeight="1">
      <c r="A108" s="200"/>
      <c r="B108" s="92">
        <v>876</v>
      </c>
      <c r="C108" s="93" t="s">
        <v>109</v>
      </c>
      <c r="D108" s="94">
        <v>46508</v>
      </c>
      <c r="E108" s="96">
        <v>848</v>
      </c>
      <c r="F108" s="95" t="s">
        <v>109</v>
      </c>
      <c r="G108" s="114">
        <v>46508</v>
      </c>
      <c r="H108" s="207">
        <v>528</v>
      </c>
      <c r="I108" s="208"/>
      <c r="J108" s="209"/>
      <c r="K108" s="207"/>
      <c r="L108" s="208"/>
      <c r="M108" s="209"/>
      <c r="N108" s="95">
        <f t="shared" si="7"/>
        <v>1196</v>
      </c>
      <c r="O108" s="96" t="s">
        <v>109</v>
      </c>
      <c r="P108" s="97">
        <v>46508</v>
      </c>
      <c r="Q108" s="247"/>
    </row>
    <row r="109" spans="1:17" ht="15" customHeight="1" thickBot="1">
      <c r="A109" s="200"/>
      <c r="B109" s="92"/>
      <c r="C109" s="93"/>
      <c r="D109" s="94"/>
      <c r="E109" s="96"/>
      <c r="F109" s="95"/>
      <c r="G109" s="114"/>
      <c r="H109" s="210"/>
      <c r="I109" s="211"/>
      <c r="J109" s="212"/>
      <c r="K109" s="210"/>
      <c r="L109" s="211"/>
      <c r="M109" s="212"/>
      <c r="N109" s="95" t="str">
        <f t="shared" si="7"/>
        <v xml:space="preserve"> </v>
      </c>
      <c r="O109" s="96"/>
      <c r="P109" s="97"/>
      <c r="Q109" s="247"/>
    </row>
    <row r="110" spans="1:17" ht="20.100000000000001" customHeight="1">
      <c r="A110" s="213" t="s">
        <v>25</v>
      </c>
      <c r="B110" s="128">
        <v>267</v>
      </c>
      <c r="C110" s="117" t="s">
        <v>58</v>
      </c>
      <c r="D110" s="129">
        <v>45870</v>
      </c>
      <c r="E110" s="118"/>
      <c r="F110" s="117"/>
      <c r="G110" s="129"/>
      <c r="H110" s="215"/>
      <c r="I110" s="216"/>
      <c r="J110" s="217"/>
      <c r="K110" s="215"/>
      <c r="L110" s="216"/>
      <c r="M110" s="217"/>
      <c r="N110" s="128">
        <f t="shared" si="7"/>
        <v>267</v>
      </c>
      <c r="O110" s="128" t="s">
        <v>58</v>
      </c>
      <c r="P110" s="130">
        <v>45870</v>
      </c>
      <c r="Q110" s="247"/>
    </row>
    <row r="111" spans="1:17" ht="20.100000000000001" customHeight="1">
      <c r="A111" s="222"/>
      <c r="B111" s="122">
        <v>9</v>
      </c>
      <c r="C111" s="123" t="s">
        <v>65</v>
      </c>
      <c r="D111" s="124">
        <v>45962</v>
      </c>
      <c r="E111" s="125"/>
      <c r="F111" s="123"/>
      <c r="G111" s="124"/>
      <c r="H111" s="126"/>
      <c r="I111" s="123"/>
      <c r="J111" s="125"/>
      <c r="K111" s="252">
        <v>9</v>
      </c>
      <c r="L111" s="253"/>
      <c r="M111" s="254"/>
      <c r="N111" s="131" t="str">
        <f t="shared" si="7"/>
        <v xml:space="preserve"> </v>
      </c>
      <c r="O111" s="122"/>
      <c r="P111" s="127"/>
      <c r="Q111" s="247"/>
    </row>
    <row r="112" spans="1:17" ht="20.100000000000001" customHeight="1" thickBot="1">
      <c r="A112" s="214"/>
      <c r="B112" s="49">
        <v>44</v>
      </c>
      <c r="C112" s="50" t="s">
        <v>70</v>
      </c>
      <c r="D112" s="51">
        <v>46082</v>
      </c>
      <c r="E112" s="52"/>
      <c r="F112" s="50"/>
      <c r="G112" s="51"/>
      <c r="H112" s="218"/>
      <c r="I112" s="219"/>
      <c r="J112" s="220"/>
      <c r="K112" s="218">
        <v>44</v>
      </c>
      <c r="L112" s="219"/>
      <c r="M112" s="220"/>
      <c r="N112" s="49" t="str">
        <f t="shared" si="7"/>
        <v xml:space="preserve"> </v>
      </c>
      <c r="O112" s="49"/>
      <c r="P112" s="53"/>
      <c r="Q112" s="247"/>
    </row>
    <row r="113" spans="1:17" ht="15.75" customHeight="1" thickBot="1">
      <c r="A113" s="54" t="s">
        <v>26</v>
      </c>
      <c r="B113" s="56">
        <f>IF(SUM(B107:B112)=0," ",SUM(B107:B112))</f>
        <v>1253</v>
      </c>
      <c r="C113" s="192"/>
      <c r="D113" s="193"/>
      <c r="E113" s="58">
        <f>IF(SUM(E108:E112)=0," ",SUM(E108:E112))</f>
        <v>848</v>
      </c>
      <c r="F113" s="192"/>
      <c r="G113" s="193"/>
      <c r="H113" s="194">
        <f>IF(SUM(H107:J112)=0," ",SUM(H107:J112))</f>
        <v>583</v>
      </c>
      <c r="I113" s="195"/>
      <c r="J113" s="196"/>
      <c r="K113" s="197">
        <f>IF(SUM(K107:M112)=0," ",SUM(K107:M112))</f>
        <v>55</v>
      </c>
      <c r="L113" s="197"/>
      <c r="M113" s="198"/>
      <c r="N113" s="56">
        <f>IF(SUM(N107:N112)=0," ",SUM(N107:N112))</f>
        <v>1463</v>
      </c>
      <c r="O113" s="192"/>
      <c r="P113" s="193"/>
      <c r="Q113" s="248"/>
    </row>
    <row r="114" spans="1:17" ht="15" customHeight="1">
      <c r="A114" s="199" t="s">
        <v>92</v>
      </c>
      <c r="B114" s="59"/>
      <c r="C114" s="60"/>
      <c r="D114" s="61"/>
      <c r="E114" s="24"/>
      <c r="F114" s="26"/>
      <c r="G114" s="27"/>
      <c r="H114" s="62"/>
      <c r="I114" s="63"/>
      <c r="J114" s="64">
        <f>(((H114/2)+(I114)))</f>
        <v>0</v>
      </c>
      <c r="K114" s="62"/>
      <c r="L114" s="63"/>
      <c r="M114" s="64">
        <f>(((K114/2)+(L114)))</f>
        <v>0</v>
      </c>
      <c r="N114" s="26" t="str">
        <f>IFERROR(IF((((B114+E114)*5)-(J114+M114))/5=0," ",(((B114+E114)*5)-(J114+M114))/5)," ")</f>
        <v xml:space="preserve"> </v>
      </c>
      <c r="O114" s="24"/>
      <c r="P114" s="25"/>
      <c r="Q114" s="239"/>
    </row>
    <row r="115" spans="1:17" ht="15" customHeight="1">
      <c r="A115" s="200"/>
      <c r="B115" s="92"/>
      <c r="C115" s="93"/>
      <c r="D115" s="94"/>
      <c r="E115" s="96"/>
      <c r="F115" s="95"/>
      <c r="G115" s="114"/>
      <c r="H115" s="69"/>
      <c r="I115" s="70"/>
      <c r="J115" s="71">
        <f t="shared" ref="J115:J116" si="8">(((H115/2)+(I115)))</f>
        <v>0</v>
      </c>
      <c r="K115" s="69"/>
      <c r="L115" s="70"/>
      <c r="M115" s="71">
        <f t="shared" ref="M115:M116" si="9">(((K115/2)+(L115)))</f>
        <v>0</v>
      </c>
      <c r="N115" s="95" t="str">
        <f t="shared" ref="N115:N116" si="10">IFERROR(IF((((B115+E115)*5)-(J115+M115))/5=0," ",(((B115+E115)*5)-(J115+M115))/5)," ")</f>
        <v xml:space="preserve"> </v>
      </c>
      <c r="O115" s="96"/>
      <c r="P115" s="97"/>
      <c r="Q115" s="240"/>
    </row>
    <row r="116" spans="1:17" ht="15" customHeight="1" thickBot="1">
      <c r="A116" s="200"/>
      <c r="B116" s="107"/>
      <c r="C116" s="134"/>
      <c r="D116" s="107"/>
      <c r="E116" s="109"/>
      <c r="F116" s="108"/>
      <c r="G116" s="135"/>
      <c r="H116" s="76"/>
      <c r="I116" s="77"/>
      <c r="J116" s="78">
        <f t="shared" si="8"/>
        <v>0</v>
      </c>
      <c r="K116" s="79"/>
      <c r="L116" s="80"/>
      <c r="M116" s="78">
        <f t="shared" si="9"/>
        <v>0</v>
      </c>
      <c r="N116" s="108" t="str">
        <f t="shared" si="10"/>
        <v xml:space="preserve"> </v>
      </c>
      <c r="O116" s="109"/>
      <c r="P116" s="112"/>
      <c r="Q116" s="240"/>
    </row>
    <row r="117" spans="1:17" ht="15" customHeight="1">
      <c r="A117" s="199" t="s">
        <v>93</v>
      </c>
      <c r="B117" s="59"/>
      <c r="C117" s="60"/>
      <c r="D117" s="61"/>
      <c r="E117" s="24"/>
      <c r="F117" s="26"/>
      <c r="G117" s="27"/>
      <c r="H117" s="236"/>
      <c r="I117" s="237"/>
      <c r="J117" s="238"/>
      <c r="K117" s="236"/>
      <c r="L117" s="237"/>
      <c r="M117" s="238"/>
      <c r="N117" s="26"/>
      <c r="O117" s="24"/>
      <c r="P117" s="25"/>
      <c r="Q117" s="240"/>
    </row>
    <row r="118" spans="1:17" ht="15" customHeight="1">
      <c r="A118" s="200"/>
      <c r="B118" s="92"/>
      <c r="C118" s="93"/>
      <c r="D118" s="92"/>
      <c r="E118" s="96"/>
      <c r="F118" s="95"/>
      <c r="G118" s="114"/>
      <c r="H118" s="210"/>
      <c r="I118" s="211"/>
      <c r="J118" s="212"/>
      <c r="K118" s="210"/>
      <c r="L118" s="211"/>
      <c r="M118" s="212"/>
      <c r="N118" s="95" t="str">
        <f t="shared" ref="N118:N119" si="11">IF((((B118+E118)*10)-(H118+K118))/10=0," ",(((B118+E118)*10)-(H118+K118))/10)</f>
        <v xml:space="preserve"> </v>
      </c>
      <c r="O118" s="96"/>
      <c r="P118" s="97"/>
      <c r="Q118" s="240"/>
    </row>
    <row r="119" spans="1:17" ht="15" customHeight="1" thickBot="1">
      <c r="A119" s="223"/>
      <c r="B119" s="136"/>
      <c r="C119" s="137"/>
      <c r="D119" s="136"/>
      <c r="E119" s="138"/>
      <c r="F119" s="139"/>
      <c r="G119" s="140"/>
      <c r="H119" s="230"/>
      <c r="I119" s="231"/>
      <c r="J119" s="232"/>
      <c r="K119" s="230"/>
      <c r="L119" s="231"/>
      <c r="M119" s="232"/>
      <c r="N119" s="139" t="str">
        <f t="shared" si="11"/>
        <v xml:space="preserve"> </v>
      </c>
      <c r="O119" s="138"/>
      <c r="P119" s="141"/>
      <c r="Q119" s="240"/>
    </row>
    <row r="120" spans="1:17" ht="20.100000000000001" customHeight="1">
      <c r="A120" s="213" t="s">
        <v>25</v>
      </c>
      <c r="B120" s="44"/>
      <c r="C120" s="45"/>
      <c r="D120" s="44"/>
      <c r="E120" s="47"/>
      <c r="F120" s="45"/>
      <c r="G120" s="46"/>
      <c r="H120" s="215"/>
      <c r="I120" s="216"/>
      <c r="J120" s="217"/>
      <c r="K120" s="215"/>
      <c r="L120" s="216"/>
      <c r="M120" s="217"/>
      <c r="N120" s="44" t="str">
        <f>IF((((B120+E120)*5)-(H120+K120))/5=0," ",(((B120+E120)*5)-(H120+K120))/5)</f>
        <v xml:space="preserve"> </v>
      </c>
      <c r="O120" s="44"/>
      <c r="P120" s="48"/>
      <c r="Q120" s="240"/>
    </row>
    <row r="121" spans="1:17" ht="20.100000000000001" customHeight="1" thickBot="1">
      <c r="A121" s="214"/>
      <c r="B121" s="49"/>
      <c r="C121" s="50"/>
      <c r="D121" s="49"/>
      <c r="E121" s="52"/>
      <c r="F121" s="50"/>
      <c r="G121" s="51"/>
      <c r="H121" s="218"/>
      <c r="I121" s="219"/>
      <c r="J121" s="220"/>
      <c r="K121" s="218"/>
      <c r="L121" s="219"/>
      <c r="M121" s="220"/>
      <c r="N121" s="49" t="str">
        <f>IF((((B121+E121)*6)-(H121+K121))/6=0," ",(((B121+E121)*6)-(H121+K121))/6)</f>
        <v xml:space="preserve"> </v>
      </c>
      <c r="O121" s="49"/>
      <c r="P121" s="53"/>
      <c r="Q121" s="240"/>
    </row>
    <row r="122" spans="1:17" ht="15.75" customHeight="1" thickBot="1">
      <c r="A122" s="54" t="s">
        <v>26</v>
      </c>
      <c r="B122" s="56"/>
      <c r="C122" s="192"/>
      <c r="D122" s="193"/>
      <c r="E122" s="58"/>
      <c r="F122" s="192"/>
      <c r="G122" s="193"/>
      <c r="H122" s="194"/>
      <c r="I122" s="195"/>
      <c r="J122" s="196"/>
      <c r="K122" s="197"/>
      <c r="L122" s="197"/>
      <c r="M122" s="198"/>
      <c r="N122" s="56" t="str">
        <f>IF(SUM(N114:N121)=0," ",SUM(N114:N121))</f>
        <v xml:space="preserve"> </v>
      </c>
      <c r="O122" s="192"/>
      <c r="P122" s="193"/>
      <c r="Q122" s="241"/>
    </row>
    <row r="123" spans="1:17" ht="15" customHeight="1">
      <c r="A123" s="199" t="s">
        <v>75</v>
      </c>
      <c r="B123" s="59">
        <v>189</v>
      </c>
      <c r="C123" s="60" t="s">
        <v>77</v>
      </c>
      <c r="D123" s="61">
        <v>46113</v>
      </c>
      <c r="E123" s="24"/>
      <c r="F123" s="26"/>
      <c r="G123" s="27"/>
      <c r="H123" s="236">
        <v>150</v>
      </c>
      <c r="I123" s="237"/>
      <c r="J123" s="238"/>
      <c r="K123" s="236"/>
      <c r="L123" s="237"/>
      <c r="M123" s="238"/>
      <c r="N123" s="26">
        <f>IF(((B123+E123)-(H123+K123))=0," ",((B123+E123)-(H123+K123)))</f>
        <v>39</v>
      </c>
      <c r="O123" s="24" t="s">
        <v>77</v>
      </c>
      <c r="P123" s="25">
        <v>46113</v>
      </c>
      <c r="Q123" s="239"/>
    </row>
    <row r="124" spans="1:17" ht="15" customHeight="1">
      <c r="A124" s="200"/>
      <c r="B124" s="92"/>
      <c r="C124" s="93"/>
      <c r="D124" s="94"/>
      <c r="E124" s="96"/>
      <c r="F124" s="95"/>
      <c r="G124" s="114"/>
      <c r="H124" s="210"/>
      <c r="I124" s="211"/>
      <c r="J124" s="212"/>
      <c r="K124" s="210"/>
      <c r="L124" s="211"/>
      <c r="M124" s="212"/>
      <c r="N124" s="95" t="str">
        <f>IF(((B124+E124)-(H124+K124))=0," ",((B124+E124)-(H124+K124)))</f>
        <v xml:space="preserve"> </v>
      </c>
      <c r="O124" s="96"/>
      <c r="P124" s="97"/>
      <c r="Q124" s="240"/>
    </row>
    <row r="125" spans="1:17" ht="15" customHeight="1" thickBot="1">
      <c r="A125" s="200"/>
      <c r="B125" s="92"/>
      <c r="C125" s="93"/>
      <c r="D125" s="94"/>
      <c r="E125" s="96"/>
      <c r="F125" s="95"/>
      <c r="G125" s="114"/>
      <c r="H125" s="210"/>
      <c r="I125" s="211"/>
      <c r="J125" s="212"/>
      <c r="K125" s="210"/>
      <c r="L125" s="211"/>
      <c r="M125" s="212"/>
      <c r="N125" s="95" t="str">
        <f>IF(((B125+E125)-(H125+K125))=0," ",((B125+E125)-(H125+K125)))</f>
        <v xml:space="preserve"> </v>
      </c>
      <c r="O125" s="96"/>
      <c r="P125" s="97"/>
      <c r="Q125" s="240"/>
    </row>
    <row r="126" spans="1:17" ht="20.100000000000001" customHeight="1">
      <c r="A126" s="213" t="s">
        <v>25</v>
      </c>
      <c r="B126" s="44"/>
      <c r="C126" s="45"/>
      <c r="D126" s="44"/>
      <c r="E126" s="47"/>
      <c r="F126" s="45"/>
      <c r="G126" s="46"/>
      <c r="H126" s="215"/>
      <c r="I126" s="216"/>
      <c r="J126" s="217"/>
      <c r="K126" s="215"/>
      <c r="L126" s="216"/>
      <c r="M126" s="217"/>
      <c r="N126" s="44" t="str">
        <f>IF(((B126+E126)-(H126+K126))=0," ",((B126+E126)-(H126+K126)))</f>
        <v xml:space="preserve"> </v>
      </c>
      <c r="O126" s="44"/>
      <c r="P126" s="48"/>
      <c r="Q126" s="240"/>
    </row>
    <row r="127" spans="1:17" ht="20.100000000000001" customHeight="1" thickBot="1">
      <c r="A127" s="214"/>
      <c r="B127" s="49"/>
      <c r="C127" s="50"/>
      <c r="D127" s="49"/>
      <c r="E127" s="52"/>
      <c r="F127" s="50"/>
      <c r="G127" s="51"/>
      <c r="H127" s="218"/>
      <c r="I127" s="219"/>
      <c r="J127" s="220"/>
      <c r="K127" s="218"/>
      <c r="L127" s="219"/>
      <c r="M127" s="220"/>
      <c r="N127" s="49" t="str">
        <f>IF(((B127+E127)-(H127+K127))=0," ",((B127+E127)-(H127+K127)))</f>
        <v xml:space="preserve"> </v>
      </c>
      <c r="O127" s="49"/>
      <c r="P127" s="53"/>
      <c r="Q127" s="240"/>
    </row>
    <row r="128" spans="1:17" ht="15.75" customHeight="1" thickBot="1">
      <c r="A128" s="54" t="s">
        <v>26</v>
      </c>
      <c r="B128" s="56">
        <f>IF(SUM(B122:B127)=0," ",SUM(B122:B127))</f>
        <v>189</v>
      </c>
      <c r="C128" s="192"/>
      <c r="D128" s="193"/>
      <c r="E128" s="58"/>
      <c r="F128" s="192"/>
      <c r="G128" s="193"/>
      <c r="H128" s="194">
        <f t="shared" ref="H128:J128" si="12">IF(SUM(H122:H127)=0," ",SUM(H122:H127))</f>
        <v>150</v>
      </c>
      <c r="I128" s="195" t="str">
        <f t="shared" si="12"/>
        <v xml:space="preserve"> </v>
      </c>
      <c r="J128" s="196" t="str">
        <f t="shared" si="12"/>
        <v xml:space="preserve"> </v>
      </c>
      <c r="K128" s="197"/>
      <c r="L128" s="197"/>
      <c r="M128" s="198"/>
      <c r="N128" s="56">
        <f>IF(SUM(N122:N127)=0," ",SUM(N122:N127))</f>
        <v>39</v>
      </c>
      <c r="O128" s="192"/>
      <c r="P128" s="193"/>
      <c r="Q128" s="241"/>
    </row>
    <row r="129" spans="1:17" ht="15" customHeight="1">
      <c r="A129" s="199" t="s">
        <v>76</v>
      </c>
      <c r="B129" s="59">
        <v>308</v>
      </c>
      <c r="C129" s="60" t="s">
        <v>91</v>
      </c>
      <c r="D129" s="61">
        <v>46174</v>
      </c>
      <c r="E129" s="24"/>
      <c r="F129" s="26"/>
      <c r="G129" s="27"/>
      <c r="H129" s="236">
        <v>159</v>
      </c>
      <c r="I129" s="237"/>
      <c r="J129" s="238"/>
      <c r="K129" s="236"/>
      <c r="L129" s="237"/>
      <c r="M129" s="238"/>
      <c r="N129" s="26">
        <f>IF(((B129+E129)-(H129+K129))=0," ",((B129+E129)-(H129+K129)))</f>
        <v>149</v>
      </c>
      <c r="O129" s="24" t="s">
        <v>91</v>
      </c>
      <c r="P129" s="25">
        <v>46174</v>
      </c>
      <c r="Q129" s="239"/>
    </row>
    <row r="130" spans="1:17" ht="15" customHeight="1">
      <c r="A130" s="200"/>
      <c r="B130" s="92">
        <v>30</v>
      </c>
      <c r="C130" s="93" t="s">
        <v>122</v>
      </c>
      <c r="D130" s="94">
        <v>46296</v>
      </c>
      <c r="E130" s="96"/>
      <c r="F130" s="95"/>
      <c r="G130" s="114"/>
      <c r="H130" s="210">
        <v>30</v>
      </c>
      <c r="I130" s="211"/>
      <c r="J130" s="212"/>
      <c r="K130" s="210"/>
      <c r="L130" s="211"/>
      <c r="M130" s="212"/>
      <c r="N130" s="95" t="str">
        <f>IF(((B130+E130)-(H130+K130))=0," ",((B130+E130)-(H130+K130)))</f>
        <v xml:space="preserve"> </v>
      </c>
      <c r="O130" s="96"/>
      <c r="P130" s="97"/>
      <c r="Q130" s="240"/>
    </row>
    <row r="131" spans="1:17" ht="15" customHeight="1" thickBot="1">
      <c r="A131" s="200"/>
      <c r="B131" s="92"/>
      <c r="C131" s="93"/>
      <c r="D131" s="92"/>
      <c r="E131" s="96"/>
      <c r="F131" s="95"/>
      <c r="G131" s="114"/>
      <c r="H131" s="210"/>
      <c r="I131" s="211"/>
      <c r="J131" s="212"/>
      <c r="K131" s="210"/>
      <c r="L131" s="211"/>
      <c r="M131" s="212"/>
      <c r="N131" s="95" t="str">
        <f>IF(((B131+E131)-(H131+K131))=0," ",((B131+E131)-(H131+K131)))</f>
        <v xml:space="preserve"> </v>
      </c>
      <c r="O131" s="96"/>
      <c r="P131" s="97"/>
      <c r="Q131" s="240"/>
    </row>
    <row r="132" spans="1:17" ht="20.100000000000001" customHeight="1">
      <c r="A132" s="213" t="s">
        <v>25</v>
      </c>
      <c r="B132" s="44"/>
      <c r="C132" s="45"/>
      <c r="D132" s="44"/>
      <c r="E132" s="47"/>
      <c r="F132" s="45"/>
      <c r="G132" s="46"/>
      <c r="H132" s="215"/>
      <c r="I132" s="216"/>
      <c r="J132" s="217"/>
      <c r="K132" s="215"/>
      <c r="L132" s="216"/>
      <c r="M132" s="217"/>
      <c r="N132" s="44" t="str">
        <f>IF(((B132+E132)-(H132+K132))=0," ",((B132+E132)-(H132+K132)))</f>
        <v xml:space="preserve"> </v>
      </c>
      <c r="O132" s="44"/>
      <c r="P132" s="48"/>
      <c r="Q132" s="240"/>
    </row>
    <row r="133" spans="1:17" ht="20.100000000000001" customHeight="1" thickBot="1">
      <c r="A133" s="214"/>
      <c r="B133" s="49"/>
      <c r="C133" s="50"/>
      <c r="D133" s="49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>IF(((B133+E133)-(H133+K133))=0," ",((B133+E133)-(H133+K133)))</f>
        <v xml:space="preserve"> </v>
      </c>
      <c r="O133" s="49"/>
      <c r="P133" s="53"/>
      <c r="Q133" s="240"/>
    </row>
    <row r="134" spans="1:17" ht="15.75" customHeight="1" thickBot="1">
      <c r="A134" s="54" t="s">
        <v>26</v>
      </c>
      <c r="B134" s="56">
        <f>IF(SUM(B129:B133)=0," ",SUM(B129:B133))</f>
        <v>338</v>
      </c>
      <c r="C134" s="192"/>
      <c r="D134" s="193"/>
      <c r="E134" s="58"/>
      <c r="F134" s="192"/>
      <c r="G134" s="193"/>
      <c r="H134" s="194">
        <v>189</v>
      </c>
      <c r="I134" s="195"/>
      <c r="J134" s="196"/>
      <c r="K134" s="197"/>
      <c r="L134" s="197"/>
      <c r="M134" s="198"/>
      <c r="N134" s="56">
        <f>IF(SUM(N129:N133)=0," ",SUM(N129:N133))</f>
        <v>149</v>
      </c>
      <c r="O134" s="192"/>
      <c r="P134" s="193"/>
      <c r="Q134" s="241"/>
    </row>
  </sheetData>
  <protectedRanges>
    <protectedRange sqref="I7" name="año"/>
    <protectedRange sqref="O7" name="Unidad de salud"/>
    <protectedRange sqref="D8:K8" name="Nombre"/>
    <protectedRange sqref="B107:M112 B101:M105 B95:M99 B88:M93 B79:M86 B60:M65" name="APLICACIONES 2"/>
    <protectedRange sqref="K79:L86" name="INFLUENZA DESPERDICIO"/>
    <protectedRange sqref="H79:I86" name="INFLUENZA DÓSIS APLICADAS"/>
    <protectedRange sqref="K19:L23 B55:M58 B46:M52 B41:M44 B34:M38 B19:I23 B13:M17 O46:P50 B54 E54:M54 B25:M32 E40:M40 O40:P40" name="APLICACIONES 1"/>
    <protectedRange sqref="Q107:Q112 Q19:Q23 Q25:Q32 Q34:Q38 Q40:Q44 Q46:Q52 Q54:Q58 Q60:Q65 Q79:Q86 Q88:Q93 Q95:Q99 Q101:Q105" name="PEDIDO DE BIOLÓGICO"/>
    <protectedRange sqref="O19:P23 O25:P32 O34:P38 O41:P44 O51:P52 O54:P58 O79:P86 O88:P93 O95:P99 O101:P105 O107:P112 O13:P17 O60:P65" name="LOTE Y CADUCIDAD CORTE FINAL"/>
    <protectedRange sqref="Q19:Q66 Q79:Q113 Q122" name="Pedido mensual"/>
    <protectedRange sqref="C54:D54" name="LOTE Y CADUCIDAD CORTE FINAL_1"/>
    <protectedRange sqref="B117:M121 B114:G116" name="APLICACIONES 2_1"/>
    <protectedRange sqref="K114:L116 H114:I116" name="APLICACIONES 1_1"/>
    <protectedRange sqref="Q114:Q121" name="PEDIDO DE BIOLÓGICO_1"/>
    <protectedRange sqref="O114:P121" name="LOTE Y CADUCIDAD CORTE FINAL_2"/>
    <protectedRange sqref="Q114:Q121" name="Pedido mensual_1"/>
    <protectedRange sqref="Q13:Q17" name="PEDIDO DE BIOLÓGICO_2"/>
    <protectedRange sqref="Q13:Q18" name="Pedido mensual_2"/>
    <protectedRange sqref="C40:D40" name="APLICACIONES 1_2"/>
  </protectedRanges>
  <mergeCells count="328">
    <mergeCell ref="A129:A131"/>
    <mergeCell ref="H129:J129"/>
    <mergeCell ref="K129:M129"/>
    <mergeCell ref="Q129:Q134"/>
    <mergeCell ref="H130:J130"/>
    <mergeCell ref="K130:M130"/>
    <mergeCell ref="H131:J131"/>
    <mergeCell ref="K131:M131"/>
    <mergeCell ref="A132:A133"/>
    <mergeCell ref="O134:P134"/>
    <mergeCell ref="H132:J132"/>
    <mergeCell ref="K132:M132"/>
    <mergeCell ref="H133:J133"/>
    <mergeCell ref="K133:M133"/>
    <mergeCell ref="C134:D134"/>
    <mergeCell ref="F134:G134"/>
    <mergeCell ref="H134:J134"/>
    <mergeCell ref="K134:M134"/>
    <mergeCell ref="A123:A125"/>
    <mergeCell ref="H123:J123"/>
    <mergeCell ref="K123:M123"/>
    <mergeCell ref="Q123:Q128"/>
    <mergeCell ref="H124:J124"/>
    <mergeCell ref="K124:M124"/>
    <mergeCell ref="H125:J125"/>
    <mergeCell ref="K125:M125"/>
    <mergeCell ref="A126:A127"/>
    <mergeCell ref="H126:J126"/>
    <mergeCell ref="K126:M126"/>
    <mergeCell ref="H127:J127"/>
    <mergeCell ref="K127:M127"/>
    <mergeCell ref="C128:D128"/>
    <mergeCell ref="F128:G128"/>
    <mergeCell ref="H128:J128"/>
    <mergeCell ref="K128:M128"/>
    <mergeCell ref="O128:P128"/>
    <mergeCell ref="K120:M120"/>
    <mergeCell ref="H121:J121"/>
    <mergeCell ref="K121:M121"/>
    <mergeCell ref="C122:D122"/>
    <mergeCell ref="F122:G122"/>
    <mergeCell ref="H122:J122"/>
    <mergeCell ref="K122:M122"/>
    <mergeCell ref="Q114:Q122"/>
    <mergeCell ref="A117:A119"/>
    <mergeCell ref="H117:J117"/>
    <mergeCell ref="K117:M117"/>
    <mergeCell ref="H118:J118"/>
    <mergeCell ref="K118:M118"/>
    <mergeCell ref="H119:J119"/>
    <mergeCell ref="K119:M119"/>
    <mergeCell ref="A120:A121"/>
    <mergeCell ref="H120:J120"/>
    <mergeCell ref="O122:P122"/>
    <mergeCell ref="C113:D113"/>
    <mergeCell ref="F113:G113"/>
    <mergeCell ref="H113:J113"/>
    <mergeCell ref="K113:M113"/>
    <mergeCell ref="O113:P113"/>
    <mergeCell ref="A114:A116"/>
    <mergeCell ref="Q107:Q113"/>
    <mergeCell ref="H108:J108"/>
    <mergeCell ref="K108:M108"/>
    <mergeCell ref="H109:J109"/>
    <mergeCell ref="K109:M109"/>
    <mergeCell ref="A110:A112"/>
    <mergeCell ref="H110:J110"/>
    <mergeCell ref="K110:M110"/>
    <mergeCell ref="H112:J112"/>
    <mergeCell ref="K112:M112"/>
    <mergeCell ref="K111:M111"/>
    <mergeCell ref="C106:D106"/>
    <mergeCell ref="F106:G106"/>
    <mergeCell ref="H106:J106"/>
    <mergeCell ref="K106:M106"/>
    <mergeCell ref="O106:P106"/>
    <mergeCell ref="A107:A109"/>
    <mergeCell ref="H107:J107"/>
    <mergeCell ref="K107:M107"/>
    <mergeCell ref="Q101:Q106"/>
    <mergeCell ref="H102:J102"/>
    <mergeCell ref="K102:M102"/>
    <mergeCell ref="H103:J103"/>
    <mergeCell ref="K103:M103"/>
    <mergeCell ref="A104:A105"/>
    <mergeCell ref="H104:J104"/>
    <mergeCell ref="K104:M104"/>
    <mergeCell ref="H105:J105"/>
    <mergeCell ref="K105:M105"/>
    <mergeCell ref="C100:D100"/>
    <mergeCell ref="F100:G100"/>
    <mergeCell ref="H100:J100"/>
    <mergeCell ref="K100:M100"/>
    <mergeCell ref="O100:P100"/>
    <mergeCell ref="A101:A103"/>
    <mergeCell ref="H101:J101"/>
    <mergeCell ref="K101:M101"/>
    <mergeCell ref="Q95:Q100"/>
    <mergeCell ref="H96:J96"/>
    <mergeCell ref="K96:M96"/>
    <mergeCell ref="H97:J97"/>
    <mergeCell ref="K97:M97"/>
    <mergeCell ref="A98:A99"/>
    <mergeCell ref="H98:J98"/>
    <mergeCell ref="K98:M98"/>
    <mergeCell ref="H99:J99"/>
    <mergeCell ref="K99:M99"/>
    <mergeCell ref="C94:D94"/>
    <mergeCell ref="F94:G94"/>
    <mergeCell ref="H94:J94"/>
    <mergeCell ref="K94:M94"/>
    <mergeCell ref="O94:P94"/>
    <mergeCell ref="A95:A97"/>
    <mergeCell ref="H95:J95"/>
    <mergeCell ref="K95:M95"/>
    <mergeCell ref="Q88:Q94"/>
    <mergeCell ref="H90:J90"/>
    <mergeCell ref="K90:M90"/>
    <mergeCell ref="H91:J91"/>
    <mergeCell ref="K91:M91"/>
    <mergeCell ref="A92:A93"/>
    <mergeCell ref="H92:J92"/>
    <mergeCell ref="K92:M92"/>
    <mergeCell ref="H93:J93"/>
    <mergeCell ref="K93:M93"/>
    <mergeCell ref="A88:A91"/>
    <mergeCell ref="H88:J88"/>
    <mergeCell ref="K88:M88"/>
    <mergeCell ref="H89:J89"/>
    <mergeCell ref="K89:M89"/>
    <mergeCell ref="H84:J84"/>
    <mergeCell ref="K84:M84"/>
    <mergeCell ref="A85:A86"/>
    <mergeCell ref="H85:J85"/>
    <mergeCell ref="K85:M85"/>
    <mergeCell ref="H86:J86"/>
    <mergeCell ref="K86:M86"/>
    <mergeCell ref="Q76:Q78"/>
    <mergeCell ref="A79:A84"/>
    <mergeCell ref="H79:J79"/>
    <mergeCell ref="K79:M79"/>
    <mergeCell ref="Q79:Q87"/>
    <mergeCell ref="H80:J80"/>
    <mergeCell ref="K80:M80"/>
    <mergeCell ref="H81:J81"/>
    <mergeCell ref="H82:J82"/>
    <mergeCell ref="C87:D87"/>
    <mergeCell ref="F87:G87"/>
    <mergeCell ref="H87:J87"/>
    <mergeCell ref="K87:M87"/>
    <mergeCell ref="O87:P87"/>
    <mergeCell ref="H83:J83"/>
    <mergeCell ref="I73:J73"/>
    <mergeCell ref="M73:N73"/>
    <mergeCell ref="O73:P73"/>
    <mergeCell ref="A74:C74"/>
    <mergeCell ref="D74:L74"/>
    <mergeCell ref="A76:A78"/>
    <mergeCell ref="B76:D77"/>
    <mergeCell ref="E76:G77"/>
    <mergeCell ref="H76:J78"/>
    <mergeCell ref="K76:M78"/>
    <mergeCell ref="N76:P77"/>
    <mergeCell ref="A68:Q68"/>
    <mergeCell ref="A69:Q69"/>
    <mergeCell ref="A70:Q70"/>
    <mergeCell ref="L71:N71"/>
    <mergeCell ref="O71:P71"/>
    <mergeCell ref="A72:E72"/>
    <mergeCell ref="C66:D66"/>
    <mergeCell ref="F66:G66"/>
    <mergeCell ref="H66:J66"/>
    <mergeCell ref="K66:M66"/>
    <mergeCell ref="O66:P66"/>
    <mergeCell ref="A67:Q67"/>
    <mergeCell ref="Q60:Q66"/>
    <mergeCell ref="H61:J61"/>
    <mergeCell ref="K61:M61"/>
    <mergeCell ref="H63:J63"/>
    <mergeCell ref="K63:M63"/>
    <mergeCell ref="A64:A65"/>
    <mergeCell ref="H64:J64"/>
    <mergeCell ref="K64:M64"/>
    <mergeCell ref="H65:J65"/>
    <mergeCell ref="K65:M65"/>
    <mergeCell ref="H62:J62"/>
    <mergeCell ref="O59:P59"/>
    <mergeCell ref="A60:A63"/>
    <mergeCell ref="H60:J60"/>
    <mergeCell ref="K60:M60"/>
    <mergeCell ref="Q54:Q59"/>
    <mergeCell ref="H55:J55"/>
    <mergeCell ref="K55:M55"/>
    <mergeCell ref="H56:J56"/>
    <mergeCell ref="K56:M56"/>
    <mergeCell ref="A57:A58"/>
    <mergeCell ref="H57:J57"/>
    <mergeCell ref="K57:M57"/>
    <mergeCell ref="H58:J58"/>
    <mergeCell ref="K58:M58"/>
    <mergeCell ref="A54:A56"/>
    <mergeCell ref="H54:J54"/>
    <mergeCell ref="K54:M54"/>
    <mergeCell ref="A51:A52"/>
    <mergeCell ref="H51:J51"/>
    <mergeCell ref="K51:M51"/>
    <mergeCell ref="H52:J52"/>
    <mergeCell ref="K52:M52"/>
    <mergeCell ref="A46:A50"/>
    <mergeCell ref="H46:J46"/>
    <mergeCell ref="K46:M46"/>
    <mergeCell ref="C59:D59"/>
    <mergeCell ref="F59:G59"/>
    <mergeCell ref="H59:J59"/>
    <mergeCell ref="K59:M59"/>
    <mergeCell ref="H48:J48"/>
    <mergeCell ref="Q46:Q53"/>
    <mergeCell ref="H47:J47"/>
    <mergeCell ref="K47:M47"/>
    <mergeCell ref="H49:J49"/>
    <mergeCell ref="K49:M49"/>
    <mergeCell ref="H50:J50"/>
    <mergeCell ref="C53:D53"/>
    <mergeCell ref="F53:G53"/>
    <mergeCell ref="H53:J53"/>
    <mergeCell ref="K53:M53"/>
    <mergeCell ref="O53:P53"/>
    <mergeCell ref="K50:M50"/>
    <mergeCell ref="O33:P33"/>
    <mergeCell ref="O39:P39"/>
    <mergeCell ref="Q25:Q33"/>
    <mergeCell ref="H26:J26"/>
    <mergeCell ref="A40:A42"/>
    <mergeCell ref="H40:J40"/>
    <mergeCell ref="K40:M40"/>
    <mergeCell ref="Q40:Q45"/>
    <mergeCell ref="H41:J41"/>
    <mergeCell ref="K41:M41"/>
    <mergeCell ref="H42:J42"/>
    <mergeCell ref="K42:M42"/>
    <mergeCell ref="A43:A44"/>
    <mergeCell ref="H43:J43"/>
    <mergeCell ref="K43:M43"/>
    <mergeCell ref="H44:J44"/>
    <mergeCell ref="K44:M44"/>
    <mergeCell ref="C45:D45"/>
    <mergeCell ref="F45:G45"/>
    <mergeCell ref="H45:J45"/>
    <mergeCell ref="K45:M45"/>
    <mergeCell ref="O45:P45"/>
    <mergeCell ref="A34:A36"/>
    <mergeCell ref="H34:J34"/>
    <mergeCell ref="K34:M34"/>
    <mergeCell ref="Q34:Q39"/>
    <mergeCell ref="H35:J35"/>
    <mergeCell ref="K35:M35"/>
    <mergeCell ref="H36:J36"/>
    <mergeCell ref="K36:M36"/>
    <mergeCell ref="A37:A38"/>
    <mergeCell ref="H37:J37"/>
    <mergeCell ref="K37:M37"/>
    <mergeCell ref="H38:J38"/>
    <mergeCell ref="K38:M38"/>
    <mergeCell ref="C39:D39"/>
    <mergeCell ref="F39:G39"/>
    <mergeCell ref="H39:J39"/>
    <mergeCell ref="K39:M39"/>
    <mergeCell ref="K28:M28"/>
    <mergeCell ref="A29:A32"/>
    <mergeCell ref="O18:P18"/>
    <mergeCell ref="A19:A21"/>
    <mergeCell ref="Q19:Q24"/>
    <mergeCell ref="A22:A23"/>
    <mergeCell ref="C24:D24"/>
    <mergeCell ref="F24:G24"/>
    <mergeCell ref="H24:J24"/>
    <mergeCell ref="K24:M24"/>
    <mergeCell ref="O24:P24"/>
    <mergeCell ref="H29:J29"/>
    <mergeCell ref="K29:M29"/>
    <mergeCell ref="H32:J32"/>
    <mergeCell ref="K32:M32"/>
    <mergeCell ref="A25:A28"/>
    <mergeCell ref="H25:J25"/>
    <mergeCell ref="K25:M25"/>
    <mergeCell ref="C33:D33"/>
    <mergeCell ref="F33:G33"/>
    <mergeCell ref="H33:J33"/>
    <mergeCell ref="K33:M33"/>
    <mergeCell ref="A13:A15"/>
    <mergeCell ref="H13:J13"/>
    <mergeCell ref="K13:M13"/>
    <mergeCell ref="Q13:Q18"/>
    <mergeCell ref="H14:J14"/>
    <mergeCell ref="K14:M14"/>
    <mergeCell ref="H15:J15"/>
    <mergeCell ref="K15:M15"/>
    <mergeCell ref="A16:A17"/>
    <mergeCell ref="H16:J16"/>
    <mergeCell ref="K16:M16"/>
    <mergeCell ref="H17:J17"/>
    <mergeCell ref="K17:M17"/>
    <mergeCell ref="C18:D18"/>
    <mergeCell ref="F18:G18"/>
    <mergeCell ref="H18:J18"/>
    <mergeCell ref="K18:M18"/>
    <mergeCell ref="K26:M26"/>
    <mergeCell ref="H27:J27"/>
    <mergeCell ref="H28:J28"/>
    <mergeCell ref="A1:Q1"/>
    <mergeCell ref="A2:Q2"/>
    <mergeCell ref="A3:Q3"/>
    <mergeCell ref="A4:Q4"/>
    <mergeCell ref="L5:N5"/>
    <mergeCell ref="O5:P5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Q10:Q12"/>
  </mergeCells>
  <dataValidations count="1">
    <dataValidation allowBlank="1" showErrorMessage="1" sqref="H79:H86 K79:M86 I79:J80 I84:J86" xr:uid="{BE8ECFEF-4984-40F5-8ED2-7558A31A7AC5}"/>
  </dataValidations>
  <printOptions horizontalCentered="1" verticalCentered="1"/>
  <pageMargins left="0.19685039370078741" right="0.19685039370078741" top="0.19685039370078741" bottom="0.19685039370078741" header="0" footer="0"/>
  <pageSetup scale="45" fitToHeight="2" orientation="landscape" horizontalDpi="1200" verticalDpi="1200" r:id="rId1"/>
  <rowBreaks count="1" manualBreakCount="1">
    <brk id="66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AB9A-3F6A-4430-BC90-CE9A86863A26}">
  <sheetPr>
    <tabColor theme="6" tint="-0.249977111117893"/>
  </sheetPr>
  <dimension ref="A1:Q132"/>
  <sheetViews>
    <sheetView showGridLines="0" topLeftCell="A107" zoomScale="60" zoomScaleNormal="60" zoomScaleSheetLayoutView="85" workbookViewId="0">
      <selection activeCell="A133" sqref="A133:XFD13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 t="s">
        <v>44</v>
      </c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>
        <f>_xlfn.XLOOKUP(O5,[1]DATOS!A1:A12,[1]DATOS!B1:B12," ",0)</f>
        <v>30</v>
      </c>
      <c r="D7" s="6"/>
      <c r="E7" s="6" t="s">
        <v>9</v>
      </c>
      <c r="F7" s="11" t="s">
        <v>44</v>
      </c>
      <c r="G7" s="1"/>
      <c r="H7" s="8" t="s">
        <v>10</v>
      </c>
      <c r="I7" s="169">
        <v>2026</v>
      </c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127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>
        <v>168</v>
      </c>
      <c r="C13" s="21" t="s">
        <v>98</v>
      </c>
      <c r="D13" s="22">
        <v>46447</v>
      </c>
      <c r="E13" s="23">
        <v>61</v>
      </c>
      <c r="F13" s="24" t="s">
        <v>98</v>
      </c>
      <c r="G13" s="25">
        <v>46447</v>
      </c>
      <c r="H13" s="201">
        <v>405</v>
      </c>
      <c r="I13" s="202"/>
      <c r="J13" s="203"/>
      <c r="K13" s="201">
        <v>455</v>
      </c>
      <c r="L13" s="202"/>
      <c r="M13" s="203"/>
      <c r="N13" s="26">
        <f>IF((((B13+E13)*10)-(H13+K13))/10=0," ",(((B13+E13)*10)-(H13+K13))/10)</f>
        <v>143</v>
      </c>
      <c r="O13" s="26" t="s">
        <v>98</v>
      </c>
      <c r="P13" s="27">
        <v>46447</v>
      </c>
      <c r="Q13" s="204" t="s">
        <v>85</v>
      </c>
    </row>
    <row r="14" spans="1:17" ht="15" customHeight="1">
      <c r="A14" s="200"/>
      <c r="B14" s="28"/>
      <c r="C14" s="29" t="s">
        <v>61</v>
      </c>
      <c r="D14" s="30" t="s">
        <v>61</v>
      </c>
      <c r="E14" s="31"/>
      <c r="F14" s="32"/>
      <c r="G14" s="33"/>
      <c r="H14" s="207"/>
      <c r="I14" s="208"/>
      <c r="J14" s="209"/>
      <c r="K14" s="207"/>
      <c r="L14" s="208"/>
      <c r="M14" s="209"/>
      <c r="N14" s="34" t="str">
        <f>IF((((B14+E14)*10)-(H14+K14))/10=0," ",(((B14+E14)*10)-(H14+K14))/10)</f>
        <v xml:space="preserve"> </v>
      </c>
      <c r="O14" s="34" t="s">
        <v>61</v>
      </c>
      <c r="P14" s="35" t="s">
        <v>61</v>
      </c>
      <c r="Q14" s="205"/>
    </row>
    <row r="15" spans="1:17" ht="15" customHeight="1" thickBot="1">
      <c r="A15" s="200"/>
      <c r="B15" s="36"/>
      <c r="C15" s="37" t="s">
        <v>61</v>
      </c>
      <c r="D15" s="38" t="s">
        <v>61</v>
      </c>
      <c r="E15" s="39"/>
      <c r="F15" s="40"/>
      <c r="G15" s="41"/>
      <c r="H15" s="210"/>
      <c r="I15" s="211"/>
      <c r="J15" s="212"/>
      <c r="K15" s="210"/>
      <c r="L15" s="211"/>
      <c r="M15" s="212"/>
      <c r="N15" s="42" t="str">
        <f>IF((((B15+E15)*10)-(H15+K15))/10=0," ",(((B15+E15)*10)-(H15+K15))/10)</f>
        <v xml:space="preserve"> </v>
      </c>
      <c r="O15" s="42" t="s">
        <v>61</v>
      </c>
      <c r="P15" s="43" t="s">
        <v>61</v>
      </c>
      <c r="Q15" s="205"/>
    </row>
    <row r="16" spans="1:17" ht="20.100000000000001" customHeight="1">
      <c r="A16" s="213" t="s">
        <v>25</v>
      </c>
      <c r="B16" s="44">
        <v>10</v>
      </c>
      <c r="C16" s="45" t="s">
        <v>66</v>
      </c>
      <c r="D16" s="46">
        <v>45809</v>
      </c>
      <c r="E16" s="47"/>
      <c r="F16" s="45"/>
      <c r="G16" s="46"/>
      <c r="H16" s="215"/>
      <c r="I16" s="216"/>
      <c r="J16" s="217"/>
      <c r="K16" s="215"/>
      <c r="L16" s="216"/>
      <c r="M16" s="217"/>
      <c r="N16" s="44">
        <f>IF((((B16+E16)*10)-(H16+K16))/10=0," ",(((B16+E16)*10)-(H16+K16))/10)</f>
        <v>10</v>
      </c>
      <c r="O16" s="44" t="s">
        <v>66</v>
      </c>
      <c r="P16" s="48">
        <v>45809</v>
      </c>
      <c r="Q16" s="205"/>
    </row>
    <row r="17" spans="1:17" ht="20.100000000000001" customHeight="1" thickBot="1">
      <c r="A17" s="214"/>
      <c r="B17" s="49"/>
      <c r="C17" s="50"/>
      <c r="D17" s="51"/>
      <c r="E17" s="52"/>
      <c r="F17" s="50"/>
      <c r="G17" s="51"/>
      <c r="H17" s="218"/>
      <c r="I17" s="219"/>
      <c r="J17" s="220"/>
      <c r="K17" s="218"/>
      <c r="L17" s="219"/>
      <c r="M17" s="220"/>
      <c r="N17" s="49" t="str">
        <f>IF((((B17+E17)*10)-(H17+K17))/10=0," ",(((B17+E17)*10)-(H17+K17))/10)</f>
        <v xml:space="preserve"> </v>
      </c>
      <c r="O17" s="49"/>
      <c r="P17" s="53"/>
      <c r="Q17" s="205"/>
    </row>
    <row r="18" spans="1:17" ht="15" thickBot="1">
      <c r="A18" s="54" t="s">
        <v>26</v>
      </c>
      <c r="B18" s="55">
        <f>IF(SUM(B13:B17)=0," ",SUM(B13:B17))</f>
        <v>178</v>
      </c>
      <c r="C18" s="192"/>
      <c r="D18" s="193"/>
      <c r="E18" s="56">
        <f>IF(SUM(E13:E17)=0," ",SUM(E13:E17))</f>
        <v>61</v>
      </c>
      <c r="F18" s="192"/>
      <c r="G18" s="193"/>
      <c r="H18" s="194">
        <f t="shared" ref="H18:M18" si="0">IF(SUM(H13:H17)=0," ",SUM(H13:H17))</f>
        <v>405</v>
      </c>
      <c r="I18" s="195" t="str">
        <f t="shared" si="0"/>
        <v xml:space="preserve"> </v>
      </c>
      <c r="J18" s="196" t="str">
        <f t="shared" si="0"/>
        <v xml:space="preserve"> </v>
      </c>
      <c r="K18" s="221">
        <f t="shared" si="0"/>
        <v>455</v>
      </c>
      <c r="L18" s="197" t="str">
        <f t="shared" si="0"/>
        <v xml:space="preserve"> </v>
      </c>
      <c r="M18" s="198" t="str">
        <f t="shared" si="0"/>
        <v xml:space="preserve"> </v>
      </c>
      <c r="N18" s="56">
        <f>IF(SUM(N13:N17)=0," ",SUM(N13:N17))</f>
        <v>153</v>
      </c>
      <c r="O18" s="192"/>
      <c r="P18" s="193"/>
      <c r="Q18" s="206"/>
    </row>
    <row r="19" spans="1:17" ht="15" customHeight="1">
      <c r="A19" s="199" t="s">
        <v>27</v>
      </c>
      <c r="B19" s="59">
        <v>15.25</v>
      </c>
      <c r="C19" s="60">
        <v>2526240806</v>
      </c>
      <c r="D19" s="61">
        <v>46600</v>
      </c>
      <c r="E19" s="23"/>
      <c r="F19" s="24"/>
      <c r="G19" s="25"/>
      <c r="H19" s="62">
        <v>1</v>
      </c>
      <c r="I19" s="116">
        <v>46</v>
      </c>
      <c r="J19" s="64">
        <f t="shared" ref="J19:J23" si="1">(((H19/2)+(I19)))</f>
        <v>46.5</v>
      </c>
      <c r="K19" s="62"/>
      <c r="L19" s="63">
        <v>40</v>
      </c>
      <c r="M19" s="64">
        <f>(((K19/2)+(L19)))</f>
        <v>40</v>
      </c>
      <c r="N19" s="23">
        <f>IFERROR(IF((((B19+E19)*10)-(J19+M19))/10=0," ",(((B19+E19)*10)-(J19+M19))/10)," ")</f>
        <v>6.6</v>
      </c>
      <c r="O19" s="24">
        <v>2526240806</v>
      </c>
      <c r="P19" s="25">
        <v>46600</v>
      </c>
      <c r="Q19" s="199"/>
    </row>
    <row r="20" spans="1:17" ht="15" customHeight="1">
      <c r="A20" s="200"/>
      <c r="B20" s="65">
        <v>40.9</v>
      </c>
      <c r="C20" s="66">
        <v>2526241009</v>
      </c>
      <c r="D20" s="67">
        <v>46661</v>
      </c>
      <c r="E20" s="31"/>
      <c r="F20" s="32"/>
      <c r="G20" s="68"/>
      <c r="H20" s="69">
        <v>133</v>
      </c>
      <c r="I20" s="70">
        <v>104</v>
      </c>
      <c r="J20" s="71">
        <f t="shared" si="1"/>
        <v>170.5</v>
      </c>
      <c r="K20" s="69"/>
      <c r="L20" s="70">
        <v>13</v>
      </c>
      <c r="M20" s="71">
        <f t="shared" ref="M20:M23" si="2">(((K20/2)+(L20)))</f>
        <v>13</v>
      </c>
      <c r="N20" s="31">
        <f>IFERROR(IF((((B20+E20)*10)-(J20+M20))/10=0," ",(((B20+E20)*10)-(J20+M20))/10)," ")</f>
        <v>22.55</v>
      </c>
      <c r="O20" s="32">
        <v>2526241009</v>
      </c>
      <c r="P20" s="33">
        <v>46661</v>
      </c>
      <c r="Q20" s="200"/>
    </row>
    <row r="21" spans="1:17" ht="15" customHeight="1" thickBot="1">
      <c r="A21" s="200"/>
      <c r="B21" s="72"/>
      <c r="C21" s="73"/>
      <c r="D21" s="74"/>
      <c r="E21" s="39">
        <v>25</v>
      </c>
      <c r="F21" s="40">
        <v>2526250504</v>
      </c>
      <c r="G21" s="75" t="s">
        <v>142</v>
      </c>
      <c r="H21" s="76">
        <v>21</v>
      </c>
      <c r="I21" s="77">
        <v>61</v>
      </c>
      <c r="J21" s="78">
        <f t="shared" si="1"/>
        <v>71.5</v>
      </c>
      <c r="K21" s="79"/>
      <c r="L21" s="80"/>
      <c r="M21" s="78">
        <f t="shared" si="2"/>
        <v>0</v>
      </c>
      <c r="N21" s="39">
        <f>IFERROR(IF((((B21+E21)*10)-(J21+M21))/10=0," ",(((B21+E21)*10)-(J21+M21))/10)," ")</f>
        <v>17.850000000000001</v>
      </c>
      <c r="O21" s="40">
        <v>2526250504</v>
      </c>
      <c r="P21" s="41" t="s">
        <v>142</v>
      </c>
      <c r="Q21" s="200"/>
    </row>
    <row r="22" spans="1:17" ht="20.100000000000001" customHeight="1">
      <c r="A22" s="213" t="s">
        <v>25</v>
      </c>
      <c r="B22" s="44"/>
      <c r="C22" s="45"/>
      <c r="D22" s="46"/>
      <c r="E22" s="47"/>
      <c r="F22" s="45"/>
      <c r="G22" s="81"/>
      <c r="H22" s="82"/>
      <c r="I22" s="83"/>
      <c r="J22" s="84">
        <f t="shared" si="1"/>
        <v>0</v>
      </c>
      <c r="K22" s="82"/>
      <c r="L22" s="83"/>
      <c r="M22" s="84">
        <f t="shared" si="2"/>
        <v>0</v>
      </c>
      <c r="N22" s="44" t="str">
        <f>IFERROR(IF((((B22+E22)*10)-(J22+M22))/10=0," ",(((B22+E22)*10)-(J22+M22))/10)," ")</f>
        <v xml:space="preserve"> </v>
      </c>
      <c r="O22" s="44"/>
      <c r="P22" s="48"/>
      <c r="Q22" s="200"/>
    </row>
    <row r="23" spans="1:17" ht="20.100000000000001" customHeight="1" thickBot="1">
      <c r="A23" s="214"/>
      <c r="B23" s="49"/>
      <c r="C23" s="50"/>
      <c r="D23" s="51"/>
      <c r="E23" s="52"/>
      <c r="F23" s="50"/>
      <c r="G23" s="85"/>
      <c r="H23" s="86"/>
      <c r="I23" s="87"/>
      <c r="J23" s="88">
        <f t="shared" si="1"/>
        <v>0</v>
      </c>
      <c r="K23" s="86"/>
      <c r="L23" s="87"/>
      <c r="M23" s="88">
        <f t="shared" si="2"/>
        <v>0</v>
      </c>
      <c r="N23" s="49" t="str">
        <f>IFERROR(IF((((B23+E23)*10)-(J23+M23))/10=0," ",(((B23+E23)*10)-(J23+M23))/10)," ")</f>
        <v xml:space="preserve"> </v>
      </c>
      <c r="O23" s="49"/>
      <c r="P23" s="53"/>
      <c r="Q23" s="200"/>
    </row>
    <row r="24" spans="1:17" ht="15.75" customHeight="1" thickBot="1">
      <c r="A24" s="54" t="s">
        <v>26</v>
      </c>
      <c r="B24" s="89">
        <f>IF(SUM(B19:B23)=0," ",SUM(B19:B23))</f>
        <v>56.15</v>
      </c>
      <c r="C24" s="192"/>
      <c r="D24" s="193"/>
      <c r="E24" s="56">
        <f>IF(SUM(E19:E23)=0," ",SUM(E19:E23))</f>
        <v>25</v>
      </c>
      <c r="F24" s="192"/>
      <c r="G24" s="193"/>
      <c r="H24" s="224">
        <f>IF(SUM(J19:J23)=0," ",SUM(J19:J23))</f>
        <v>288.5</v>
      </c>
      <c r="I24" s="225"/>
      <c r="J24" s="226"/>
      <c r="K24" s="221">
        <f>IF(SUM(M19:M23)=0," ",SUM(M19:M23))</f>
        <v>53</v>
      </c>
      <c r="L24" s="197"/>
      <c r="M24" s="198"/>
      <c r="N24" s="56">
        <f>IF(SUM(N19:N23)=0," ",SUM(N19:N23))</f>
        <v>47</v>
      </c>
      <c r="O24" s="192"/>
      <c r="P24" s="193"/>
      <c r="Q24" s="223"/>
    </row>
    <row r="25" spans="1:17" ht="15" customHeight="1">
      <c r="A25" s="199" t="s">
        <v>28</v>
      </c>
      <c r="B25" s="59">
        <v>1320</v>
      </c>
      <c r="C25" s="60" t="s">
        <v>112</v>
      </c>
      <c r="D25" s="61">
        <v>46661</v>
      </c>
      <c r="E25" s="26">
        <v>1750</v>
      </c>
      <c r="F25" s="24" t="s">
        <v>112</v>
      </c>
      <c r="G25" s="25">
        <v>46661</v>
      </c>
      <c r="H25" s="201">
        <v>1808</v>
      </c>
      <c r="I25" s="202"/>
      <c r="J25" s="203"/>
      <c r="K25" s="201"/>
      <c r="L25" s="202"/>
      <c r="M25" s="203"/>
      <c r="N25" s="26">
        <f t="shared" ref="N25:N32" si="3">IF(((B25+E25)-(H25+K25))=0," ",((B25+E25)-(H25+K25)))</f>
        <v>1262</v>
      </c>
      <c r="O25" s="24" t="s">
        <v>112</v>
      </c>
      <c r="P25" s="25">
        <v>46661</v>
      </c>
      <c r="Q25" s="199" t="s">
        <v>139</v>
      </c>
    </row>
    <row r="26" spans="1:17" ht="15" customHeight="1">
      <c r="A26" s="200"/>
      <c r="B26" s="65">
        <v>28</v>
      </c>
      <c r="C26" s="66" t="s">
        <v>80</v>
      </c>
      <c r="D26" s="90">
        <v>46508</v>
      </c>
      <c r="E26" s="34"/>
      <c r="F26" s="32"/>
      <c r="G26" s="33"/>
      <c r="H26" s="207">
        <v>8</v>
      </c>
      <c r="I26" s="208"/>
      <c r="J26" s="209"/>
      <c r="K26" s="207"/>
      <c r="L26" s="208"/>
      <c r="M26" s="209"/>
      <c r="N26" s="34">
        <f t="shared" si="3"/>
        <v>20</v>
      </c>
      <c r="O26" s="32" t="s">
        <v>80</v>
      </c>
      <c r="P26" s="33">
        <v>46508</v>
      </c>
      <c r="Q26" s="200"/>
    </row>
    <row r="27" spans="1:17" ht="15" customHeight="1">
      <c r="A27" s="200"/>
      <c r="B27" s="72">
        <v>30</v>
      </c>
      <c r="C27" s="73" t="s">
        <v>108</v>
      </c>
      <c r="D27" s="91">
        <v>46508</v>
      </c>
      <c r="E27" s="42"/>
      <c r="F27" s="40"/>
      <c r="G27" s="41"/>
      <c r="H27" s="210">
        <v>25</v>
      </c>
      <c r="I27" s="211"/>
      <c r="J27" s="212"/>
      <c r="K27" s="119"/>
      <c r="L27" s="120"/>
      <c r="M27" s="121"/>
      <c r="N27" s="34">
        <f t="shared" si="3"/>
        <v>5</v>
      </c>
      <c r="O27" s="40" t="s">
        <v>108</v>
      </c>
      <c r="P27" s="41">
        <v>46508</v>
      </c>
      <c r="Q27" s="200"/>
    </row>
    <row r="28" spans="1:17" ht="15" customHeight="1" thickBot="1">
      <c r="A28" s="200"/>
      <c r="B28" s="72"/>
      <c r="C28" s="73"/>
      <c r="D28" s="91"/>
      <c r="E28" s="42"/>
      <c r="F28" s="40"/>
      <c r="G28" s="41"/>
      <c r="H28" s="210"/>
      <c r="I28" s="211"/>
      <c r="J28" s="212"/>
      <c r="K28" s="210"/>
      <c r="L28" s="211"/>
      <c r="M28" s="212"/>
      <c r="N28" s="42" t="str">
        <f t="shared" si="3"/>
        <v xml:space="preserve"> </v>
      </c>
      <c r="O28" s="40"/>
      <c r="P28" s="41"/>
      <c r="Q28" s="200"/>
    </row>
    <row r="29" spans="1:17" ht="20.100000000000001" customHeight="1">
      <c r="A29" s="213" t="s">
        <v>25</v>
      </c>
      <c r="B29" s="128">
        <v>114</v>
      </c>
      <c r="C29" s="117" t="s">
        <v>67</v>
      </c>
      <c r="D29" s="129">
        <v>46447</v>
      </c>
      <c r="E29" s="118"/>
      <c r="F29" s="117"/>
      <c r="G29" s="129"/>
      <c r="H29" s="215"/>
      <c r="I29" s="216"/>
      <c r="J29" s="217"/>
      <c r="K29" s="215"/>
      <c r="L29" s="216"/>
      <c r="M29" s="217"/>
      <c r="N29" s="128">
        <f t="shared" si="3"/>
        <v>114</v>
      </c>
      <c r="O29" s="128" t="s">
        <v>67</v>
      </c>
      <c r="P29" s="130">
        <v>46447</v>
      </c>
      <c r="Q29" s="200"/>
    </row>
    <row r="30" spans="1:17" ht="20.100000000000001" customHeight="1">
      <c r="A30" s="222"/>
      <c r="B30" s="147">
        <v>1</v>
      </c>
      <c r="C30" s="151" t="s">
        <v>62</v>
      </c>
      <c r="D30" s="152">
        <v>46174</v>
      </c>
      <c r="E30" s="153"/>
      <c r="F30" s="151"/>
      <c r="G30" s="152"/>
      <c r="H30" s="154"/>
      <c r="I30" s="151"/>
      <c r="J30" s="153"/>
      <c r="K30" s="154"/>
      <c r="L30" s="151"/>
      <c r="M30" s="153"/>
      <c r="N30" s="147">
        <f t="shared" si="3"/>
        <v>1</v>
      </c>
      <c r="O30" s="147" t="s">
        <v>62</v>
      </c>
      <c r="P30" s="155">
        <v>46174</v>
      </c>
      <c r="Q30" s="200"/>
    </row>
    <row r="31" spans="1:17" ht="20.100000000000001" customHeight="1">
      <c r="A31" s="222"/>
      <c r="B31" s="122">
        <v>75</v>
      </c>
      <c r="C31" s="123" t="s">
        <v>112</v>
      </c>
      <c r="D31" s="124">
        <v>46661</v>
      </c>
      <c r="E31" s="125"/>
      <c r="F31" s="123"/>
      <c r="G31" s="124"/>
      <c r="H31" s="126"/>
      <c r="I31" s="123"/>
      <c r="J31" s="125"/>
      <c r="K31" s="126"/>
      <c r="L31" s="123"/>
      <c r="M31" s="125"/>
      <c r="N31" s="131">
        <f t="shared" si="3"/>
        <v>75</v>
      </c>
      <c r="O31" s="122" t="s">
        <v>112</v>
      </c>
      <c r="P31" s="127">
        <v>46661</v>
      </c>
      <c r="Q31" s="200"/>
    </row>
    <row r="32" spans="1:17" ht="20.100000000000001" customHeight="1" thickBot="1">
      <c r="A32" s="214"/>
      <c r="B32" s="49">
        <v>175</v>
      </c>
      <c r="C32" s="50" t="s">
        <v>108</v>
      </c>
      <c r="D32" s="51">
        <v>46508</v>
      </c>
      <c r="E32" s="52"/>
      <c r="F32" s="50"/>
      <c r="G32" s="51"/>
      <c r="H32" s="218"/>
      <c r="I32" s="219"/>
      <c r="J32" s="220"/>
      <c r="K32" s="218"/>
      <c r="L32" s="219"/>
      <c r="M32" s="220"/>
      <c r="N32" s="49">
        <f t="shared" si="3"/>
        <v>175</v>
      </c>
      <c r="O32" s="49" t="s">
        <v>108</v>
      </c>
      <c r="P32" s="53">
        <v>46508</v>
      </c>
      <c r="Q32" s="200"/>
    </row>
    <row r="33" spans="1:17" ht="15.75" customHeight="1" thickBot="1">
      <c r="A33" s="54" t="s">
        <v>26</v>
      </c>
      <c r="B33" s="89">
        <f>IF(SUM(B25:B32)=0," ",SUM(B25:B32))</f>
        <v>1743</v>
      </c>
      <c r="C33" s="192"/>
      <c r="D33" s="193"/>
      <c r="E33" s="56">
        <f>IF(SUM(E25:E32)=0," ",SUM(E25:E32))</f>
        <v>1750</v>
      </c>
      <c r="F33" s="192"/>
      <c r="G33" s="193"/>
      <c r="H33" s="194">
        <f t="shared" ref="H33:M33" si="4">IF(SUM(H25:H32)=0," ",SUM(H25:H32))</f>
        <v>1841</v>
      </c>
      <c r="I33" s="195" t="str">
        <f t="shared" si="4"/>
        <v xml:space="preserve"> </v>
      </c>
      <c r="J33" s="196" t="str">
        <f t="shared" si="4"/>
        <v xml:space="preserve"> </v>
      </c>
      <c r="K33" s="197" t="str">
        <f t="shared" si="4"/>
        <v xml:space="preserve"> </v>
      </c>
      <c r="L33" s="197" t="str">
        <f t="shared" si="4"/>
        <v xml:space="preserve"> </v>
      </c>
      <c r="M33" s="198" t="str">
        <f t="shared" si="4"/>
        <v xml:space="preserve"> </v>
      </c>
      <c r="N33" s="56">
        <f>IF(SUM(N25:N32)=0," ",SUM(N25:N32))</f>
        <v>1652</v>
      </c>
      <c r="O33" s="192"/>
      <c r="P33" s="193"/>
      <c r="Q33" s="223"/>
    </row>
    <row r="34" spans="1:17" ht="15" customHeight="1">
      <c r="A34" s="199" t="s">
        <v>29</v>
      </c>
      <c r="B34" s="59">
        <v>2</v>
      </c>
      <c r="C34" s="60" t="s">
        <v>86</v>
      </c>
      <c r="D34" s="61">
        <v>46388</v>
      </c>
      <c r="E34" s="26"/>
      <c r="F34" s="24"/>
      <c r="G34" s="25"/>
      <c r="H34" s="201">
        <v>10</v>
      </c>
      <c r="I34" s="202"/>
      <c r="J34" s="203"/>
      <c r="K34" s="201"/>
      <c r="L34" s="202"/>
      <c r="M34" s="203"/>
      <c r="N34" s="26">
        <f>IF((((B34+E34)*10)-(H34+K34))/10=0," ",(((B34+E34)*10)-(H34+K34))/10)</f>
        <v>1</v>
      </c>
      <c r="O34" s="24" t="s">
        <v>86</v>
      </c>
      <c r="P34" s="25">
        <v>46388</v>
      </c>
      <c r="Q34" s="199"/>
    </row>
    <row r="35" spans="1:17" ht="15" customHeight="1">
      <c r="A35" s="200"/>
      <c r="B35" s="65">
        <v>62</v>
      </c>
      <c r="C35" s="66" t="s">
        <v>130</v>
      </c>
      <c r="D35" s="90">
        <v>46419</v>
      </c>
      <c r="E35" s="34">
        <v>45</v>
      </c>
      <c r="F35" s="32" t="s">
        <v>130</v>
      </c>
      <c r="G35" s="33">
        <v>46419</v>
      </c>
      <c r="H35" s="207">
        <v>467</v>
      </c>
      <c r="I35" s="208"/>
      <c r="J35" s="209"/>
      <c r="K35" s="207">
        <v>45</v>
      </c>
      <c r="L35" s="208"/>
      <c r="M35" s="209"/>
      <c r="N35" s="34">
        <f>IF((((B35+E35)*10)-(H35+K35))/10=0," ",(((B35+E35)*10)-(H35+K35))/10)</f>
        <v>55.8</v>
      </c>
      <c r="O35" s="32" t="s">
        <v>130</v>
      </c>
      <c r="P35" s="33">
        <v>46419</v>
      </c>
      <c r="Q35" s="200"/>
    </row>
    <row r="36" spans="1:17" ht="15" customHeight="1" thickBot="1">
      <c r="A36" s="200"/>
      <c r="B36" s="72"/>
      <c r="C36" s="73"/>
      <c r="D36" s="91"/>
      <c r="E36" s="42"/>
      <c r="F36" s="40"/>
      <c r="G36" s="41"/>
      <c r="H36" s="210"/>
      <c r="I36" s="211"/>
      <c r="J36" s="212"/>
      <c r="K36" s="210"/>
      <c r="L36" s="211"/>
      <c r="M36" s="212"/>
      <c r="N36" s="42" t="str">
        <f>IF((((B36+E36)*10)-(H36+K36))/10=0," ",(((B36+E36)*10)-(H36+K36))/10)</f>
        <v xml:space="preserve"> </v>
      </c>
      <c r="O36" s="40"/>
      <c r="P36" s="41"/>
      <c r="Q36" s="200"/>
    </row>
    <row r="37" spans="1:17" ht="20.100000000000001" customHeight="1">
      <c r="A37" s="213" t="s">
        <v>25</v>
      </c>
      <c r="B37" s="44"/>
      <c r="C37" s="45"/>
      <c r="D37" s="46"/>
      <c r="E37" s="47"/>
      <c r="F37" s="45"/>
      <c r="G37" s="46"/>
      <c r="H37" s="215"/>
      <c r="I37" s="216"/>
      <c r="J37" s="217"/>
      <c r="K37" s="215"/>
      <c r="L37" s="216"/>
      <c r="M37" s="217"/>
      <c r="N37" s="44" t="str">
        <f>IF((((B37+E37)*10)-(H37+K37))/10=0," ",(((B37+E37)*10)-(H37+K37))/10)</f>
        <v xml:space="preserve"> </v>
      </c>
      <c r="O37" s="44"/>
      <c r="P37" s="48"/>
      <c r="Q37" s="200"/>
    </row>
    <row r="38" spans="1:17" ht="20.100000000000001" customHeight="1" thickBot="1">
      <c r="A38" s="214"/>
      <c r="B38" s="49"/>
      <c r="C38" s="50"/>
      <c r="D38" s="51"/>
      <c r="E38" s="52"/>
      <c r="F38" s="50"/>
      <c r="G38" s="51"/>
      <c r="H38" s="218"/>
      <c r="I38" s="219"/>
      <c r="J38" s="220"/>
      <c r="K38" s="218"/>
      <c r="L38" s="219"/>
      <c r="M38" s="220"/>
      <c r="N38" s="49" t="str">
        <f>IF((((B38+E38)*10)-(H38+K38))/10=0," ",(((B38+E38)*10)-(H38+K38))/10)</f>
        <v xml:space="preserve"> </v>
      </c>
      <c r="O38" s="49"/>
      <c r="P38" s="53"/>
      <c r="Q38" s="200"/>
    </row>
    <row r="39" spans="1:17" ht="15.75" customHeight="1" thickBot="1">
      <c r="A39" s="54" t="s">
        <v>26</v>
      </c>
      <c r="B39" s="89">
        <f>IF(SUM(B34:B38)=0," ",SUM(B34:B38))</f>
        <v>64</v>
      </c>
      <c r="C39" s="192"/>
      <c r="D39" s="193"/>
      <c r="E39" s="56">
        <f>IF(SUM(E34:E38)=0," ",SUM(E34:E38))</f>
        <v>45</v>
      </c>
      <c r="F39" s="192"/>
      <c r="G39" s="193"/>
      <c r="H39" s="194">
        <f t="shared" ref="H39:M39" si="5">IF(SUM(H34:H38)=0," ",SUM(H34:H38))</f>
        <v>477</v>
      </c>
      <c r="I39" s="195" t="str">
        <f t="shared" si="5"/>
        <v xml:space="preserve"> </v>
      </c>
      <c r="J39" s="196" t="str">
        <f t="shared" si="5"/>
        <v xml:space="preserve"> </v>
      </c>
      <c r="K39" s="197">
        <f t="shared" si="5"/>
        <v>45</v>
      </c>
      <c r="L39" s="197" t="str">
        <f t="shared" si="5"/>
        <v xml:space="preserve"> </v>
      </c>
      <c r="M39" s="198" t="str">
        <f t="shared" si="5"/>
        <v xml:space="preserve"> </v>
      </c>
      <c r="N39" s="56">
        <f>IF(SUM(N34:N38)=0," ",SUM(N34:N38))</f>
        <v>56.8</v>
      </c>
      <c r="O39" s="192"/>
      <c r="P39" s="193"/>
      <c r="Q39" s="223"/>
    </row>
    <row r="40" spans="1:17" ht="15" customHeight="1">
      <c r="A40" s="199" t="s">
        <v>30</v>
      </c>
      <c r="B40" s="59">
        <v>650</v>
      </c>
      <c r="C40" s="60" t="s">
        <v>118</v>
      </c>
      <c r="D40" s="61">
        <v>46113</v>
      </c>
      <c r="E40" s="26">
        <v>750</v>
      </c>
      <c r="F40" s="24" t="s">
        <v>118</v>
      </c>
      <c r="G40" s="25">
        <v>46113</v>
      </c>
      <c r="H40" s="201">
        <v>954</v>
      </c>
      <c r="I40" s="202"/>
      <c r="J40" s="203"/>
      <c r="K40" s="201">
        <v>446</v>
      </c>
      <c r="L40" s="202"/>
      <c r="M40" s="203"/>
      <c r="N40" s="26" t="str">
        <f>IF(((B40+E40)-(H40+K40))=0," ",((B40+E40)-(H40+K40)))</f>
        <v xml:space="preserve"> </v>
      </c>
      <c r="O40" s="24" t="s">
        <v>118</v>
      </c>
      <c r="P40" s="25">
        <v>46113</v>
      </c>
      <c r="Q40" s="227"/>
    </row>
    <row r="41" spans="1:17" ht="15" customHeight="1">
      <c r="A41" s="200"/>
      <c r="B41" s="65"/>
      <c r="C41" s="66"/>
      <c r="D41" s="90"/>
      <c r="E41" s="34"/>
      <c r="F41" s="32"/>
      <c r="G41" s="33"/>
      <c r="H41" s="207"/>
      <c r="I41" s="208"/>
      <c r="J41" s="209"/>
      <c r="K41" s="207"/>
      <c r="L41" s="208"/>
      <c r="M41" s="209"/>
      <c r="N41" s="34" t="str">
        <f>IF(((B41+E41)-(H41+K41))=0," ",((B41+E41)-(H41+K41)))</f>
        <v xml:space="preserve"> </v>
      </c>
      <c r="O41" s="32"/>
      <c r="P41" s="33"/>
      <c r="Q41" s="228"/>
    </row>
    <row r="42" spans="1:17" ht="15" customHeight="1" thickBot="1">
      <c r="A42" s="200"/>
      <c r="B42" s="72"/>
      <c r="C42" s="73"/>
      <c r="D42" s="91"/>
      <c r="E42" s="42"/>
      <c r="F42" s="40"/>
      <c r="G42" s="41"/>
      <c r="H42" s="210"/>
      <c r="I42" s="211"/>
      <c r="J42" s="212"/>
      <c r="K42" s="210"/>
      <c r="L42" s="211"/>
      <c r="M42" s="212"/>
      <c r="N42" s="42" t="str">
        <f>IF(((B42+E42)-(H42+K42))=0," ",((B42+E42)-(H42+K42)))</f>
        <v xml:space="preserve"> </v>
      </c>
      <c r="O42" s="40"/>
      <c r="P42" s="41"/>
      <c r="Q42" s="228"/>
    </row>
    <row r="43" spans="1:17" ht="20.100000000000001" customHeight="1">
      <c r="A43" s="213" t="s">
        <v>25</v>
      </c>
      <c r="B43" s="44"/>
      <c r="C43" s="45"/>
      <c r="D43" s="46"/>
      <c r="E43" s="47"/>
      <c r="F43" s="45"/>
      <c r="G43" s="46"/>
      <c r="H43" s="215"/>
      <c r="I43" s="216"/>
      <c r="J43" s="217"/>
      <c r="K43" s="215"/>
      <c r="L43" s="216"/>
      <c r="M43" s="217"/>
      <c r="N43" s="44" t="str">
        <f>IF(((B43+E43)-(H43+K43))=0," ",((B43+E43)-(H43+K43)))</f>
        <v xml:space="preserve"> </v>
      </c>
      <c r="O43" s="44"/>
      <c r="P43" s="48"/>
      <c r="Q43" s="228"/>
    </row>
    <row r="44" spans="1:17" ht="20.100000000000001" customHeight="1" thickBot="1">
      <c r="A44" s="214"/>
      <c r="B44" s="49"/>
      <c r="C44" s="50"/>
      <c r="D44" s="51"/>
      <c r="E44" s="52"/>
      <c r="F44" s="50"/>
      <c r="G44" s="51"/>
      <c r="H44" s="218"/>
      <c r="I44" s="219"/>
      <c r="J44" s="220"/>
      <c r="K44" s="218"/>
      <c r="L44" s="219"/>
      <c r="M44" s="220"/>
      <c r="N44" s="49" t="str">
        <f>IF(((B44+E44)-(H44+K44))=0," ",((B44+E44)-(H44+K44)))</f>
        <v xml:space="preserve"> </v>
      </c>
      <c r="O44" s="49"/>
      <c r="P44" s="53"/>
      <c r="Q44" s="228"/>
    </row>
    <row r="45" spans="1:17" ht="15.75" customHeight="1" thickBot="1">
      <c r="A45" s="54" t="s">
        <v>26</v>
      </c>
      <c r="B45" s="89">
        <f>IF(SUM(B40:B44)=0," ",SUM(B40:B44))</f>
        <v>650</v>
      </c>
      <c r="C45" s="192"/>
      <c r="D45" s="193"/>
      <c r="E45" s="56">
        <f>IF(SUM(E40:E44)=0," ",SUM(E40:E44))</f>
        <v>750</v>
      </c>
      <c r="F45" s="192"/>
      <c r="G45" s="193"/>
      <c r="H45" s="194">
        <f t="shared" ref="H45:M45" si="6">IF(SUM(H40:H44)=0," ",SUM(H40:H44))</f>
        <v>954</v>
      </c>
      <c r="I45" s="195" t="str">
        <f t="shared" si="6"/>
        <v xml:space="preserve"> </v>
      </c>
      <c r="J45" s="196" t="str">
        <f t="shared" si="6"/>
        <v xml:space="preserve"> </v>
      </c>
      <c r="K45" s="197">
        <f>IF(SUM(K40:M44)=0," ",SUM(K40:K44))</f>
        <v>446</v>
      </c>
      <c r="L45" s="197" t="str">
        <f t="shared" si="6"/>
        <v xml:space="preserve"> </v>
      </c>
      <c r="M45" s="198" t="str">
        <f t="shared" si="6"/>
        <v xml:space="preserve"> </v>
      </c>
      <c r="N45" s="56" t="str">
        <f>IF(SUM(N40:N44)=0," ",SUM(N40:N44))</f>
        <v xml:space="preserve"> </v>
      </c>
      <c r="O45" s="192"/>
      <c r="P45" s="193"/>
      <c r="Q45" s="229"/>
    </row>
    <row r="46" spans="1:17" ht="16.5" customHeight="1">
      <c r="A46" s="199" t="s">
        <v>31</v>
      </c>
      <c r="B46" s="59">
        <v>6</v>
      </c>
      <c r="C46" s="60" t="s">
        <v>63</v>
      </c>
      <c r="D46" s="61">
        <v>46204</v>
      </c>
      <c r="E46" s="26"/>
      <c r="F46" s="24"/>
      <c r="G46" s="25"/>
      <c r="H46" s="201">
        <v>6</v>
      </c>
      <c r="I46" s="202"/>
      <c r="J46" s="203"/>
      <c r="K46" s="201"/>
      <c r="L46" s="202"/>
      <c r="M46" s="203"/>
      <c r="N46" s="26" t="str">
        <f t="shared" ref="N46:N51" si="7">IF(((B46+E46)-(H46+K46))=0," ",((B46+E46)-(H46+K46)))</f>
        <v xml:space="preserve"> </v>
      </c>
      <c r="O46" s="60"/>
      <c r="P46" s="61"/>
      <c r="Q46" s="199" t="s">
        <v>103</v>
      </c>
    </row>
    <row r="47" spans="1:17" ht="16.5" customHeight="1">
      <c r="A47" s="200"/>
      <c r="B47" s="92">
        <v>63</v>
      </c>
      <c r="C47" s="93" t="s">
        <v>71</v>
      </c>
      <c r="D47" s="94">
        <v>46235</v>
      </c>
      <c r="E47" s="95"/>
      <c r="F47" s="96"/>
      <c r="G47" s="97"/>
      <c r="H47" s="210">
        <v>41</v>
      </c>
      <c r="I47" s="211"/>
      <c r="J47" s="212"/>
      <c r="K47" s="210"/>
      <c r="L47" s="211"/>
      <c r="M47" s="212"/>
      <c r="N47" s="95">
        <f t="shared" si="7"/>
        <v>22</v>
      </c>
      <c r="O47" s="93" t="s">
        <v>71</v>
      </c>
      <c r="P47" s="94">
        <v>46235</v>
      </c>
      <c r="Q47" s="200"/>
    </row>
    <row r="48" spans="1:17" ht="16.5" customHeight="1">
      <c r="A48" s="200"/>
      <c r="B48" s="92">
        <v>1522</v>
      </c>
      <c r="C48" s="93" t="s">
        <v>113</v>
      </c>
      <c r="D48" s="94">
        <v>46388</v>
      </c>
      <c r="E48" s="95"/>
      <c r="F48" s="96"/>
      <c r="G48" s="97"/>
      <c r="H48" s="207">
        <v>363</v>
      </c>
      <c r="I48" s="208"/>
      <c r="J48" s="209"/>
      <c r="K48" s="207"/>
      <c r="L48" s="208"/>
      <c r="M48" s="209"/>
      <c r="N48" s="95">
        <f t="shared" si="7"/>
        <v>1159</v>
      </c>
      <c r="O48" s="93" t="s">
        <v>113</v>
      </c>
      <c r="P48" s="94">
        <v>46388</v>
      </c>
      <c r="Q48" s="200"/>
    </row>
    <row r="49" spans="1:17" ht="16.5" customHeight="1" thickBot="1">
      <c r="A49" s="200"/>
      <c r="B49" s="92">
        <v>1564</v>
      </c>
      <c r="C49" s="93" t="s">
        <v>129</v>
      </c>
      <c r="D49" s="94">
        <v>46327</v>
      </c>
      <c r="E49" s="95">
        <v>1260</v>
      </c>
      <c r="F49" s="96" t="s">
        <v>129</v>
      </c>
      <c r="G49" s="97">
        <v>46327</v>
      </c>
      <c r="H49" s="210">
        <v>948</v>
      </c>
      <c r="I49" s="211"/>
      <c r="J49" s="212"/>
      <c r="K49" s="210"/>
      <c r="L49" s="211"/>
      <c r="M49" s="212"/>
      <c r="N49" s="95">
        <f t="shared" si="7"/>
        <v>1876</v>
      </c>
      <c r="O49" s="93" t="s">
        <v>129</v>
      </c>
      <c r="P49" s="94">
        <v>46327</v>
      </c>
      <c r="Q49" s="200"/>
    </row>
    <row r="50" spans="1:17" ht="20.100000000000001" customHeight="1">
      <c r="A50" s="213" t="s">
        <v>25</v>
      </c>
      <c r="B50" s="44">
        <v>28</v>
      </c>
      <c r="C50" s="45" t="s">
        <v>63</v>
      </c>
      <c r="D50" s="46">
        <v>46204</v>
      </c>
      <c r="E50" s="47"/>
      <c r="F50" s="45"/>
      <c r="G50" s="46"/>
      <c r="H50" s="215"/>
      <c r="I50" s="216"/>
      <c r="J50" s="217"/>
      <c r="K50" s="215"/>
      <c r="L50" s="216"/>
      <c r="M50" s="217"/>
      <c r="N50" s="44">
        <f t="shared" si="7"/>
        <v>28</v>
      </c>
      <c r="O50" s="44" t="s">
        <v>63</v>
      </c>
      <c r="P50" s="48">
        <v>46204</v>
      </c>
      <c r="Q50" s="200"/>
    </row>
    <row r="51" spans="1:17" ht="20.100000000000001" customHeight="1" thickBot="1">
      <c r="A51" s="214"/>
      <c r="B51" s="49">
        <v>92</v>
      </c>
      <c r="C51" s="50" t="s">
        <v>71</v>
      </c>
      <c r="D51" s="51">
        <v>46235</v>
      </c>
      <c r="E51" s="52"/>
      <c r="F51" s="50"/>
      <c r="G51" s="51"/>
      <c r="H51" s="218"/>
      <c r="I51" s="219"/>
      <c r="J51" s="220"/>
      <c r="K51" s="218"/>
      <c r="L51" s="219"/>
      <c r="M51" s="220"/>
      <c r="N51" s="49">
        <f t="shared" si="7"/>
        <v>92</v>
      </c>
      <c r="O51" s="49" t="s">
        <v>71</v>
      </c>
      <c r="P51" s="53">
        <v>46235</v>
      </c>
      <c r="Q51" s="200"/>
    </row>
    <row r="52" spans="1:17" ht="15.75" customHeight="1" thickBot="1">
      <c r="A52" s="54" t="s">
        <v>26</v>
      </c>
      <c r="B52" s="89">
        <f>IF(SUM(B46:B51)=0," ",SUM(B46:B51))</f>
        <v>3275</v>
      </c>
      <c r="C52" s="192"/>
      <c r="D52" s="193"/>
      <c r="E52" s="56">
        <f>IF(SUM(E46:E51)=0," ",SUM(E46:E51))</f>
        <v>1260</v>
      </c>
      <c r="F52" s="192"/>
      <c r="G52" s="193"/>
      <c r="H52" s="194">
        <f t="shared" ref="H52:M52" si="8">IF(SUM(H46:H51)=0," ",SUM(H46:H51))</f>
        <v>1358</v>
      </c>
      <c r="I52" s="195" t="str">
        <f t="shared" si="8"/>
        <v xml:space="preserve"> </v>
      </c>
      <c r="J52" s="196" t="str">
        <f t="shared" si="8"/>
        <v xml:space="preserve"> </v>
      </c>
      <c r="K52" s="197" t="str">
        <f t="shared" si="8"/>
        <v xml:space="preserve"> </v>
      </c>
      <c r="L52" s="197" t="str">
        <f t="shared" si="8"/>
        <v xml:space="preserve"> </v>
      </c>
      <c r="M52" s="198" t="str">
        <f t="shared" si="8"/>
        <v xml:space="preserve"> </v>
      </c>
      <c r="N52" s="56">
        <f>IF(SUM(N46:N51)=0," ",SUM(N46:N51))</f>
        <v>3177</v>
      </c>
      <c r="O52" s="192"/>
      <c r="P52" s="193"/>
      <c r="Q52" s="223"/>
    </row>
    <row r="53" spans="1:17" ht="18" customHeight="1">
      <c r="A53" s="199" t="s">
        <v>32</v>
      </c>
      <c r="B53" s="59"/>
      <c r="C53" s="24"/>
      <c r="D53" s="25"/>
      <c r="E53" s="26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4"/>
      <c r="P53" s="25"/>
      <c r="Q53" s="204"/>
    </row>
    <row r="54" spans="1:17" ht="18" customHeight="1">
      <c r="A54" s="200"/>
      <c r="B54" s="92"/>
      <c r="C54" s="93"/>
      <c r="D54" s="94"/>
      <c r="E54" s="95"/>
      <c r="F54" s="96"/>
      <c r="G54" s="97"/>
      <c r="H54" s="207"/>
      <c r="I54" s="208"/>
      <c r="J54" s="209"/>
      <c r="K54" s="207"/>
      <c r="L54" s="208"/>
      <c r="M54" s="209"/>
      <c r="N54" s="95" t="str">
        <f>IF(((B54+E54)-(H54+K54))=0," ",((B54+E54)-(H54+K54)))</f>
        <v xml:space="preserve"> </v>
      </c>
      <c r="O54" s="96"/>
      <c r="P54" s="97"/>
      <c r="Q54" s="205"/>
    </row>
    <row r="55" spans="1:17" ht="18" customHeight="1" thickBot="1">
      <c r="A55" s="200"/>
      <c r="B55" s="92"/>
      <c r="C55" s="93"/>
      <c r="D55" s="94"/>
      <c r="E55" s="95"/>
      <c r="F55" s="96"/>
      <c r="G55" s="97"/>
      <c r="H55" s="210"/>
      <c r="I55" s="211"/>
      <c r="J55" s="212"/>
      <c r="K55" s="210"/>
      <c r="L55" s="211"/>
      <c r="M55" s="212"/>
      <c r="N55" s="95" t="str">
        <f>IF(((B55+E55)-(H55+K55))=0," ",((B55+E55)-(H55+K55)))</f>
        <v xml:space="preserve"> </v>
      </c>
      <c r="O55" s="96"/>
      <c r="P55" s="97"/>
      <c r="Q55" s="205"/>
    </row>
    <row r="56" spans="1:17" ht="20.100000000000001" customHeight="1">
      <c r="A56" s="213" t="s">
        <v>25</v>
      </c>
      <c r="B56" s="44"/>
      <c r="C56" s="45"/>
      <c r="D56" s="46"/>
      <c r="E56" s="47"/>
      <c r="F56" s="45"/>
      <c r="G56" s="46"/>
      <c r="H56" s="215"/>
      <c r="I56" s="216"/>
      <c r="J56" s="217"/>
      <c r="K56" s="215"/>
      <c r="L56" s="216"/>
      <c r="M56" s="217"/>
      <c r="N56" s="44" t="str">
        <f>IF(((B56+E56)-(H56+K56))=0," ",((B56+E56)-(H56+K56)))</f>
        <v xml:space="preserve"> </v>
      </c>
      <c r="O56" s="44"/>
      <c r="P56" s="48"/>
      <c r="Q56" s="205"/>
    </row>
    <row r="57" spans="1:17" ht="20.100000000000001" customHeight="1" thickBot="1">
      <c r="A57" s="214"/>
      <c r="B57" s="49"/>
      <c r="C57" s="50"/>
      <c r="D57" s="51"/>
      <c r="E57" s="52"/>
      <c r="F57" s="50"/>
      <c r="G57" s="51"/>
      <c r="H57" s="218"/>
      <c r="I57" s="219"/>
      <c r="J57" s="220"/>
      <c r="K57" s="218"/>
      <c r="L57" s="219"/>
      <c r="M57" s="220"/>
      <c r="N57" s="49" t="str">
        <f>IF(((B57+E57)-(H57+K57))=0," ",((B57+E57)-(H57+K57)))</f>
        <v xml:space="preserve"> </v>
      </c>
      <c r="O57" s="49"/>
      <c r="P57" s="53"/>
      <c r="Q57" s="205"/>
    </row>
    <row r="58" spans="1:17" ht="15.75" customHeight="1" thickBot="1">
      <c r="A58" s="54" t="s">
        <v>26</v>
      </c>
      <c r="B58" s="89"/>
      <c r="C58" s="192"/>
      <c r="D58" s="193"/>
      <c r="E58" s="56"/>
      <c r="F58" s="192"/>
      <c r="G58" s="193"/>
      <c r="H58" s="194" t="str">
        <f>IF(SUM(H53:J57)=0," ",SUM(H53:J57))</f>
        <v xml:space="preserve"> </v>
      </c>
      <c r="I58" s="195"/>
      <c r="J58" s="196"/>
      <c r="K58" s="197" t="str">
        <f>IF(SUM(K53:M57)=0," ",SUM(K53:M57))</f>
        <v xml:space="preserve"> </v>
      </c>
      <c r="L58" s="197"/>
      <c r="M58" s="198"/>
      <c r="N58" s="56" t="str">
        <f>IF(SUM(N53:N57)=0," ",SUM(N53:N57))</f>
        <v xml:space="preserve"> </v>
      </c>
      <c r="O58" s="192"/>
      <c r="P58" s="193"/>
      <c r="Q58" s="206"/>
    </row>
    <row r="59" spans="1:17" ht="18" customHeight="1">
      <c r="A59" s="199" t="s">
        <v>35</v>
      </c>
      <c r="B59" s="59">
        <v>9558</v>
      </c>
      <c r="C59" s="59" t="s">
        <v>83</v>
      </c>
      <c r="D59" s="61">
        <v>46113</v>
      </c>
      <c r="E59" s="26"/>
      <c r="F59" s="24"/>
      <c r="G59" s="25"/>
      <c r="H59" s="201">
        <v>3292</v>
      </c>
      <c r="I59" s="202"/>
      <c r="J59" s="203"/>
      <c r="K59" s="201">
        <v>6266</v>
      </c>
      <c r="L59" s="202"/>
      <c r="M59" s="203"/>
      <c r="N59" s="26" t="str">
        <f t="shared" ref="N59:N64" si="9">IF(((B59+E59)-(H59+K59))=0," ",((B59+E59)-(H59+K59)))</f>
        <v xml:space="preserve"> </v>
      </c>
      <c r="O59" s="24" t="s">
        <v>83</v>
      </c>
      <c r="P59" s="25">
        <v>46113</v>
      </c>
      <c r="Q59" s="199" t="s">
        <v>85</v>
      </c>
    </row>
    <row r="60" spans="1:17" ht="18" customHeight="1">
      <c r="A60" s="200"/>
      <c r="B60" s="92">
        <v>25</v>
      </c>
      <c r="C60" s="92" t="s">
        <v>94</v>
      </c>
      <c r="D60" s="94">
        <v>46113</v>
      </c>
      <c r="E60" s="95"/>
      <c r="F60" s="96"/>
      <c r="G60" s="97"/>
      <c r="H60" s="210">
        <v>24</v>
      </c>
      <c r="I60" s="211"/>
      <c r="J60" s="212"/>
      <c r="K60" s="210">
        <v>1</v>
      </c>
      <c r="L60" s="211"/>
      <c r="M60" s="212"/>
      <c r="N60" s="95" t="str">
        <f t="shared" si="9"/>
        <v xml:space="preserve"> </v>
      </c>
      <c r="O60" s="96" t="s">
        <v>94</v>
      </c>
      <c r="P60" s="97">
        <v>46113</v>
      </c>
      <c r="Q60" s="200"/>
    </row>
    <row r="61" spans="1:17" ht="18" customHeight="1">
      <c r="A61" s="200"/>
      <c r="B61" s="65">
        <v>402</v>
      </c>
      <c r="C61" s="65" t="s">
        <v>114</v>
      </c>
      <c r="D61" s="90">
        <v>46113</v>
      </c>
      <c r="E61" s="34"/>
      <c r="F61" s="32"/>
      <c r="G61" s="33"/>
      <c r="H61" s="207">
        <v>114</v>
      </c>
      <c r="I61" s="208"/>
      <c r="J61" s="209"/>
      <c r="K61" s="207">
        <v>288</v>
      </c>
      <c r="L61" s="208"/>
      <c r="M61" s="209"/>
      <c r="N61" s="34" t="str">
        <f t="shared" si="9"/>
        <v xml:space="preserve"> </v>
      </c>
      <c r="O61" s="32" t="s">
        <v>114</v>
      </c>
      <c r="P61" s="33">
        <v>46113</v>
      </c>
      <c r="Q61" s="200"/>
    </row>
    <row r="62" spans="1:17" ht="18" customHeight="1" thickBot="1">
      <c r="A62" s="200"/>
      <c r="B62" s="72">
        <v>8746</v>
      </c>
      <c r="C62" s="72" t="s">
        <v>131</v>
      </c>
      <c r="D62" s="91">
        <v>46539</v>
      </c>
      <c r="E62" s="42">
        <v>1200</v>
      </c>
      <c r="F62" s="40" t="s">
        <v>131</v>
      </c>
      <c r="G62" s="41">
        <v>46539</v>
      </c>
      <c r="H62" s="230">
        <v>1013</v>
      </c>
      <c r="I62" s="231"/>
      <c r="J62" s="232"/>
      <c r="K62" s="230"/>
      <c r="L62" s="231"/>
      <c r="M62" s="232"/>
      <c r="N62" s="42">
        <f t="shared" si="9"/>
        <v>8933</v>
      </c>
      <c r="O62" s="40" t="s">
        <v>131</v>
      </c>
      <c r="P62" s="41">
        <v>46539</v>
      </c>
      <c r="Q62" s="200"/>
    </row>
    <row r="63" spans="1:17" ht="20.100000000000001" customHeight="1">
      <c r="A63" s="213" t="s">
        <v>25</v>
      </c>
      <c r="B63" s="44">
        <v>574</v>
      </c>
      <c r="C63" s="47" t="s">
        <v>57</v>
      </c>
      <c r="D63" s="48">
        <v>44713</v>
      </c>
      <c r="E63" s="47"/>
      <c r="F63" s="45"/>
      <c r="G63" s="46"/>
      <c r="H63" s="215"/>
      <c r="I63" s="216"/>
      <c r="J63" s="217"/>
      <c r="K63" s="215"/>
      <c r="L63" s="216"/>
      <c r="M63" s="217"/>
      <c r="N63" s="44">
        <f t="shared" si="9"/>
        <v>574</v>
      </c>
      <c r="O63" s="44" t="s">
        <v>57</v>
      </c>
      <c r="P63" s="48">
        <v>44713</v>
      </c>
      <c r="Q63" s="200"/>
    </row>
    <row r="64" spans="1:17" ht="20.100000000000001" customHeight="1" thickBot="1">
      <c r="A64" s="214"/>
      <c r="B64" s="49"/>
      <c r="C64" s="52"/>
      <c r="D64" s="53"/>
      <c r="E64" s="52"/>
      <c r="F64" s="50"/>
      <c r="G64" s="51"/>
      <c r="H64" s="218"/>
      <c r="I64" s="219"/>
      <c r="J64" s="220"/>
      <c r="K64" s="218"/>
      <c r="L64" s="219"/>
      <c r="M64" s="220"/>
      <c r="N64" s="49" t="str">
        <f t="shared" si="9"/>
        <v xml:space="preserve"> </v>
      </c>
      <c r="O64" s="49"/>
      <c r="P64" s="53"/>
      <c r="Q64" s="200"/>
    </row>
    <row r="65" spans="1:17" ht="15.75" customHeight="1" thickBot="1">
      <c r="A65" s="54" t="s">
        <v>26</v>
      </c>
      <c r="B65" s="89">
        <f>IF(SUM(B59:B64)=0," ",SUM(B59:B64))</f>
        <v>19305</v>
      </c>
      <c r="C65" s="192"/>
      <c r="D65" s="193"/>
      <c r="E65" s="56">
        <f>IF(SUM(E59:E64)=0," ",SUM(E59:E64))</f>
        <v>1200</v>
      </c>
      <c r="F65" s="192"/>
      <c r="G65" s="193"/>
      <c r="H65" s="194">
        <f>IF(SUM(H59:J64)=0," ",SUM(H59:J64))</f>
        <v>4443</v>
      </c>
      <c r="I65" s="195"/>
      <c r="J65" s="196"/>
      <c r="K65" s="197">
        <f>IF(SUM(K59:M64)=0," ",SUM(K59:M64))</f>
        <v>6555</v>
      </c>
      <c r="L65" s="197"/>
      <c r="M65" s="198"/>
      <c r="N65" s="56">
        <f>IF(SUM(N59:N64)=0," ",SUM(N59:N64))</f>
        <v>9507</v>
      </c>
      <c r="O65" s="192"/>
      <c r="P65" s="193"/>
      <c r="Q65" s="223"/>
    </row>
    <row r="66" spans="1:17">
      <c r="A66" s="167" t="s">
        <v>33</v>
      </c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</row>
    <row r="67" spans="1:17">
      <c r="A67" s="167" t="s">
        <v>1</v>
      </c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</row>
    <row r="68" spans="1:17">
      <c r="A68" s="167" t="s">
        <v>2</v>
      </c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</row>
    <row r="69" spans="1:17">
      <c r="A69" s="167" t="s">
        <v>3</v>
      </c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</row>
    <row r="70" spans="1:17" ht="15" customHeight="1">
      <c r="A70" s="3" t="s">
        <v>4</v>
      </c>
      <c r="B70" s="13"/>
      <c r="C70" s="13"/>
      <c r="D70" s="13"/>
      <c r="E70" s="13"/>
      <c r="H70" s="5"/>
      <c r="I70" s="5"/>
      <c r="J70" s="5"/>
      <c r="K70" s="5"/>
      <c r="L70" s="168" t="s">
        <v>5</v>
      </c>
      <c r="M70" s="168"/>
      <c r="N70" s="168"/>
      <c r="O70" s="169" t="str">
        <f>IF(O5=0," ",O5)</f>
        <v>ABRIL</v>
      </c>
      <c r="P70" s="169"/>
      <c r="Q70" s="8"/>
    </row>
    <row r="71" spans="1:17">
      <c r="A71" s="187" t="s">
        <v>6</v>
      </c>
      <c r="B71" s="187"/>
      <c r="C71" s="187"/>
      <c r="D71" s="187"/>
      <c r="E71" s="187"/>
      <c r="N71" s="9"/>
      <c r="O71" s="9"/>
      <c r="P71" s="9"/>
      <c r="Q71" s="8"/>
    </row>
    <row r="72" spans="1:17">
      <c r="A72" s="7" t="s">
        <v>7</v>
      </c>
      <c r="B72" s="6" t="s">
        <v>8</v>
      </c>
      <c r="C72" s="10">
        <f>IF(C7=0," ",C7)</f>
        <v>30</v>
      </c>
      <c r="D72" s="6"/>
      <c r="E72" s="6" t="s">
        <v>9</v>
      </c>
      <c r="F72" s="11" t="str">
        <f>O70</f>
        <v>ABRIL</v>
      </c>
      <c r="G72" s="1"/>
      <c r="H72" s="8" t="s">
        <v>10</v>
      </c>
      <c r="I72" s="169">
        <f>IF(I7=0," ",I7)</f>
        <v>2026</v>
      </c>
      <c r="J72" s="169"/>
      <c r="K72" s="12"/>
      <c r="L72" s="12"/>
      <c r="M72" s="168" t="s">
        <v>11</v>
      </c>
      <c r="N72" s="168"/>
      <c r="O72" s="169" t="str">
        <f>IF(O7=0," ",O7)</f>
        <v>QUERÉTARO</v>
      </c>
      <c r="P72" s="169"/>
    </row>
    <row r="73" spans="1:17">
      <c r="A73" s="188" t="s">
        <v>34</v>
      </c>
      <c r="B73" s="188"/>
      <c r="C73" s="188"/>
      <c r="D73" s="189" t="str">
        <f>IF(D8=0," ",D8)</f>
        <v>MAIS. ANA MARÍA RAMÍREZ MUNGUÍA</v>
      </c>
      <c r="E73" s="189"/>
      <c r="F73" s="189"/>
      <c r="G73" s="189"/>
      <c r="H73" s="189"/>
      <c r="I73" s="189"/>
      <c r="J73" s="189"/>
      <c r="K73" s="189"/>
      <c r="L73" s="189"/>
    </row>
    <row r="74" spans="1:17" ht="15" thickBot="1">
      <c r="A74" s="8" t="s">
        <v>13</v>
      </c>
      <c r="B74" s="13"/>
      <c r="C74" s="13"/>
      <c r="D74" s="13"/>
      <c r="E74" s="13"/>
    </row>
    <row r="75" spans="1:17" ht="22.5" customHeight="1" thickBot="1">
      <c r="A75" s="170" t="s">
        <v>14</v>
      </c>
      <c r="B75" s="171" t="s">
        <v>15</v>
      </c>
      <c r="C75" s="172"/>
      <c r="D75" s="172"/>
      <c r="E75" s="171" t="s">
        <v>16</v>
      </c>
      <c r="F75" s="175"/>
      <c r="G75" s="176"/>
      <c r="H75" s="180" t="s">
        <v>17</v>
      </c>
      <c r="I75" s="175"/>
      <c r="J75" s="176"/>
      <c r="K75" s="171" t="s">
        <v>18</v>
      </c>
      <c r="L75" s="175"/>
      <c r="M75" s="176"/>
      <c r="N75" s="171" t="s">
        <v>19</v>
      </c>
      <c r="O75" s="175"/>
      <c r="P75" s="176"/>
      <c r="Q75" s="190" t="s">
        <v>20</v>
      </c>
    </row>
    <row r="76" spans="1:17" ht="22.5" customHeight="1" thickBot="1">
      <c r="A76" s="170"/>
      <c r="B76" s="173"/>
      <c r="C76" s="174"/>
      <c r="D76" s="174"/>
      <c r="E76" s="177"/>
      <c r="F76" s="178"/>
      <c r="G76" s="179"/>
      <c r="H76" s="181"/>
      <c r="I76" s="182"/>
      <c r="J76" s="183"/>
      <c r="K76" s="181"/>
      <c r="L76" s="182"/>
      <c r="M76" s="183"/>
      <c r="N76" s="177"/>
      <c r="O76" s="178"/>
      <c r="P76" s="179"/>
      <c r="Q76" s="191"/>
    </row>
    <row r="77" spans="1:17" ht="18" customHeight="1" thickBot="1">
      <c r="A77" s="170"/>
      <c r="B77" s="98" t="s">
        <v>21</v>
      </c>
      <c r="C77" s="99" t="s">
        <v>22</v>
      </c>
      <c r="D77" s="100" t="s">
        <v>23</v>
      </c>
      <c r="E77" s="101" t="s">
        <v>21</v>
      </c>
      <c r="F77" s="102" t="s">
        <v>22</v>
      </c>
      <c r="G77" s="103" t="s">
        <v>23</v>
      </c>
      <c r="H77" s="184"/>
      <c r="I77" s="185"/>
      <c r="J77" s="186"/>
      <c r="K77" s="184"/>
      <c r="L77" s="185"/>
      <c r="M77" s="186"/>
      <c r="N77" s="101" t="s">
        <v>21</v>
      </c>
      <c r="O77" s="102" t="s">
        <v>22</v>
      </c>
      <c r="P77" s="103" t="s">
        <v>23</v>
      </c>
      <c r="Q77" s="191"/>
    </row>
    <row r="78" spans="1:17" ht="18.95" customHeight="1">
      <c r="A78" s="199" t="s">
        <v>36</v>
      </c>
      <c r="B78" s="59">
        <v>16.8</v>
      </c>
      <c r="C78" s="59" t="s">
        <v>96</v>
      </c>
      <c r="D78" s="61">
        <v>46204</v>
      </c>
      <c r="E78" s="26"/>
      <c r="F78" s="24"/>
      <c r="G78" s="104"/>
      <c r="H78" s="236">
        <v>88</v>
      </c>
      <c r="I78" s="237"/>
      <c r="J78" s="238"/>
      <c r="K78" s="236">
        <v>80</v>
      </c>
      <c r="L78" s="237"/>
      <c r="M78" s="238"/>
      <c r="N78" s="23" t="str">
        <f t="shared" ref="N78:N84" si="10">IF((((B78+E78)*10)-(H78+K78))/10=0," ",(((B78+E78)*10)-(H78+K78))/10)</f>
        <v xml:space="preserve"> </v>
      </c>
      <c r="O78" s="24" t="s">
        <v>96</v>
      </c>
      <c r="P78" s="25">
        <v>46204</v>
      </c>
      <c r="Q78" s="239"/>
    </row>
    <row r="79" spans="1:17" ht="18.95" customHeight="1">
      <c r="A79" s="200"/>
      <c r="B79" s="92">
        <v>108.9</v>
      </c>
      <c r="C79" s="92" t="s">
        <v>97</v>
      </c>
      <c r="D79" s="94">
        <v>46204</v>
      </c>
      <c r="E79" s="95"/>
      <c r="F79" s="96"/>
      <c r="G79" s="105"/>
      <c r="H79" s="210">
        <v>573</v>
      </c>
      <c r="I79" s="211"/>
      <c r="J79" s="212"/>
      <c r="K79" s="210">
        <v>516</v>
      </c>
      <c r="L79" s="211"/>
      <c r="M79" s="212"/>
      <c r="N79" s="106" t="str">
        <f t="shared" si="10"/>
        <v xml:space="preserve"> </v>
      </c>
      <c r="O79" s="96" t="s">
        <v>97</v>
      </c>
      <c r="P79" s="97">
        <v>46204</v>
      </c>
      <c r="Q79" s="240"/>
    </row>
    <row r="80" spans="1:17" ht="18.95" customHeight="1">
      <c r="A80" s="200"/>
      <c r="B80" s="65">
        <v>371.2</v>
      </c>
      <c r="C80" s="65" t="s">
        <v>110</v>
      </c>
      <c r="D80" s="90">
        <v>46266</v>
      </c>
      <c r="E80" s="34"/>
      <c r="F80" s="32"/>
      <c r="G80" s="133"/>
      <c r="H80" s="210">
        <v>3634</v>
      </c>
      <c r="I80" s="211"/>
      <c r="J80" s="212"/>
      <c r="K80" s="210"/>
      <c r="L80" s="211"/>
      <c r="M80" s="212"/>
      <c r="N80" s="106">
        <f t="shared" si="10"/>
        <v>7.8</v>
      </c>
      <c r="O80" s="32" t="s">
        <v>110</v>
      </c>
      <c r="P80" s="33">
        <v>46266</v>
      </c>
      <c r="Q80" s="240"/>
    </row>
    <row r="81" spans="1:17" ht="18.95" customHeight="1">
      <c r="A81" s="200"/>
      <c r="B81" s="65">
        <v>688</v>
      </c>
      <c r="C81" s="65" t="s">
        <v>111</v>
      </c>
      <c r="D81" s="90">
        <v>46235</v>
      </c>
      <c r="E81" s="34"/>
      <c r="F81" s="32"/>
      <c r="G81" s="133"/>
      <c r="H81" s="210"/>
      <c r="I81" s="211"/>
      <c r="J81" s="212"/>
      <c r="K81" s="119"/>
      <c r="L81" s="120"/>
      <c r="M81" s="121"/>
      <c r="N81" s="106">
        <f t="shared" si="10"/>
        <v>688</v>
      </c>
      <c r="O81" s="32" t="s">
        <v>111</v>
      </c>
      <c r="P81" s="33">
        <v>46235</v>
      </c>
      <c r="Q81" s="240"/>
    </row>
    <row r="82" spans="1:17" ht="18.95" customHeight="1" thickBot="1">
      <c r="A82" s="200"/>
      <c r="B82" s="107"/>
      <c r="C82" s="107"/>
      <c r="D82" s="132"/>
      <c r="E82" s="108"/>
      <c r="F82" s="109"/>
      <c r="G82" s="110"/>
      <c r="H82" s="184"/>
      <c r="I82" s="185"/>
      <c r="J82" s="186"/>
      <c r="K82" s="184"/>
      <c r="L82" s="185"/>
      <c r="M82" s="186"/>
      <c r="N82" s="111" t="str">
        <f t="shared" si="10"/>
        <v xml:space="preserve"> </v>
      </c>
      <c r="O82" s="109"/>
      <c r="P82" s="112"/>
      <c r="Q82" s="240"/>
    </row>
    <row r="83" spans="1:17" ht="20.100000000000001" customHeight="1">
      <c r="A83" s="213" t="s">
        <v>25</v>
      </c>
      <c r="B83" s="44"/>
      <c r="C83" s="47"/>
      <c r="D83" s="47"/>
      <c r="E83" s="47"/>
      <c r="F83" s="45"/>
      <c r="G83" s="81"/>
      <c r="H83" s="215"/>
      <c r="I83" s="216"/>
      <c r="J83" s="217"/>
      <c r="K83" s="215"/>
      <c r="L83" s="216"/>
      <c r="M83" s="217"/>
      <c r="N83" s="47" t="str">
        <f t="shared" si="10"/>
        <v xml:space="preserve"> </v>
      </c>
      <c r="O83" s="44"/>
      <c r="P83" s="48"/>
      <c r="Q83" s="240"/>
    </row>
    <row r="84" spans="1:17" ht="20.100000000000001" customHeight="1" thickBot="1">
      <c r="A84" s="214"/>
      <c r="B84" s="49"/>
      <c r="C84" s="52"/>
      <c r="D84" s="52"/>
      <c r="E84" s="52"/>
      <c r="F84" s="50"/>
      <c r="G84" s="85"/>
      <c r="H84" s="233"/>
      <c r="I84" s="234"/>
      <c r="J84" s="235"/>
      <c r="K84" s="233"/>
      <c r="L84" s="234"/>
      <c r="M84" s="235"/>
      <c r="N84" s="52" t="str">
        <f t="shared" si="10"/>
        <v xml:space="preserve"> </v>
      </c>
      <c r="O84" s="49"/>
      <c r="P84" s="53"/>
      <c r="Q84" s="240"/>
    </row>
    <row r="85" spans="1:17" ht="15.75" customHeight="1" thickBot="1">
      <c r="A85" s="54" t="s">
        <v>26</v>
      </c>
      <c r="B85" s="57">
        <f>IF(SUM(B78:B84)=0," ",SUM(B78:B84))</f>
        <v>1184.9000000000001</v>
      </c>
      <c r="C85" s="192"/>
      <c r="D85" s="193"/>
      <c r="E85" s="56"/>
      <c r="F85" s="192"/>
      <c r="G85" s="193"/>
      <c r="H85" s="194">
        <f>IF(SUM(H78:J84)=0," ",SUM(H78:J84))</f>
        <v>4295</v>
      </c>
      <c r="I85" s="195"/>
      <c r="J85" s="196"/>
      <c r="K85" s="194">
        <f>IF(SUM(K78:M84)=0," ",SUM(K78:M84))</f>
        <v>596</v>
      </c>
      <c r="L85" s="195"/>
      <c r="M85" s="196"/>
      <c r="N85" s="56">
        <f>IF(SUM(N78:N84)=0," ",SUM(N78:N84))</f>
        <v>695.8</v>
      </c>
      <c r="O85" s="192"/>
      <c r="P85" s="193"/>
      <c r="Q85" s="241"/>
    </row>
    <row r="86" spans="1:17" ht="18" customHeight="1">
      <c r="A86" s="199" t="s">
        <v>37</v>
      </c>
      <c r="B86" s="156">
        <v>1</v>
      </c>
      <c r="C86" s="162" t="s">
        <v>81</v>
      </c>
      <c r="D86" s="163">
        <v>46539</v>
      </c>
      <c r="E86" s="23"/>
      <c r="F86" s="26"/>
      <c r="G86" s="27"/>
      <c r="H86" s="201"/>
      <c r="I86" s="202"/>
      <c r="J86" s="203"/>
      <c r="K86" s="201"/>
      <c r="L86" s="202"/>
      <c r="M86" s="203"/>
      <c r="N86" s="160">
        <f t="shared" ref="N86:N91" si="11">IF((((B86+E86)*10)-(H86+K86))/10=0," ",(((B86+E86)*10)-(H86+K86))/10)</f>
        <v>1</v>
      </c>
      <c r="O86" s="158" t="s">
        <v>81</v>
      </c>
      <c r="P86" s="161">
        <v>46539</v>
      </c>
      <c r="Q86" s="204" t="s">
        <v>140</v>
      </c>
    </row>
    <row r="87" spans="1:17" ht="18" customHeight="1">
      <c r="A87" s="200"/>
      <c r="B87" s="92">
        <v>344</v>
      </c>
      <c r="C87" s="93" t="s">
        <v>119</v>
      </c>
      <c r="D87" s="159"/>
      <c r="E87" s="96"/>
      <c r="F87" s="95"/>
      <c r="G87" s="114"/>
      <c r="H87" s="207">
        <v>237</v>
      </c>
      <c r="I87" s="208"/>
      <c r="J87" s="209"/>
      <c r="K87" s="207">
        <v>133</v>
      </c>
      <c r="L87" s="208"/>
      <c r="M87" s="209"/>
      <c r="N87" s="95">
        <f t="shared" si="11"/>
        <v>307</v>
      </c>
      <c r="O87" s="96" t="s">
        <v>119</v>
      </c>
      <c r="P87" s="97">
        <v>46784</v>
      </c>
      <c r="Q87" s="205"/>
    </row>
    <row r="88" spans="1:17" ht="18" customHeight="1">
      <c r="A88" s="200"/>
      <c r="B88" s="92">
        <v>742</v>
      </c>
      <c r="C88" s="93" t="s">
        <v>120</v>
      </c>
      <c r="D88" s="159"/>
      <c r="E88" s="96"/>
      <c r="F88" s="95"/>
      <c r="G88" s="114"/>
      <c r="H88" s="210"/>
      <c r="I88" s="211"/>
      <c r="J88" s="212"/>
      <c r="K88" s="210"/>
      <c r="L88" s="211"/>
      <c r="M88" s="212"/>
      <c r="N88" s="95">
        <f t="shared" si="11"/>
        <v>742</v>
      </c>
      <c r="O88" s="96" t="s">
        <v>120</v>
      </c>
      <c r="P88" s="97">
        <v>46813</v>
      </c>
      <c r="Q88" s="205"/>
    </row>
    <row r="89" spans="1:17" ht="18" customHeight="1" thickBot="1">
      <c r="A89" s="200"/>
      <c r="B89" s="92"/>
      <c r="C89" s="93"/>
      <c r="D89" s="94"/>
      <c r="E89" s="96">
        <v>47</v>
      </c>
      <c r="F89" s="95" t="s">
        <v>145</v>
      </c>
      <c r="G89" s="114">
        <v>46784</v>
      </c>
      <c r="H89" s="210">
        <v>16</v>
      </c>
      <c r="I89" s="211"/>
      <c r="J89" s="212"/>
      <c r="K89" s="210">
        <v>24</v>
      </c>
      <c r="L89" s="211"/>
      <c r="M89" s="212"/>
      <c r="N89" s="95">
        <f t="shared" si="11"/>
        <v>43</v>
      </c>
      <c r="O89" s="96" t="s">
        <v>145</v>
      </c>
      <c r="P89" s="97">
        <v>46784</v>
      </c>
      <c r="Q89" s="205"/>
    </row>
    <row r="90" spans="1:17" ht="20.100000000000001" customHeight="1">
      <c r="A90" s="213" t="s">
        <v>25</v>
      </c>
      <c r="B90" s="44">
        <v>1</v>
      </c>
      <c r="C90" s="45" t="s">
        <v>81</v>
      </c>
      <c r="D90" s="46">
        <v>46539</v>
      </c>
      <c r="E90" s="47"/>
      <c r="F90" s="45"/>
      <c r="G90" s="46"/>
      <c r="H90" s="215"/>
      <c r="I90" s="216"/>
      <c r="J90" s="217"/>
      <c r="K90" s="215"/>
      <c r="L90" s="216"/>
      <c r="M90" s="217"/>
      <c r="N90" s="44">
        <f t="shared" si="11"/>
        <v>1</v>
      </c>
      <c r="O90" s="44" t="s">
        <v>81</v>
      </c>
      <c r="P90" s="48">
        <v>46539</v>
      </c>
      <c r="Q90" s="205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1"/>
        <v xml:space="preserve"> </v>
      </c>
      <c r="O91" s="49"/>
      <c r="P91" s="53"/>
      <c r="Q91" s="205"/>
    </row>
    <row r="92" spans="1:17" ht="15.75" customHeight="1" thickBot="1">
      <c r="A92" s="115" t="s">
        <v>26</v>
      </c>
      <c r="B92" s="56">
        <f>IF(SUM(B86:B91)=0," ",SUM(B86:B91))</f>
        <v>1088</v>
      </c>
      <c r="C92" s="192"/>
      <c r="D92" s="193"/>
      <c r="E92" s="58">
        <f>IF(SUM(E86:E91)=0," ",SUM(E86:E91))</f>
        <v>47</v>
      </c>
      <c r="F92" s="192"/>
      <c r="G92" s="193"/>
      <c r="H92" s="194">
        <f>IF(SUM(H86:J91)=0," ",SUM(H86:J91))</f>
        <v>253</v>
      </c>
      <c r="I92" s="195"/>
      <c r="J92" s="196"/>
      <c r="K92" s="197">
        <f>IF(SUM(K86:M91)=0," ",SUM(K86:M91))</f>
        <v>157</v>
      </c>
      <c r="L92" s="197"/>
      <c r="M92" s="198"/>
      <c r="N92" s="56">
        <f>IF(SUM(N86:N91)=0," ",SUM(N86:N91))</f>
        <v>1094</v>
      </c>
      <c r="O92" s="192"/>
      <c r="P92" s="193"/>
      <c r="Q92" s="206"/>
    </row>
    <row r="93" spans="1:17">
      <c r="A93" s="199" t="s">
        <v>38</v>
      </c>
      <c r="B93" s="59">
        <v>161</v>
      </c>
      <c r="C93" s="60" t="s">
        <v>84</v>
      </c>
      <c r="D93" s="61">
        <v>46631</v>
      </c>
      <c r="E93" s="24"/>
      <c r="F93" s="26"/>
      <c r="G93" s="27"/>
      <c r="H93" s="201">
        <v>10</v>
      </c>
      <c r="I93" s="202"/>
      <c r="J93" s="203"/>
      <c r="K93" s="201"/>
      <c r="L93" s="202"/>
      <c r="M93" s="203"/>
      <c r="N93" s="26">
        <f>IF(((B93+E93)-(H93+K93))=0," ",((B93+E93)-(H93+K93)))</f>
        <v>151</v>
      </c>
      <c r="O93" s="24" t="s">
        <v>84</v>
      </c>
      <c r="P93" s="25">
        <v>46631</v>
      </c>
      <c r="Q93" s="204" t="s">
        <v>141</v>
      </c>
    </row>
    <row r="94" spans="1:17" ht="15" customHeight="1">
      <c r="A94" s="200"/>
      <c r="B94" s="92">
        <v>292</v>
      </c>
      <c r="C94" s="93" t="s">
        <v>87</v>
      </c>
      <c r="D94" s="94">
        <v>46722</v>
      </c>
      <c r="E94" s="96"/>
      <c r="F94" s="95"/>
      <c r="G94" s="114"/>
      <c r="H94" s="207">
        <v>19</v>
      </c>
      <c r="I94" s="208"/>
      <c r="J94" s="209"/>
      <c r="K94" s="207"/>
      <c r="L94" s="208"/>
      <c r="M94" s="209"/>
      <c r="N94" s="95">
        <f>IF(((B94+E94)-(H94+K94))=0," ",((B94+E94)-(H94+K94)))</f>
        <v>273</v>
      </c>
      <c r="O94" s="96" t="s">
        <v>87</v>
      </c>
      <c r="P94" s="97">
        <v>46722</v>
      </c>
      <c r="Q94" s="205"/>
    </row>
    <row r="95" spans="1:17" ht="15" thickBot="1">
      <c r="A95" s="200"/>
      <c r="B95" s="92"/>
      <c r="C95" s="93" t="s">
        <v>61</v>
      </c>
      <c r="D95" s="92" t="s">
        <v>61</v>
      </c>
      <c r="E95" s="96"/>
      <c r="F95" s="95"/>
      <c r="G95" s="114"/>
      <c r="H95" s="210"/>
      <c r="I95" s="211"/>
      <c r="J95" s="212"/>
      <c r="K95" s="210"/>
      <c r="L95" s="211"/>
      <c r="M95" s="212"/>
      <c r="N95" s="95" t="str">
        <f>IF(((B95+E95)-(H95+K95))=0," ",((B95+E95)-(H95+K95)))</f>
        <v xml:space="preserve"> </v>
      </c>
      <c r="O95" s="96" t="s">
        <v>61</v>
      </c>
      <c r="P95" s="97" t="s">
        <v>61</v>
      </c>
      <c r="Q95" s="205"/>
    </row>
    <row r="96" spans="1:17" ht="20.100000000000001" customHeight="1">
      <c r="A96" s="213" t="s">
        <v>25</v>
      </c>
      <c r="B96" s="44">
        <v>10</v>
      </c>
      <c r="C96" s="45" t="s">
        <v>84</v>
      </c>
      <c r="D96" s="46">
        <v>46631</v>
      </c>
      <c r="E96" s="47"/>
      <c r="F96" s="45"/>
      <c r="G96" s="46"/>
      <c r="H96" s="215"/>
      <c r="I96" s="216"/>
      <c r="J96" s="217"/>
      <c r="K96" s="215"/>
      <c r="L96" s="216"/>
      <c r="M96" s="217"/>
      <c r="N96" s="44">
        <f>IF(((B96+E96)-(H96+K96))=0," ",((B96+E96)-(H96+K96)))</f>
        <v>10</v>
      </c>
      <c r="O96" s="44" t="s">
        <v>84</v>
      </c>
      <c r="P96" s="48">
        <v>46631</v>
      </c>
      <c r="Q96" s="205"/>
    </row>
    <row r="97" spans="1:17" ht="20.100000000000001" customHeight="1" thickBot="1">
      <c r="A97" s="214"/>
      <c r="B97" s="49"/>
      <c r="C97" s="50"/>
      <c r="D97" s="49"/>
      <c r="E97" s="52"/>
      <c r="F97" s="50"/>
      <c r="G97" s="51"/>
      <c r="H97" s="218"/>
      <c r="I97" s="219"/>
      <c r="J97" s="220"/>
      <c r="K97" s="218"/>
      <c r="L97" s="219"/>
      <c r="M97" s="220"/>
      <c r="N97" s="49" t="str">
        <f>IF(((B97+E97)-(H97+K97))=0," ",((B97+E97)-(H97+K97)))</f>
        <v xml:space="preserve"> </v>
      </c>
      <c r="O97" s="49"/>
      <c r="P97" s="53"/>
      <c r="Q97" s="205"/>
    </row>
    <row r="98" spans="1:17" ht="15.75" customHeight="1" thickBot="1">
      <c r="A98" s="115" t="s">
        <v>26</v>
      </c>
      <c r="B98" s="56">
        <f>IF(SUM(B93:B97)=0," ",SUM(B93:B97))</f>
        <v>463</v>
      </c>
      <c r="C98" s="192"/>
      <c r="D98" s="193"/>
      <c r="E98" s="58"/>
      <c r="F98" s="192"/>
      <c r="G98" s="193"/>
      <c r="H98" s="194">
        <f>IF(SUM(H93:J97)=0," ",SUM(H93:J97))</f>
        <v>29</v>
      </c>
      <c r="I98" s="195"/>
      <c r="J98" s="196"/>
      <c r="K98" s="197" t="str">
        <f>IF(SUM(K93:M97)=0," ",SUM(K93:M97))</f>
        <v xml:space="preserve"> </v>
      </c>
      <c r="L98" s="197"/>
      <c r="M98" s="198"/>
      <c r="N98" s="56">
        <f>IF(SUM(N93:N97)=0," ",SUM(N93:N97))</f>
        <v>434</v>
      </c>
      <c r="O98" s="192"/>
      <c r="P98" s="193"/>
      <c r="Q98" s="206"/>
    </row>
    <row r="99" spans="1:17" ht="15" customHeight="1">
      <c r="A99" s="199" t="s">
        <v>39</v>
      </c>
      <c r="B99" s="59">
        <v>80.099999999999994</v>
      </c>
      <c r="C99" s="60" t="s">
        <v>88</v>
      </c>
      <c r="D99" s="61">
        <v>46388</v>
      </c>
      <c r="E99" s="24"/>
      <c r="F99" s="26"/>
      <c r="G99" s="27"/>
      <c r="H99" s="201">
        <v>457</v>
      </c>
      <c r="I99" s="202"/>
      <c r="J99" s="203"/>
      <c r="K99" s="201">
        <v>28</v>
      </c>
      <c r="L99" s="202"/>
      <c r="M99" s="203"/>
      <c r="N99" s="26">
        <f>IF((((B99+E99)*10)-(H99+K99))/10=0," ",(((B99+E99)*10)-(H99+K99))/10)</f>
        <v>31.6</v>
      </c>
      <c r="O99" s="24" t="s">
        <v>88</v>
      </c>
      <c r="P99" s="25">
        <v>46388</v>
      </c>
      <c r="Q99" s="239"/>
    </row>
    <row r="100" spans="1:17" ht="15" customHeight="1">
      <c r="A100" s="200"/>
      <c r="B100" s="92"/>
      <c r="C100" s="93"/>
      <c r="D100" s="92"/>
      <c r="E100" s="96">
        <v>60</v>
      </c>
      <c r="F100" s="95" t="s">
        <v>147</v>
      </c>
      <c r="G100" s="114">
        <v>46388</v>
      </c>
      <c r="H100" s="207">
        <v>116</v>
      </c>
      <c r="I100" s="208"/>
      <c r="J100" s="209"/>
      <c r="K100" s="207"/>
      <c r="L100" s="208"/>
      <c r="M100" s="209"/>
      <c r="N100" s="95">
        <f>IF((((B100+E100)*10)-(H100+K100))/10=0," ",(((B100+E100)*10)-(H100+K100))/10)</f>
        <v>48.4</v>
      </c>
      <c r="O100" s="96" t="s">
        <v>147</v>
      </c>
      <c r="P100" s="97">
        <v>46388</v>
      </c>
      <c r="Q100" s="240"/>
    </row>
    <row r="101" spans="1:17" ht="15" customHeight="1" thickBot="1">
      <c r="A101" s="200"/>
      <c r="B101" s="92"/>
      <c r="C101" s="93"/>
      <c r="D101" s="92"/>
      <c r="E101" s="96"/>
      <c r="F101" s="95"/>
      <c r="G101" s="114"/>
      <c r="H101" s="210"/>
      <c r="I101" s="211"/>
      <c r="J101" s="212"/>
      <c r="K101" s="210"/>
      <c r="L101" s="211"/>
      <c r="M101" s="212"/>
      <c r="N101" s="95" t="str">
        <f>IF((((B101+E101)*10)-(H101+K101))/10=0," ",(((B101+E101)*10)-(H101+K101))/10)</f>
        <v xml:space="preserve"> </v>
      </c>
      <c r="O101" s="96"/>
      <c r="P101" s="97"/>
      <c r="Q101" s="240"/>
    </row>
    <row r="102" spans="1:17" ht="20.100000000000001" customHeight="1">
      <c r="A102" s="213" t="s">
        <v>25</v>
      </c>
      <c r="B102" s="44"/>
      <c r="C102" s="45"/>
      <c r="D102" s="44"/>
      <c r="E102" s="47"/>
      <c r="F102" s="45"/>
      <c r="G102" s="46"/>
      <c r="H102" s="215"/>
      <c r="I102" s="216"/>
      <c r="J102" s="217"/>
      <c r="K102" s="215"/>
      <c r="L102" s="216"/>
      <c r="M102" s="217"/>
      <c r="N102" s="44" t="str">
        <f>IF((((B102+E102)*10)-(H102+K102))/10=0," ",(((B102+E102)*10)-(H102+K102))/10)</f>
        <v xml:space="preserve"> </v>
      </c>
      <c r="O102" s="44"/>
      <c r="P102" s="48"/>
      <c r="Q102" s="240"/>
    </row>
    <row r="103" spans="1:17" ht="20.100000000000001" customHeight="1" thickBot="1">
      <c r="A103" s="214"/>
      <c r="B103" s="49"/>
      <c r="C103" s="50"/>
      <c r="D103" s="49"/>
      <c r="E103" s="52"/>
      <c r="F103" s="50"/>
      <c r="G103" s="51"/>
      <c r="H103" s="218"/>
      <c r="I103" s="219"/>
      <c r="J103" s="220"/>
      <c r="K103" s="218"/>
      <c r="L103" s="219"/>
      <c r="M103" s="220"/>
      <c r="N103" s="49" t="str">
        <f>IF((((B103+E103)*10)-(H103+K103))/10=0," ",(((B103+E103)*10)-(H103+K103))/10)</f>
        <v xml:space="preserve"> </v>
      </c>
      <c r="O103" s="49"/>
      <c r="P103" s="53"/>
      <c r="Q103" s="240"/>
    </row>
    <row r="104" spans="1:17" ht="15.75" customHeight="1" thickBot="1">
      <c r="A104" s="54" t="s">
        <v>26</v>
      </c>
      <c r="B104" s="56">
        <f>IF(SUM(B99:B103)=0," ",SUM(B99:B103))</f>
        <v>80.099999999999994</v>
      </c>
      <c r="C104" s="192"/>
      <c r="D104" s="193"/>
      <c r="E104" s="58">
        <f>IF(SUM(E99:E103)=0," ",SUM(E99:E103))</f>
        <v>60</v>
      </c>
      <c r="F104" s="192"/>
      <c r="G104" s="193"/>
      <c r="H104" s="194">
        <f t="shared" ref="H104:M104" si="12">IF(SUM(H99:H103)=0," ",SUM(H99:H103))</f>
        <v>573</v>
      </c>
      <c r="I104" s="195" t="str">
        <f t="shared" si="12"/>
        <v xml:space="preserve"> </v>
      </c>
      <c r="J104" s="196" t="str">
        <f t="shared" si="12"/>
        <v xml:space="preserve"> </v>
      </c>
      <c r="K104" s="197">
        <f t="shared" si="12"/>
        <v>28</v>
      </c>
      <c r="L104" s="197" t="str">
        <f t="shared" si="12"/>
        <v xml:space="preserve"> </v>
      </c>
      <c r="M104" s="198" t="str">
        <f t="shared" si="12"/>
        <v xml:space="preserve"> </v>
      </c>
      <c r="N104" s="56">
        <f>IF(SUM(N99:N103)=0," ",SUM(N99:N103))</f>
        <v>80</v>
      </c>
      <c r="O104" s="192"/>
      <c r="P104" s="193"/>
      <c r="Q104" s="241"/>
    </row>
    <row r="105" spans="1:17" ht="15" customHeight="1">
      <c r="A105" s="199" t="s">
        <v>40</v>
      </c>
      <c r="B105" s="59">
        <v>1196</v>
      </c>
      <c r="C105" s="60" t="s">
        <v>109</v>
      </c>
      <c r="D105" s="61">
        <v>46508</v>
      </c>
      <c r="E105" s="24"/>
      <c r="F105" s="26"/>
      <c r="G105" s="27"/>
      <c r="H105" s="201">
        <v>411</v>
      </c>
      <c r="I105" s="202"/>
      <c r="J105" s="203"/>
      <c r="K105" s="201"/>
      <c r="L105" s="202"/>
      <c r="M105" s="203"/>
      <c r="N105" s="26">
        <f t="shared" ref="N105:N110" si="13">IF(((B105+E105)-(H105+K105))=0," ",((B105+E105)-(H105+K105)))</f>
        <v>785</v>
      </c>
      <c r="O105" s="24" t="s">
        <v>109</v>
      </c>
      <c r="P105" s="25">
        <v>46508</v>
      </c>
      <c r="Q105" s="199" t="s">
        <v>85</v>
      </c>
    </row>
    <row r="106" spans="1:17">
      <c r="A106" s="200"/>
      <c r="B106" s="92"/>
      <c r="C106" s="93"/>
      <c r="D106" s="94"/>
      <c r="E106" s="96">
        <v>228</v>
      </c>
      <c r="F106" s="95" t="s">
        <v>146</v>
      </c>
      <c r="G106" s="114">
        <v>46784</v>
      </c>
      <c r="H106" s="207">
        <v>54</v>
      </c>
      <c r="I106" s="208"/>
      <c r="J106" s="209"/>
      <c r="K106" s="207"/>
      <c r="L106" s="208"/>
      <c r="M106" s="209"/>
      <c r="N106" s="95">
        <f t="shared" si="13"/>
        <v>174</v>
      </c>
      <c r="O106" s="96" t="s">
        <v>146</v>
      </c>
      <c r="P106" s="97">
        <v>46784</v>
      </c>
      <c r="Q106" s="200"/>
    </row>
    <row r="107" spans="1:17" ht="15" thickBot="1">
      <c r="A107" s="200"/>
      <c r="B107" s="92"/>
      <c r="C107" s="93"/>
      <c r="D107" s="94"/>
      <c r="E107" s="96"/>
      <c r="F107" s="95"/>
      <c r="G107" s="114"/>
      <c r="H107" s="210"/>
      <c r="I107" s="211"/>
      <c r="J107" s="212"/>
      <c r="K107" s="210"/>
      <c r="L107" s="211"/>
      <c r="M107" s="212"/>
      <c r="N107" s="95" t="str">
        <f t="shared" si="13"/>
        <v xml:space="preserve"> </v>
      </c>
      <c r="O107" s="96"/>
      <c r="P107" s="97"/>
      <c r="Q107" s="200"/>
    </row>
    <row r="108" spans="1:17" ht="20.100000000000001" customHeight="1">
      <c r="A108" s="213" t="s">
        <v>25</v>
      </c>
      <c r="B108" s="128">
        <v>267</v>
      </c>
      <c r="C108" s="117" t="s">
        <v>58</v>
      </c>
      <c r="D108" s="129">
        <v>45870</v>
      </c>
      <c r="E108" s="118"/>
      <c r="F108" s="117"/>
      <c r="G108" s="129"/>
      <c r="H108" s="215"/>
      <c r="I108" s="216"/>
      <c r="J108" s="217"/>
      <c r="K108" s="215"/>
      <c r="L108" s="216"/>
      <c r="M108" s="217"/>
      <c r="N108" s="128">
        <f t="shared" si="13"/>
        <v>267</v>
      </c>
      <c r="O108" s="128" t="s">
        <v>58</v>
      </c>
      <c r="P108" s="130">
        <v>45870</v>
      </c>
      <c r="Q108" s="200"/>
    </row>
    <row r="109" spans="1:17" ht="20.100000000000001" customHeight="1">
      <c r="A109" s="222"/>
      <c r="B109" s="122"/>
      <c r="C109" s="123"/>
      <c r="D109" s="124"/>
      <c r="E109" s="125"/>
      <c r="F109" s="123"/>
      <c r="G109" s="124"/>
      <c r="H109" s="126"/>
      <c r="I109" s="123"/>
      <c r="J109" s="125"/>
      <c r="K109" s="126"/>
      <c r="L109" s="123"/>
      <c r="M109" s="125"/>
      <c r="N109" s="131" t="str">
        <f t="shared" si="13"/>
        <v xml:space="preserve"> </v>
      </c>
      <c r="O109" s="122"/>
      <c r="P109" s="127"/>
      <c r="Q109" s="200"/>
    </row>
    <row r="110" spans="1:17" ht="20.100000000000001" customHeight="1" thickBot="1">
      <c r="A110" s="214"/>
      <c r="B110" s="49"/>
      <c r="C110" s="50"/>
      <c r="D110" s="51"/>
      <c r="E110" s="52"/>
      <c r="F110" s="50"/>
      <c r="G110" s="51"/>
      <c r="H110" s="218"/>
      <c r="I110" s="219"/>
      <c r="J110" s="220"/>
      <c r="K110" s="218"/>
      <c r="L110" s="219"/>
      <c r="M110" s="220"/>
      <c r="N110" s="49" t="str">
        <f t="shared" si="13"/>
        <v xml:space="preserve"> </v>
      </c>
      <c r="O110" s="49"/>
      <c r="P110" s="53"/>
      <c r="Q110" s="200"/>
    </row>
    <row r="111" spans="1:17" ht="15.75" customHeight="1" thickBot="1">
      <c r="A111" s="54" t="s">
        <v>26</v>
      </c>
      <c r="B111" s="56">
        <f>IF(SUM(B105:B110)=0," ",SUM(B105:B110))</f>
        <v>1463</v>
      </c>
      <c r="C111" s="192"/>
      <c r="D111" s="193"/>
      <c r="E111" s="58">
        <f>IF(SUM(E105:E110)=0," ",SUM(E105:E110))</f>
        <v>228</v>
      </c>
      <c r="F111" s="192"/>
      <c r="G111" s="193"/>
      <c r="H111" s="194">
        <f t="shared" ref="H111:M111" si="14">IF(SUM(H105:H110)=0," ",SUM(H105:H110))</f>
        <v>465</v>
      </c>
      <c r="I111" s="195" t="str">
        <f t="shared" si="14"/>
        <v xml:space="preserve"> </v>
      </c>
      <c r="J111" s="196" t="str">
        <f t="shared" si="14"/>
        <v xml:space="preserve"> </v>
      </c>
      <c r="K111" s="197" t="str">
        <f t="shared" si="14"/>
        <v xml:space="preserve"> </v>
      </c>
      <c r="L111" s="197" t="str">
        <f t="shared" si="14"/>
        <v xml:space="preserve"> </v>
      </c>
      <c r="M111" s="198" t="str">
        <f t="shared" si="14"/>
        <v xml:space="preserve"> </v>
      </c>
      <c r="N111" s="56">
        <f>IF(SUM(N105:N110)=0," ",SUM(N105:N110))</f>
        <v>1226</v>
      </c>
      <c r="O111" s="192"/>
      <c r="P111" s="193"/>
      <c r="Q111" s="223"/>
    </row>
    <row r="112" spans="1:17" ht="15" customHeight="1">
      <c r="A112" s="199" t="s">
        <v>92</v>
      </c>
      <c r="B112" s="59"/>
      <c r="C112" s="60"/>
      <c r="D112" s="61"/>
      <c r="E112" s="24"/>
      <c r="F112" s="26"/>
      <c r="G112" s="27"/>
      <c r="H112" s="62"/>
      <c r="I112" s="63"/>
      <c r="J112" s="64">
        <f>(((H112/2)+(I112)))</f>
        <v>0</v>
      </c>
      <c r="K112" s="62"/>
      <c r="L112" s="63"/>
      <c r="M112" s="64">
        <f>(((K112/2)+(L112)))</f>
        <v>0</v>
      </c>
      <c r="N112" s="26" t="str">
        <f>IFERROR(IF((((B112+E112)*5)-(J112+M112))/5=0," ",(((B112+E112)*5)-(J112+M112))/5)," ")</f>
        <v xml:space="preserve"> </v>
      </c>
      <c r="O112" s="24"/>
      <c r="P112" s="25"/>
      <c r="Q112" s="239"/>
    </row>
    <row r="113" spans="1:17" ht="15" customHeight="1">
      <c r="A113" s="200"/>
      <c r="B113" s="92"/>
      <c r="C113" s="93"/>
      <c r="D113" s="94"/>
      <c r="E113" s="96"/>
      <c r="F113" s="95"/>
      <c r="G113" s="114"/>
      <c r="H113" s="69"/>
      <c r="I113" s="70"/>
      <c r="J113" s="71">
        <f t="shared" ref="J113:J114" si="15">(((H113/2)+(I113)))</f>
        <v>0</v>
      </c>
      <c r="K113" s="69"/>
      <c r="L113" s="70"/>
      <c r="M113" s="71">
        <f t="shared" ref="M113:M114" si="16">(((K113/2)+(L113)))</f>
        <v>0</v>
      </c>
      <c r="N113" s="95" t="str">
        <f t="shared" ref="N113:N114" si="17">IFERROR(IF((((B113+E113)*5)-(J113+M113))/5=0," ",(((B113+E113)*5)-(J113+M113))/5)," ")</f>
        <v xml:space="preserve"> </v>
      </c>
      <c r="O113" s="96"/>
      <c r="P113" s="97"/>
      <c r="Q113" s="240"/>
    </row>
    <row r="114" spans="1:17" ht="15" customHeight="1" thickBot="1">
      <c r="A114" s="200"/>
      <c r="B114" s="107"/>
      <c r="C114" s="134"/>
      <c r="D114" s="107"/>
      <c r="E114" s="109"/>
      <c r="F114" s="108"/>
      <c r="G114" s="135"/>
      <c r="H114" s="76"/>
      <c r="I114" s="77"/>
      <c r="J114" s="78">
        <f t="shared" si="15"/>
        <v>0</v>
      </c>
      <c r="K114" s="79"/>
      <c r="L114" s="80"/>
      <c r="M114" s="78">
        <f t="shared" si="16"/>
        <v>0</v>
      </c>
      <c r="N114" s="108" t="str">
        <f t="shared" si="17"/>
        <v xml:space="preserve"> </v>
      </c>
      <c r="O114" s="109"/>
      <c r="P114" s="112"/>
      <c r="Q114" s="240"/>
    </row>
    <row r="115" spans="1:17" ht="15" customHeight="1">
      <c r="A115" s="199" t="s">
        <v>93</v>
      </c>
      <c r="B115" s="59"/>
      <c r="C115" s="60"/>
      <c r="D115" s="61"/>
      <c r="E115" s="24"/>
      <c r="F115" s="26"/>
      <c r="G115" s="27"/>
      <c r="H115" s="236"/>
      <c r="I115" s="237"/>
      <c r="J115" s="238"/>
      <c r="K115" s="236"/>
      <c r="L115" s="237"/>
      <c r="M115" s="238"/>
      <c r="N115" s="26"/>
      <c r="O115" s="24"/>
      <c r="P115" s="25"/>
      <c r="Q115" s="240"/>
    </row>
    <row r="116" spans="1:17" ht="15" customHeight="1">
      <c r="A116" s="200"/>
      <c r="B116" s="92"/>
      <c r="C116" s="93"/>
      <c r="D116" s="92"/>
      <c r="E116" s="96"/>
      <c r="F116" s="95"/>
      <c r="G116" s="114"/>
      <c r="H116" s="210"/>
      <c r="I116" s="211"/>
      <c r="J116" s="212"/>
      <c r="K116" s="210"/>
      <c r="L116" s="211"/>
      <c r="M116" s="212"/>
      <c r="N116" s="95" t="str">
        <f t="shared" ref="N116:N117" si="18">IF((((B116+E116)*10)-(H116+K116))/10=0," ",(((B116+E116)*10)-(H116+K116))/10)</f>
        <v xml:space="preserve"> </v>
      </c>
      <c r="O116" s="96"/>
      <c r="P116" s="97"/>
      <c r="Q116" s="240"/>
    </row>
    <row r="117" spans="1:17" ht="15" customHeight="1" thickBot="1">
      <c r="A117" s="223"/>
      <c r="B117" s="136"/>
      <c r="C117" s="137"/>
      <c r="D117" s="136"/>
      <c r="E117" s="138"/>
      <c r="F117" s="139"/>
      <c r="G117" s="140"/>
      <c r="H117" s="230"/>
      <c r="I117" s="231"/>
      <c r="J117" s="232"/>
      <c r="K117" s="230"/>
      <c r="L117" s="231"/>
      <c r="M117" s="232"/>
      <c r="N117" s="139" t="str">
        <f t="shared" si="18"/>
        <v xml:space="preserve"> </v>
      </c>
      <c r="O117" s="138"/>
      <c r="P117" s="141"/>
      <c r="Q117" s="240"/>
    </row>
    <row r="118" spans="1:17" ht="20.100000000000001" customHeight="1">
      <c r="A118" s="213" t="s">
        <v>25</v>
      </c>
      <c r="B118" s="44"/>
      <c r="C118" s="45"/>
      <c r="D118" s="44"/>
      <c r="E118" s="47"/>
      <c r="F118" s="45"/>
      <c r="G118" s="46"/>
      <c r="H118" s="215"/>
      <c r="I118" s="216"/>
      <c r="J118" s="217"/>
      <c r="K118" s="215"/>
      <c r="L118" s="216"/>
      <c r="M118" s="217"/>
      <c r="N118" s="44" t="str">
        <f>IF((((B118+E118)*5)-(H118+K118))/5=0," ",(((B118+E118)*5)-(H118+K118))/5)</f>
        <v xml:space="preserve"> </v>
      </c>
      <c r="O118" s="44"/>
      <c r="P118" s="48"/>
      <c r="Q118" s="240"/>
    </row>
    <row r="119" spans="1:17" ht="20.100000000000001" customHeight="1" thickBot="1">
      <c r="A119" s="214"/>
      <c r="B119" s="49"/>
      <c r="C119" s="50"/>
      <c r="D119" s="49"/>
      <c r="E119" s="52"/>
      <c r="F119" s="50"/>
      <c r="G119" s="51"/>
      <c r="H119" s="218"/>
      <c r="I119" s="219"/>
      <c r="J119" s="220"/>
      <c r="K119" s="218"/>
      <c r="L119" s="219"/>
      <c r="M119" s="220"/>
      <c r="N119" s="49" t="str">
        <f>IF((((B119+E119)*6)-(H119+K119))/6=0," ",(((B119+E119)*6)-(H119+K119))/6)</f>
        <v xml:space="preserve"> </v>
      </c>
      <c r="O119" s="49"/>
      <c r="P119" s="53"/>
      <c r="Q119" s="240"/>
    </row>
    <row r="120" spans="1:17" ht="15.75" customHeight="1" thickBot="1">
      <c r="A120" s="54" t="s">
        <v>26</v>
      </c>
      <c r="B120" s="56"/>
      <c r="C120" s="192"/>
      <c r="D120" s="193"/>
      <c r="E120" s="58"/>
      <c r="F120" s="192"/>
      <c r="G120" s="193"/>
      <c r="H120" s="194"/>
      <c r="I120" s="195"/>
      <c r="J120" s="196"/>
      <c r="K120" s="197"/>
      <c r="L120" s="197"/>
      <c r="M120" s="198"/>
      <c r="N120" s="56" t="str">
        <f>IF(SUM(N112:N119)=0," ",SUM(N112:N119))</f>
        <v xml:space="preserve"> </v>
      </c>
      <c r="O120" s="192"/>
      <c r="P120" s="193"/>
      <c r="Q120" s="241"/>
    </row>
    <row r="121" spans="1:17" ht="15" customHeight="1">
      <c r="A121" s="199" t="s">
        <v>75</v>
      </c>
      <c r="B121" s="59">
        <v>39</v>
      </c>
      <c r="C121" s="60" t="s">
        <v>77</v>
      </c>
      <c r="D121" s="61">
        <v>46113</v>
      </c>
      <c r="E121" s="24"/>
      <c r="F121" s="26"/>
      <c r="G121" s="27"/>
      <c r="H121" s="236">
        <v>39</v>
      </c>
      <c r="I121" s="237"/>
      <c r="J121" s="238"/>
      <c r="K121" s="236"/>
      <c r="L121" s="237"/>
      <c r="M121" s="238"/>
      <c r="N121" s="26" t="str">
        <f t="shared" ref="N121:N132" si="19">IF(((B121+E121)-(H121+K121))=0," ",((B121+E121)-(H121+K121)))</f>
        <v xml:space="preserve"> </v>
      </c>
      <c r="O121" s="24" t="s">
        <v>77</v>
      </c>
      <c r="P121" s="25">
        <v>46113</v>
      </c>
      <c r="Q121" s="239"/>
    </row>
    <row r="122" spans="1:17" ht="15" customHeight="1">
      <c r="A122" s="200"/>
      <c r="B122" s="92"/>
      <c r="C122" s="93"/>
      <c r="D122" s="94"/>
      <c r="E122" s="96"/>
      <c r="F122" s="95"/>
      <c r="G122" s="114"/>
      <c r="H122" s="210"/>
      <c r="I122" s="211"/>
      <c r="J122" s="212"/>
      <c r="K122" s="210"/>
      <c r="L122" s="211"/>
      <c r="M122" s="212"/>
      <c r="N122" s="95" t="str">
        <f t="shared" si="19"/>
        <v xml:space="preserve"> </v>
      </c>
      <c r="O122" s="96"/>
      <c r="P122" s="97"/>
      <c r="Q122" s="240"/>
    </row>
    <row r="123" spans="1:17" ht="15" customHeight="1" thickBot="1">
      <c r="A123" s="200"/>
      <c r="B123" s="92"/>
      <c r="C123" s="93"/>
      <c r="D123" s="94"/>
      <c r="E123" s="96"/>
      <c r="F123" s="95"/>
      <c r="G123" s="114"/>
      <c r="H123" s="210"/>
      <c r="I123" s="211"/>
      <c r="J123" s="212"/>
      <c r="K123" s="210"/>
      <c r="L123" s="211"/>
      <c r="M123" s="212"/>
      <c r="N123" s="95" t="str">
        <f t="shared" si="19"/>
        <v xml:space="preserve"> </v>
      </c>
      <c r="O123" s="96"/>
      <c r="P123" s="97"/>
      <c r="Q123" s="240"/>
    </row>
    <row r="124" spans="1:17" ht="20.100000000000001" customHeight="1">
      <c r="A124" s="213" t="s">
        <v>25</v>
      </c>
      <c r="B124" s="44"/>
      <c r="C124" s="45"/>
      <c r="D124" s="44"/>
      <c r="E124" s="47"/>
      <c r="F124" s="45"/>
      <c r="G124" s="46"/>
      <c r="H124" s="215"/>
      <c r="I124" s="216"/>
      <c r="J124" s="217"/>
      <c r="K124" s="215"/>
      <c r="L124" s="216"/>
      <c r="M124" s="217"/>
      <c r="N124" s="44" t="str">
        <f t="shared" si="19"/>
        <v xml:space="preserve"> </v>
      </c>
      <c r="O124" s="44"/>
      <c r="P124" s="48"/>
      <c r="Q124" s="240"/>
    </row>
    <row r="125" spans="1:17" ht="20.100000000000001" customHeight="1" thickBot="1">
      <c r="A125" s="214"/>
      <c r="B125" s="49"/>
      <c r="C125" s="50"/>
      <c r="D125" s="49"/>
      <c r="E125" s="52"/>
      <c r="F125" s="50"/>
      <c r="G125" s="51"/>
      <c r="H125" s="218"/>
      <c r="I125" s="219"/>
      <c r="J125" s="220"/>
      <c r="K125" s="218"/>
      <c r="L125" s="219"/>
      <c r="M125" s="220"/>
      <c r="N125" s="49" t="str">
        <f t="shared" si="19"/>
        <v xml:space="preserve"> </v>
      </c>
      <c r="O125" s="49"/>
      <c r="P125" s="53"/>
      <c r="Q125" s="240"/>
    </row>
    <row r="126" spans="1:17" ht="15.75" customHeight="1" thickBot="1">
      <c r="A126" s="54" t="s">
        <v>26</v>
      </c>
      <c r="B126" s="56">
        <f>IF(SUM(B120:B125)=0," ",SUM(B120:B125))</f>
        <v>39</v>
      </c>
      <c r="C126" s="192"/>
      <c r="D126" s="193"/>
      <c r="E126" s="58"/>
      <c r="F126" s="192"/>
      <c r="G126" s="193"/>
      <c r="H126" s="221">
        <f t="shared" ref="H126" si="20">IF(SUM(H120:H125)=0," ",SUM(H120:H125))</f>
        <v>39</v>
      </c>
      <c r="I126" s="197"/>
      <c r="J126" s="198"/>
      <c r="K126" s="197"/>
      <c r="L126" s="197"/>
      <c r="M126" s="198"/>
      <c r="N126" s="56" t="str">
        <f t="shared" si="19"/>
        <v xml:space="preserve"> </v>
      </c>
      <c r="O126" s="192"/>
      <c r="P126" s="193"/>
      <c r="Q126" s="241"/>
    </row>
    <row r="127" spans="1:17" ht="15" customHeight="1">
      <c r="A127" s="199" t="s">
        <v>76</v>
      </c>
      <c r="B127" s="59">
        <v>149</v>
      </c>
      <c r="C127" s="60" t="s">
        <v>91</v>
      </c>
      <c r="D127" s="61">
        <v>46174</v>
      </c>
      <c r="E127" s="24"/>
      <c r="F127" s="26"/>
      <c r="G127" s="27"/>
      <c r="H127" s="236">
        <v>33</v>
      </c>
      <c r="I127" s="237"/>
      <c r="J127" s="238"/>
      <c r="K127" s="236"/>
      <c r="L127" s="237"/>
      <c r="M127" s="238"/>
      <c r="N127" s="26">
        <f t="shared" si="19"/>
        <v>116</v>
      </c>
      <c r="O127" s="24" t="s">
        <v>91</v>
      </c>
      <c r="P127" s="25">
        <v>46174</v>
      </c>
      <c r="Q127" s="239"/>
    </row>
    <row r="128" spans="1:17" ht="15" customHeight="1">
      <c r="A128" s="200"/>
      <c r="B128" s="92"/>
      <c r="C128" s="93"/>
      <c r="D128" s="92"/>
      <c r="E128" s="96">
        <v>338</v>
      </c>
      <c r="F128" s="95" t="s">
        <v>122</v>
      </c>
      <c r="G128" s="114" t="s">
        <v>143</v>
      </c>
      <c r="H128" s="210">
        <v>42</v>
      </c>
      <c r="I128" s="211"/>
      <c r="J128" s="212"/>
      <c r="K128" s="210"/>
      <c r="L128" s="211"/>
      <c r="M128" s="212"/>
      <c r="N128" s="95">
        <f t="shared" si="19"/>
        <v>296</v>
      </c>
      <c r="O128" s="96"/>
      <c r="P128" s="97"/>
      <c r="Q128" s="240"/>
    </row>
    <row r="129" spans="1:17" ht="15" customHeight="1" thickBot="1">
      <c r="A129" s="200"/>
      <c r="B129" s="92"/>
      <c r="C129" s="93"/>
      <c r="D129" s="92"/>
      <c r="E129" s="96">
        <v>62</v>
      </c>
      <c r="F129" s="95" t="s">
        <v>144</v>
      </c>
      <c r="G129" s="114" t="s">
        <v>143</v>
      </c>
      <c r="H129" s="210"/>
      <c r="I129" s="211"/>
      <c r="J129" s="212"/>
      <c r="K129" s="210"/>
      <c r="L129" s="211"/>
      <c r="M129" s="212"/>
      <c r="N129" s="95">
        <f t="shared" si="19"/>
        <v>62</v>
      </c>
      <c r="O129" s="96"/>
      <c r="P129" s="97"/>
      <c r="Q129" s="240"/>
    </row>
    <row r="130" spans="1:17" ht="20.100000000000001" customHeight="1">
      <c r="A130" s="213" t="s">
        <v>25</v>
      </c>
      <c r="B130" s="44"/>
      <c r="C130" s="45"/>
      <c r="D130" s="44"/>
      <c r="E130" s="47"/>
      <c r="F130" s="45"/>
      <c r="G130" s="46"/>
      <c r="H130" s="215"/>
      <c r="I130" s="216"/>
      <c r="J130" s="217"/>
      <c r="K130" s="215"/>
      <c r="L130" s="216"/>
      <c r="M130" s="217"/>
      <c r="N130" s="44" t="str">
        <f t="shared" si="19"/>
        <v xml:space="preserve"> </v>
      </c>
      <c r="O130" s="44"/>
      <c r="P130" s="48"/>
      <c r="Q130" s="240"/>
    </row>
    <row r="131" spans="1:17" ht="20.100000000000001" customHeight="1" thickBot="1">
      <c r="A131" s="214"/>
      <c r="B131" s="49"/>
      <c r="C131" s="50"/>
      <c r="D131" s="49"/>
      <c r="E131" s="52"/>
      <c r="F131" s="50"/>
      <c r="G131" s="51"/>
      <c r="H131" s="218"/>
      <c r="I131" s="219"/>
      <c r="J131" s="220"/>
      <c r="K131" s="218"/>
      <c r="L131" s="219"/>
      <c r="M131" s="220"/>
      <c r="N131" s="49" t="str">
        <f t="shared" si="19"/>
        <v xml:space="preserve"> </v>
      </c>
      <c r="O131" s="49"/>
      <c r="P131" s="53"/>
      <c r="Q131" s="240"/>
    </row>
    <row r="132" spans="1:17" ht="15.75" customHeight="1" thickBot="1">
      <c r="A132" s="54" t="s">
        <v>26</v>
      </c>
      <c r="B132" s="56">
        <f>IF(SUM(B127:B131)=0," ",SUM(B127:B131))</f>
        <v>149</v>
      </c>
      <c r="C132" s="192"/>
      <c r="D132" s="193"/>
      <c r="E132" s="58">
        <f>IF(SUM(E126:E131)=0," ",SUM(E126:E131))</f>
        <v>400</v>
      </c>
      <c r="F132" s="192"/>
      <c r="G132" s="193"/>
      <c r="H132" s="194">
        <f>IF(SUM(H127:H131)=0," ",SUM(H127:H131))</f>
        <v>75</v>
      </c>
      <c r="I132" s="195" t="str">
        <f t="shared" ref="I132:J132" si="21">IF(SUM(I126:I131)=0," ",SUM(I126:I131))</f>
        <v xml:space="preserve"> </v>
      </c>
      <c r="J132" s="196" t="str">
        <f t="shared" si="21"/>
        <v xml:space="preserve"> </v>
      </c>
      <c r="K132" s="197"/>
      <c r="L132" s="197"/>
      <c r="M132" s="198"/>
      <c r="N132" s="56">
        <f t="shared" si="19"/>
        <v>474</v>
      </c>
      <c r="O132" s="192"/>
      <c r="P132" s="193"/>
      <c r="Q132" s="241"/>
    </row>
  </sheetData>
  <protectedRanges>
    <protectedRange sqref="I7" name="año"/>
    <protectedRange sqref="O7" name="Unidad de salud"/>
    <protectedRange sqref="D8:K8" name="Nombre"/>
    <protectedRange sqref="B105:M110 B93:M97 B86:M91 B78:M84 B59:M64 B99:M103" name="APLICACIONES 2"/>
    <protectedRange sqref="K78:L84" name="INFLUENZA DESPERDICIO"/>
    <protectedRange sqref="H78:I84" name="INFLUENZA DÓSIS APLICADAS"/>
    <protectedRange sqref="K19:L23 B54:M57 B46:M51 B40:M44 B34:M38 B25:M32 B19:I23 B13:M17 O46:P49 B53 E53:M53" name="APLICACIONES 1"/>
    <protectedRange sqref="Q105:Q110 Q19:Q23 Q25:Q32 Q34:Q38 Q40:Q44 Q46:Q51 Q53:Q57 Q59:Q64 Q78:Q84 Q86:Q91 Q93:Q97 Q99:Q103 Q13:Q17" name="PEDIDO DE BIOLÓGICO"/>
    <protectedRange sqref="O19:P23 O25:P32 O34:P38 O40:P44 O50:P51 O53:P57 O59:P64 O78:P84 O86:P91 O93:P97 O99:P103 O105:P110 O13:P17" name="LOTE Y CADUCIDAD CORTE FINAL"/>
    <protectedRange sqref="Q13:Q65 Q78:Q111 Q120" name="Pedido mensual"/>
    <protectedRange sqref="C53:D53" name="LOTE Y CADUCIDAD CORTE FINAL_1"/>
    <protectedRange sqref="B115:M119 B112:G114" name="APLICACIONES 2_1"/>
    <protectedRange sqref="K112:L114 H112:I114" name="APLICACIONES 1_1"/>
    <protectedRange sqref="Q112:Q119" name="PEDIDO DE BIOLÓGICO_1"/>
    <protectedRange sqref="O112:P119" name="LOTE Y CADUCIDAD CORTE FINAL_2"/>
    <protectedRange sqref="Q112:Q119" name="Pedido mensual_1"/>
  </protectedRanges>
  <mergeCells count="327">
    <mergeCell ref="A127:A129"/>
    <mergeCell ref="H127:J127"/>
    <mergeCell ref="K127:M127"/>
    <mergeCell ref="Q127:Q132"/>
    <mergeCell ref="H128:J128"/>
    <mergeCell ref="K128:M128"/>
    <mergeCell ref="H129:J129"/>
    <mergeCell ref="K129:M129"/>
    <mergeCell ref="A130:A131"/>
    <mergeCell ref="O132:P132"/>
    <mergeCell ref="H130:J130"/>
    <mergeCell ref="K130:M130"/>
    <mergeCell ref="H131:J131"/>
    <mergeCell ref="K131:M131"/>
    <mergeCell ref="C132:D132"/>
    <mergeCell ref="F132:G132"/>
    <mergeCell ref="H132:J132"/>
    <mergeCell ref="K132:M132"/>
    <mergeCell ref="A121:A123"/>
    <mergeCell ref="H121:J121"/>
    <mergeCell ref="K121:M121"/>
    <mergeCell ref="Q121:Q126"/>
    <mergeCell ref="H122:J122"/>
    <mergeCell ref="K122:M122"/>
    <mergeCell ref="H123:J123"/>
    <mergeCell ref="K123:M123"/>
    <mergeCell ref="A124:A125"/>
    <mergeCell ref="H124:J124"/>
    <mergeCell ref="K124:M124"/>
    <mergeCell ref="H125:J125"/>
    <mergeCell ref="K125:M125"/>
    <mergeCell ref="C126:D126"/>
    <mergeCell ref="F126:G126"/>
    <mergeCell ref="H126:J126"/>
    <mergeCell ref="K126:M126"/>
    <mergeCell ref="O126:P126"/>
    <mergeCell ref="K118:M118"/>
    <mergeCell ref="H119:J119"/>
    <mergeCell ref="K119:M119"/>
    <mergeCell ref="C120:D120"/>
    <mergeCell ref="F120:G120"/>
    <mergeCell ref="H120:J120"/>
    <mergeCell ref="K120:M120"/>
    <mergeCell ref="Q112:Q120"/>
    <mergeCell ref="A115:A117"/>
    <mergeCell ref="H115:J115"/>
    <mergeCell ref="K115:M115"/>
    <mergeCell ref="H116:J116"/>
    <mergeCell ref="K116:M116"/>
    <mergeCell ref="H117:J117"/>
    <mergeCell ref="K117:M117"/>
    <mergeCell ref="A118:A119"/>
    <mergeCell ref="H118:J118"/>
    <mergeCell ref="O120:P120"/>
    <mergeCell ref="C111:D111"/>
    <mergeCell ref="F111:G111"/>
    <mergeCell ref="H111:J111"/>
    <mergeCell ref="K111:M111"/>
    <mergeCell ref="O111:P111"/>
    <mergeCell ref="A112:A114"/>
    <mergeCell ref="Q105:Q111"/>
    <mergeCell ref="H106:J106"/>
    <mergeCell ref="K106:M106"/>
    <mergeCell ref="H107:J107"/>
    <mergeCell ref="K107:M107"/>
    <mergeCell ref="A108:A110"/>
    <mergeCell ref="H108:J108"/>
    <mergeCell ref="K108:M108"/>
    <mergeCell ref="H110:J110"/>
    <mergeCell ref="K110:M110"/>
    <mergeCell ref="C104:D104"/>
    <mergeCell ref="F104:G104"/>
    <mergeCell ref="H104:J104"/>
    <mergeCell ref="K104:M104"/>
    <mergeCell ref="O104:P104"/>
    <mergeCell ref="A105:A107"/>
    <mergeCell ref="H105:J105"/>
    <mergeCell ref="K105:M105"/>
    <mergeCell ref="Q99:Q104"/>
    <mergeCell ref="H100:J100"/>
    <mergeCell ref="K100:M100"/>
    <mergeCell ref="H101:J101"/>
    <mergeCell ref="K101:M101"/>
    <mergeCell ref="A102:A103"/>
    <mergeCell ref="H102:J102"/>
    <mergeCell ref="K102:M102"/>
    <mergeCell ref="H103:J103"/>
    <mergeCell ref="K103:M103"/>
    <mergeCell ref="C98:D98"/>
    <mergeCell ref="F98:G98"/>
    <mergeCell ref="H98:J98"/>
    <mergeCell ref="K98:M98"/>
    <mergeCell ref="O98:P98"/>
    <mergeCell ref="A99:A101"/>
    <mergeCell ref="H99:J99"/>
    <mergeCell ref="K99:M99"/>
    <mergeCell ref="Q93:Q98"/>
    <mergeCell ref="H94:J94"/>
    <mergeCell ref="K94:M94"/>
    <mergeCell ref="H95:J95"/>
    <mergeCell ref="K95:M95"/>
    <mergeCell ref="A96:A97"/>
    <mergeCell ref="H96:J96"/>
    <mergeCell ref="K96:M96"/>
    <mergeCell ref="H97:J97"/>
    <mergeCell ref="K97:M97"/>
    <mergeCell ref="C92:D92"/>
    <mergeCell ref="F92:G92"/>
    <mergeCell ref="H92:J92"/>
    <mergeCell ref="K92:M92"/>
    <mergeCell ref="O92:P92"/>
    <mergeCell ref="A93:A95"/>
    <mergeCell ref="H93:J93"/>
    <mergeCell ref="K93:M93"/>
    <mergeCell ref="Q86:Q92"/>
    <mergeCell ref="H87:J87"/>
    <mergeCell ref="K87:M87"/>
    <mergeCell ref="H89:J89"/>
    <mergeCell ref="K89:M89"/>
    <mergeCell ref="A90:A91"/>
    <mergeCell ref="H90:J90"/>
    <mergeCell ref="K90:M90"/>
    <mergeCell ref="H91:J91"/>
    <mergeCell ref="K91:M91"/>
    <mergeCell ref="A86:A89"/>
    <mergeCell ref="H86:J86"/>
    <mergeCell ref="K86:M86"/>
    <mergeCell ref="H88:J88"/>
    <mergeCell ref="K88:M88"/>
    <mergeCell ref="H82:J82"/>
    <mergeCell ref="K82:M82"/>
    <mergeCell ref="A83:A84"/>
    <mergeCell ref="H83:J83"/>
    <mergeCell ref="K83:M83"/>
    <mergeCell ref="H84:J84"/>
    <mergeCell ref="K84:M84"/>
    <mergeCell ref="Q75:Q77"/>
    <mergeCell ref="A78:A82"/>
    <mergeCell ref="H78:J78"/>
    <mergeCell ref="K78:M78"/>
    <mergeCell ref="Q78:Q85"/>
    <mergeCell ref="H79:J79"/>
    <mergeCell ref="K79:M79"/>
    <mergeCell ref="H80:J80"/>
    <mergeCell ref="H81:J81"/>
    <mergeCell ref="C85:D85"/>
    <mergeCell ref="F85:G85"/>
    <mergeCell ref="H85:J85"/>
    <mergeCell ref="K85:M85"/>
    <mergeCell ref="O85:P85"/>
    <mergeCell ref="K80:M80"/>
    <mergeCell ref="I72:J72"/>
    <mergeCell ref="M72:N72"/>
    <mergeCell ref="O72:P72"/>
    <mergeCell ref="A73:C73"/>
    <mergeCell ref="D73:L73"/>
    <mergeCell ref="A75:A77"/>
    <mergeCell ref="B75:D76"/>
    <mergeCell ref="E75:G76"/>
    <mergeCell ref="H75:J77"/>
    <mergeCell ref="K75:M77"/>
    <mergeCell ref="N75:P76"/>
    <mergeCell ref="A67:Q67"/>
    <mergeCell ref="A68:Q68"/>
    <mergeCell ref="A69:Q69"/>
    <mergeCell ref="L70:N70"/>
    <mergeCell ref="O70:P70"/>
    <mergeCell ref="A71:E71"/>
    <mergeCell ref="C65:D65"/>
    <mergeCell ref="F65:G65"/>
    <mergeCell ref="H65:J65"/>
    <mergeCell ref="K65:M65"/>
    <mergeCell ref="O65:P65"/>
    <mergeCell ref="A66:Q66"/>
    <mergeCell ref="Q59:Q65"/>
    <mergeCell ref="H61:J61"/>
    <mergeCell ref="K61:M61"/>
    <mergeCell ref="H62:J62"/>
    <mergeCell ref="K62:M62"/>
    <mergeCell ref="A63:A64"/>
    <mergeCell ref="H63:J63"/>
    <mergeCell ref="K63:M63"/>
    <mergeCell ref="H64:J64"/>
    <mergeCell ref="K64:M64"/>
    <mergeCell ref="H60:J60"/>
    <mergeCell ref="K60:M60"/>
    <mergeCell ref="O58:P58"/>
    <mergeCell ref="A59:A62"/>
    <mergeCell ref="H59:J59"/>
    <mergeCell ref="K59:M59"/>
    <mergeCell ref="Q53:Q58"/>
    <mergeCell ref="H54:J54"/>
    <mergeCell ref="K54:M54"/>
    <mergeCell ref="H55:J55"/>
    <mergeCell ref="K55:M55"/>
    <mergeCell ref="A56:A57"/>
    <mergeCell ref="H56:J56"/>
    <mergeCell ref="K56:M56"/>
    <mergeCell ref="H57:J57"/>
    <mergeCell ref="K57:M57"/>
    <mergeCell ref="A53:A55"/>
    <mergeCell ref="H53:J53"/>
    <mergeCell ref="K53:M53"/>
    <mergeCell ref="A50:A51"/>
    <mergeCell ref="H50:J50"/>
    <mergeCell ref="K50:M50"/>
    <mergeCell ref="H51:J51"/>
    <mergeCell ref="K51:M51"/>
    <mergeCell ref="A46:A49"/>
    <mergeCell ref="H46:J46"/>
    <mergeCell ref="K46:M46"/>
    <mergeCell ref="C58:D58"/>
    <mergeCell ref="F58:G58"/>
    <mergeCell ref="H58:J58"/>
    <mergeCell ref="K58:M58"/>
    <mergeCell ref="Q46:Q52"/>
    <mergeCell ref="H47:J47"/>
    <mergeCell ref="K47:M47"/>
    <mergeCell ref="H48:J48"/>
    <mergeCell ref="K48:M48"/>
    <mergeCell ref="H49:J49"/>
    <mergeCell ref="C52:D52"/>
    <mergeCell ref="F52:G52"/>
    <mergeCell ref="H52:J52"/>
    <mergeCell ref="K52:M52"/>
    <mergeCell ref="O52:P52"/>
    <mergeCell ref="K49:M49"/>
    <mergeCell ref="O33:P33"/>
    <mergeCell ref="O39:P39"/>
    <mergeCell ref="Q25:Q33"/>
    <mergeCell ref="H26:J26"/>
    <mergeCell ref="A40:A42"/>
    <mergeCell ref="H40:J40"/>
    <mergeCell ref="K40:M40"/>
    <mergeCell ref="Q40:Q45"/>
    <mergeCell ref="H41:J41"/>
    <mergeCell ref="K41:M41"/>
    <mergeCell ref="H42:J42"/>
    <mergeCell ref="K42:M42"/>
    <mergeCell ref="A43:A44"/>
    <mergeCell ref="H43:J43"/>
    <mergeCell ref="K43:M43"/>
    <mergeCell ref="H44:J44"/>
    <mergeCell ref="K44:M44"/>
    <mergeCell ref="C45:D45"/>
    <mergeCell ref="F45:G45"/>
    <mergeCell ref="H45:J45"/>
    <mergeCell ref="K45:M45"/>
    <mergeCell ref="O45:P45"/>
    <mergeCell ref="A34:A36"/>
    <mergeCell ref="H34:J34"/>
    <mergeCell ref="K34:M34"/>
    <mergeCell ref="Q34:Q39"/>
    <mergeCell ref="H35:J35"/>
    <mergeCell ref="K35:M35"/>
    <mergeCell ref="H36:J36"/>
    <mergeCell ref="K36:M36"/>
    <mergeCell ref="A37:A38"/>
    <mergeCell ref="H37:J37"/>
    <mergeCell ref="K37:M37"/>
    <mergeCell ref="H38:J38"/>
    <mergeCell ref="K38:M38"/>
    <mergeCell ref="C39:D39"/>
    <mergeCell ref="F39:G39"/>
    <mergeCell ref="H39:J39"/>
    <mergeCell ref="K39:M39"/>
    <mergeCell ref="K28:M28"/>
    <mergeCell ref="A29:A32"/>
    <mergeCell ref="O18:P18"/>
    <mergeCell ref="A19:A21"/>
    <mergeCell ref="Q19:Q24"/>
    <mergeCell ref="A22:A23"/>
    <mergeCell ref="C24:D24"/>
    <mergeCell ref="F24:G24"/>
    <mergeCell ref="H24:J24"/>
    <mergeCell ref="K24:M24"/>
    <mergeCell ref="O24:P24"/>
    <mergeCell ref="H29:J29"/>
    <mergeCell ref="K29:M29"/>
    <mergeCell ref="H32:J32"/>
    <mergeCell ref="K32:M32"/>
    <mergeCell ref="A25:A28"/>
    <mergeCell ref="H25:J25"/>
    <mergeCell ref="K25:M25"/>
    <mergeCell ref="C33:D33"/>
    <mergeCell ref="F33:G33"/>
    <mergeCell ref="H33:J33"/>
    <mergeCell ref="K33:M33"/>
    <mergeCell ref="A13:A15"/>
    <mergeCell ref="H13:J13"/>
    <mergeCell ref="K13:M13"/>
    <mergeCell ref="Q13:Q18"/>
    <mergeCell ref="H14:J14"/>
    <mergeCell ref="K14:M14"/>
    <mergeCell ref="H15:J15"/>
    <mergeCell ref="K15:M15"/>
    <mergeCell ref="A16:A17"/>
    <mergeCell ref="H16:J16"/>
    <mergeCell ref="K16:M16"/>
    <mergeCell ref="H17:J17"/>
    <mergeCell ref="K17:M17"/>
    <mergeCell ref="C18:D18"/>
    <mergeCell ref="F18:G18"/>
    <mergeCell ref="H18:J18"/>
    <mergeCell ref="K18:M18"/>
    <mergeCell ref="K26:M26"/>
    <mergeCell ref="H27:J27"/>
    <mergeCell ref="H28:J28"/>
    <mergeCell ref="A1:Q1"/>
    <mergeCell ref="A2:Q2"/>
    <mergeCell ref="A3:Q3"/>
    <mergeCell ref="A4:Q4"/>
    <mergeCell ref="L5:N5"/>
    <mergeCell ref="O5:P5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Q10:Q12"/>
  </mergeCells>
  <dataValidations count="1">
    <dataValidation allowBlank="1" showErrorMessage="1" sqref="H78:H84 I82:J84 I78:J79 K78:K84 L78:M79 L81:M84" xr:uid="{DEDFF8DA-83AB-417C-BF5E-AF3C354FFEB4}"/>
  </dataValidations>
  <printOptions horizontalCentered="1" verticalCentered="1"/>
  <pageMargins left="0.19685039370078741" right="0.19685039370078741" top="0.19685039370078741" bottom="0.19685039370078741" header="0" footer="0"/>
  <pageSetup scale="50" fitToHeight="2" orientation="landscape" horizontalDpi="1200" verticalDpi="1200" r:id="rId1"/>
  <rowBreaks count="1" manualBreakCount="1">
    <brk id="65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5912-7D0E-48E6-8563-CF12A50DA230}">
  <sheetPr>
    <tabColor rgb="FFFF0000"/>
  </sheetPr>
  <dimension ref="A1:Q199"/>
  <sheetViews>
    <sheetView showGridLines="0" topLeftCell="A6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25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27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ref="J26:J31" si="5">(((H26/2)+(I26)))</f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5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5"/>
        <v>0</v>
      </c>
      <c r="K28" s="82"/>
      <c r="L28" s="83"/>
      <c r="M28" s="84">
        <f t="shared" ref="M28:M31" si="6">(((K28/2)+(L28)))</f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5"/>
        <v>0</v>
      </c>
      <c r="K29" s="272"/>
      <c r="L29" s="273"/>
      <c r="M29" s="274">
        <f t="shared" si="6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5"/>
        <v>0</v>
      </c>
      <c r="K30" s="267"/>
      <c r="L30" s="268"/>
      <c r="M30" s="269">
        <f t="shared" si="6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5"/>
        <v>0</v>
      </c>
      <c r="K31" s="86"/>
      <c r="L31" s="87"/>
      <c r="M31" s="88">
        <f t="shared" si="6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7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7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7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7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7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7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7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7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7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8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8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8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8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8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8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8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8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9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9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9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9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9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9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9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9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10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10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10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10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10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10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10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10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10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11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11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11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11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11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11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11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11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2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2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2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2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2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2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2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2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3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3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3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3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3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3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3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3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3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4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4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4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4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4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4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4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4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5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5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5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5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5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5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5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5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6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6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6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6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6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6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6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6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7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7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7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7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7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7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7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7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7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8">(((H156/2)+(I156)))</f>
        <v>0</v>
      </c>
      <c r="K156" s="262"/>
      <c r="L156" s="265"/>
      <c r="M156" s="264">
        <f t="shared" ref="M156:M159" si="19">(((K156/2)+(L156)))</f>
        <v>0</v>
      </c>
      <c r="N156" s="95" t="str">
        <f t="shared" ref="N156:N159" si="20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8"/>
        <v>0</v>
      </c>
      <c r="K157" s="262"/>
      <c r="L157" s="265"/>
      <c r="M157" s="264">
        <f t="shared" si="19"/>
        <v>0</v>
      </c>
      <c r="N157" s="95" t="str">
        <f t="shared" si="20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8"/>
        <v>0</v>
      </c>
      <c r="K158" s="69"/>
      <c r="L158" s="70"/>
      <c r="M158" s="71">
        <f t="shared" si="19"/>
        <v>0</v>
      </c>
      <c r="N158" s="95" t="str">
        <f t="shared" si="20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8"/>
        <v>0</v>
      </c>
      <c r="K159" s="79"/>
      <c r="L159" s="80"/>
      <c r="M159" s="78">
        <f t="shared" si="19"/>
        <v>0</v>
      </c>
      <c r="N159" s="108" t="str">
        <f t="shared" si="20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2" si="21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21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21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ref="N163:N164" si="22">IF((((B163+E163)*10)-(H163+K163))/10=0," ",(((B163+E163)*10)-(H163+K163))/10)</f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22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3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3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3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3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3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3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3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3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4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4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4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4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4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4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4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4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5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5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5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5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5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5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5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5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H54:J54"/>
    <mergeCell ref="K54:M54"/>
    <mergeCell ref="H55:J55"/>
    <mergeCell ref="K55:M55"/>
    <mergeCell ref="H64:J64"/>
    <mergeCell ref="K64:M64"/>
    <mergeCell ref="H65:J65"/>
    <mergeCell ref="K65:M65"/>
    <mergeCell ref="H68:J68"/>
    <mergeCell ref="K68:M68"/>
    <mergeCell ref="H14:J14"/>
    <mergeCell ref="H15:J15"/>
    <mergeCell ref="K14:M14"/>
    <mergeCell ref="K15:M15"/>
    <mergeCell ref="H34:J34"/>
    <mergeCell ref="K34:M34"/>
    <mergeCell ref="H35:J35"/>
    <mergeCell ref="K35:M35"/>
    <mergeCell ref="K36:M36"/>
    <mergeCell ref="A190:A194"/>
    <mergeCell ref="H190:J190"/>
    <mergeCell ref="K190:M190"/>
    <mergeCell ref="Q190:Q199"/>
    <mergeCell ref="H193:J193"/>
    <mergeCell ref="K193:M193"/>
    <mergeCell ref="H194:J194"/>
    <mergeCell ref="K194:M194"/>
    <mergeCell ref="A195:A198"/>
    <mergeCell ref="H195:J195"/>
    <mergeCell ref="K195:M195"/>
    <mergeCell ref="H198:J198"/>
    <mergeCell ref="K198:M198"/>
    <mergeCell ref="C199:D199"/>
    <mergeCell ref="F199:G199"/>
    <mergeCell ref="H199:J199"/>
    <mergeCell ref="K199:M199"/>
    <mergeCell ref="O199:P199"/>
    <mergeCell ref="H191:J191"/>
    <mergeCell ref="K191:M191"/>
    <mergeCell ref="H192:J192"/>
    <mergeCell ref="K192:M192"/>
    <mergeCell ref="A180:A184"/>
    <mergeCell ref="H180:J180"/>
    <mergeCell ref="K180:M180"/>
    <mergeCell ref="Q180:Q189"/>
    <mergeCell ref="H183:J183"/>
    <mergeCell ref="K183:M183"/>
    <mergeCell ref="H184:J184"/>
    <mergeCell ref="K184:M184"/>
    <mergeCell ref="A185:A188"/>
    <mergeCell ref="O189:P189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H181:J181"/>
    <mergeCell ref="K181:M181"/>
    <mergeCell ref="H182:J182"/>
    <mergeCell ref="K182:M182"/>
    <mergeCell ref="A170:A174"/>
    <mergeCell ref="H170:J170"/>
    <mergeCell ref="K170:M170"/>
    <mergeCell ref="Q170:Q179"/>
    <mergeCell ref="H173:J173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C179:D179"/>
    <mergeCell ref="F179:G179"/>
    <mergeCell ref="H179:J179"/>
    <mergeCell ref="K179:M179"/>
    <mergeCell ref="O179:P179"/>
    <mergeCell ref="H171:J171"/>
    <mergeCell ref="K171:M171"/>
    <mergeCell ref="H172:J172"/>
    <mergeCell ref="K172:M172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O169:P169"/>
    <mergeCell ref="C154:D154"/>
    <mergeCell ref="F154:G154"/>
    <mergeCell ref="H154:J154"/>
    <mergeCell ref="K154:M154"/>
    <mergeCell ref="O154:P154"/>
    <mergeCell ref="A155:A159"/>
    <mergeCell ref="Q145:Q154"/>
    <mergeCell ref="H148:J148"/>
    <mergeCell ref="K148:M148"/>
    <mergeCell ref="H149:J149"/>
    <mergeCell ref="K149:M149"/>
    <mergeCell ref="A150:A153"/>
    <mergeCell ref="H150:J150"/>
    <mergeCell ref="K150:M150"/>
    <mergeCell ref="H146:J146"/>
    <mergeCell ref="K146:M146"/>
    <mergeCell ref="H147:J147"/>
    <mergeCell ref="K147:M147"/>
    <mergeCell ref="H153:J153"/>
    <mergeCell ref="K153:M153"/>
    <mergeCell ref="C144:D144"/>
    <mergeCell ref="F144:G144"/>
    <mergeCell ref="H144:J144"/>
    <mergeCell ref="K144:M144"/>
    <mergeCell ref="O144:P144"/>
    <mergeCell ref="A145:A149"/>
    <mergeCell ref="H145:J145"/>
    <mergeCell ref="K145:M145"/>
    <mergeCell ref="Q135:Q144"/>
    <mergeCell ref="H138:J138"/>
    <mergeCell ref="H139:J139"/>
    <mergeCell ref="K139:M139"/>
    <mergeCell ref="A140:A143"/>
    <mergeCell ref="H140:J140"/>
    <mergeCell ref="K140:M140"/>
    <mergeCell ref="H143:J143"/>
    <mergeCell ref="K143:M143"/>
    <mergeCell ref="H136:J136"/>
    <mergeCell ref="K136:M136"/>
    <mergeCell ref="H137:J137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Q125:Q134"/>
    <mergeCell ref="H128:J128"/>
    <mergeCell ref="K128:M128"/>
    <mergeCell ref="H129:J129"/>
    <mergeCell ref="K129:M129"/>
    <mergeCell ref="A130:A133"/>
    <mergeCell ref="H130:J130"/>
    <mergeCell ref="K130:M130"/>
    <mergeCell ref="H133:J133"/>
    <mergeCell ref="K133:M133"/>
    <mergeCell ref="H126:J126"/>
    <mergeCell ref="K126:M126"/>
    <mergeCell ref="H127:J127"/>
    <mergeCell ref="K127:M127"/>
    <mergeCell ref="C124:D124"/>
    <mergeCell ref="F124:G124"/>
    <mergeCell ref="H124:J124"/>
    <mergeCell ref="K124:M124"/>
    <mergeCell ref="O124:P124"/>
    <mergeCell ref="A125:A129"/>
    <mergeCell ref="H125:J125"/>
    <mergeCell ref="K125:M125"/>
    <mergeCell ref="Q115:Q124"/>
    <mergeCell ref="H118:J118"/>
    <mergeCell ref="H119:J119"/>
    <mergeCell ref="K119:M119"/>
    <mergeCell ref="A120:A123"/>
    <mergeCell ref="H120:J120"/>
    <mergeCell ref="K120:M120"/>
    <mergeCell ref="H123:J123"/>
    <mergeCell ref="K123:M123"/>
    <mergeCell ref="A115:A119"/>
    <mergeCell ref="H115:J115"/>
    <mergeCell ref="K115:M115"/>
    <mergeCell ref="H116:J116"/>
    <mergeCell ref="K116:M116"/>
    <mergeCell ref="H117:J117"/>
    <mergeCell ref="H109:J109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C114:D114"/>
    <mergeCell ref="F114:G114"/>
    <mergeCell ref="H114:J114"/>
    <mergeCell ref="K114:M114"/>
    <mergeCell ref="O114:P114"/>
    <mergeCell ref="I99:J99"/>
    <mergeCell ref="M99:N99"/>
    <mergeCell ref="O99:P99"/>
    <mergeCell ref="A100:C100"/>
    <mergeCell ref="D100:L100"/>
    <mergeCell ref="A102:A104"/>
    <mergeCell ref="B102:D103"/>
    <mergeCell ref="E102:G103"/>
    <mergeCell ref="H102:J104"/>
    <mergeCell ref="K102:M104"/>
    <mergeCell ref="N102:P103"/>
    <mergeCell ref="A94:Q94"/>
    <mergeCell ref="A95:Q95"/>
    <mergeCell ref="A96:Q96"/>
    <mergeCell ref="L97:N97"/>
    <mergeCell ref="O97:P97"/>
    <mergeCell ref="A98:E98"/>
    <mergeCell ref="C92:D92"/>
    <mergeCell ref="F92:G92"/>
    <mergeCell ref="H92:J92"/>
    <mergeCell ref="K92:M92"/>
    <mergeCell ref="O92:P92"/>
    <mergeCell ref="A93:Q93"/>
    <mergeCell ref="Q83:Q92"/>
    <mergeCell ref="H86:J86"/>
    <mergeCell ref="K86:M86"/>
    <mergeCell ref="H87:J87"/>
    <mergeCell ref="K87:M87"/>
    <mergeCell ref="A88:A91"/>
    <mergeCell ref="H88:J88"/>
    <mergeCell ref="K88:M88"/>
    <mergeCell ref="H91:J91"/>
    <mergeCell ref="K91:M91"/>
    <mergeCell ref="H84:J84"/>
    <mergeCell ref="K84:M84"/>
    <mergeCell ref="O82:P82"/>
    <mergeCell ref="A83:A87"/>
    <mergeCell ref="H83:J83"/>
    <mergeCell ref="K83:M83"/>
    <mergeCell ref="Q73:Q82"/>
    <mergeCell ref="H76:J76"/>
    <mergeCell ref="K76:M76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H74:J74"/>
    <mergeCell ref="K74:M74"/>
    <mergeCell ref="H75:J75"/>
    <mergeCell ref="K75:M75"/>
    <mergeCell ref="H85:J85"/>
    <mergeCell ref="K85:M85"/>
    <mergeCell ref="A68:A71"/>
    <mergeCell ref="H71:J71"/>
    <mergeCell ref="K71:M71"/>
    <mergeCell ref="A63:A67"/>
    <mergeCell ref="H63:J63"/>
    <mergeCell ref="K63:M63"/>
    <mergeCell ref="C82:D82"/>
    <mergeCell ref="F82:G82"/>
    <mergeCell ref="H82:J82"/>
    <mergeCell ref="K82:M82"/>
    <mergeCell ref="Q63:Q72"/>
    <mergeCell ref="H66:J66"/>
    <mergeCell ref="K66:M66"/>
    <mergeCell ref="H67:J67"/>
    <mergeCell ref="C72:D72"/>
    <mergeCell ref="F72:G72"/>
    <mergeCell ref="H72:J72"/>
    <mergeCell ref="K72:M72"/>
    <mergeCell ref="O72:P72"/>
    <mergeCell ref="K67:M67"/>
    <mergeCell ref="O42:P42"/>
    <mergeCell ref="O52:P52"/>
    <mergeCell ref="Q33:Q42"/>
    <mergeCell ref="A53:A57"/>
    <mergeCell ref="H53:J53"/>
    <mergeCell ref="K53:M53"/>
    <mergeCell ref="Q53:Q62"/>
    <mergeCell ref="H56:J56"/>
    <mergeCell ref="K56:M56"/>
    <mergeCell ref="H57:J57"/>
    <mergeCell ref="K57:M57"/>
    <mergeCell ref="A58:A61"/>
    <mergeCell ref="H58:J58"/>
    <mergeCell ref="K58:M58"/>
    <mergeCell ref="H61:J61"/>
    <mergeCell ref="K61:M61"/>
    <mergeCell ref="C62:D62"/>
    <mergeCell ref="F62:G62"/>
    <mergeCell ref="H62:J62"/>
    <mergeCell ref="K62:M62"/>
    <mergeCell ref="O62:P62"/>
    <mergeCell ref="A43:A47"/>
    <mergeCell ref="H43:J43"/>
    <mergeCell ref="K43:M43"/>
    <mergeCell ref="Q43:Q52"/>
    <mergeCell ref="H46:J46"/>
    <mergeCell ref="K46:M46"/>
    <mergeCell ref="H47:J47"/>
    <mergeCell ref="K47:M47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H44:J44"/>
    <mergeCell ref="K44:M44"/>
    <mergeCell ref="H45:J45"/>
    <mergeCell ref="K45:M45"/>
    <mergeCell ref="K37:M37"/>
    <mergeCell ref="A38:A41"/>
    <mergeCell ref="O22:P22"/>
    <mergeCell ref="A23:A27"/>
    <mergeCell ref="Q23:Q32"/>
    <mergeCell ref="A28:A31"/>
    <mergeCell ref="C32:D32"/>
    <mergeCell ref="F32:G32"/>
    <mergeCell ref="H32:J32"/>
    <mergeCell ref="K32:M32"/>
    <mergeCell ref="O32:P32"/>
    <mergeCell ref="H41:J41"/>
    <mergeCell ref="K41:M41"/>
    <mergeCell ref="A33:A37"/>
    <mergeCell ref="H33:J33"/>
    <mergeCell ref="K33:M33"/>
    <mergeCell ref="H38:J38"/>
    <mergeCell ref="K38:M38"/>
    <mergeCell ref="C42:D42"/>
    <mergeCell ref="F42:G42"/>
    <mergeCell ref="H42:J42"/>
    <mergeCell ref="K42:M42"/>
    <mergeCell ref="A13:A17"/>
    <mergeCell ref="H13:J13"/>
    <mergeCell ref="K13:M13"/>
    <mergeCell ref="Q13:Q22"/>
    <mergeCell ref="H16:J16"/>
    <mergeCell ref="K16:M16"/>
    <mergeCell ref="H17:J17"/>
    <mergeCell ref="K17:M17"/>
    <mergeCell ref="A18:A21"/>
    <mergeCell ref="H18:J18"/>
    <mergeCell ref="K18:M18"/>
    <mergeCell ref="H21:J21"/>
    <mergeCell ref="K21:M21"/>
    <mergeCell ref="C22:D22"/>
    <mergeCell ref="F22:G22"/>
    <mergeCell ref="H22:J22"/>
    <mergeCell ref="K22:M22"/>
    <mergeCell ref="H36:J36"/>
    <mergeCell ref="H37:J37"/>
    <mergeCell ref="A1:Q1"/>
    <mergeCell ref="A2:Q2"/>
    <mergeCell ref="A3:Q3"/>
    <mergeCell ref="A4:Q4"/>
    <mergeCell ref="L5:N5"/>
    <mergeCell ref="O5:P5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Q10:Q12"/>
  </mergeCells>
  <dataValidations disablePrompts="1" count="1">
    <dataValidation allowBlank="1" showErrorMessage="1" sqref="H105:H113 K105:M113 I105:J106 I109:J113" xr:uid="{BD04C818-33EE-46EA-A455-79D5299D2576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ignoredErrors>
    <ignoredError sqref="N189 N179 N114 N82 N72 N62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788F-CC37-41D8-8579-09899D678CB4}">
  <sheetPr>
    <tabColor theme="4"/>
  </sheetPr>
  <dimension ref="A1:Q199"/>
  <sheetViews>
    <sheetView showGridLines="0" topLeftCell="A6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9E5A2C07-1D5F-4D32-9BBF-BF5E9D4FD615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43D8-3304-4049-8F20-332AC5087B73}">
  <sheetPr>
    <tabColor theme="5"/>
  </sheetPr>
  <dimension ref="A1:Q199"/>
  <sheetViews>
    <sheetView showGridLines="0" topLeftCell="A6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413AECAF-5393-4567-B2C9-E7CFEDC05D5D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BE6B-FEFF-400D-B4EC-01EC624DA0F1}">
  <sheetPr>
    <tabColor rgb="FF800020"/>
  </sheetPr>
  <dimension ref="A1:Q199"/>
  <sheetViews>
    <sheetView showGridLines="0" topLeftCell="A6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DDBBFC5A-AB28-4CDF-B025-FBB6A2264D57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3BA3-66C6-48DC-B038-E933D4D667A3}">
  <sheetPr>
    <tabColor rgb="FFD4A373"/>
  </sheetPr>
  <dimension ref="A1:Q199"/>
  <sheetViews>
    <sheetView showGridLines="0" topLeftCell="A6" zoomScale="70" zoomScaleNormal="70" zoomScaleSheetLayoutView="85" workbookViewId="0">
      <selection activeCell="N40" sqref="N40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B1B3799C-51AC-488F-83F6-9432FE622DDF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A6B0-EECA-46CD-8F55-5F46EBCD212C}">
  <sheetPr>
    <tabColor rgb="FF2C3E50"/>
  </sheetPr>
  <dimension ref="A1:Q199"/>
  <sheetViews>
    <sheetView showGridLines="0" topLeftCell="A6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C4770873-C5B8-41D1-BA87-F8A7494B350D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6380-5A61-4BEB-980D-DE900304F6F9}">
  <sheetPr>
    <tabColor rgb="FF8C6239"/>
  </sheetPr>
  <dimension ref="A1:Q199"/>
  <sheetViews>
    <sheetView showGridLines="0" topLeftCell="A9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ADF564B6-39FE-4C56-99D6-5AB585962C72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C92A-BB4B-45FE-977F-467FAD02A1AB}">
  <sheetPr>
    <tabColor rgb="FFE76F51"/>
  </sheetPr>
  <dimension ref="A1:Q199"/>
  <sheetViews>
    <sheetView showGridLines="0" topLeftCell="A6" zoomScale="70" zoomScaleNormal="70" zoomScaleSheetLayoutView="85" workbookViewId="0">
      <selection activeCell="B13" sqref="B13"/>
    </sheetView>
  </sheetViews>
  <sheetFormatPr baseColWidth="10" defaultColWidth="11.42578125" defaultRowHeight="14.25"/>
  <cols>
    <col min="1" max="1" width="13.140625" style="2" customWidth="1"/>
    <col min="2" max="2" width="12" style="2" customWidth="1"/>
    <col min="3" max="3" width="27" style="2" customWidth="1"/>
    <col min="4" max="5" width="12" style="2" customWidth="1"/>
    <col min="6" max="6" width="27" style="2" customWidth="1"/>
    <col min="7" max="7" width="12" style="4" customWidth="1"/>
    <col min="8" max="9" width="8.140625" style="2" customWidth="1"/>
    <col min="10" max="10" width="13" style="2" bestFit="1" customWidth="1"/>
    <col min="11" max="12" width="8.140625" style="2" customWidth="1"/>
    <col min="13" max="13" width="9.28515625" style="2" bestFit="1" customWidth="1"/>
    <col min="14" max="14" width="12" style="4" customWidth="1"/>
    <col min="15" max="15" width="27" style="4" customWidth="1"/>
    <col min="16" max="16" width="12" style="4" customWidth="1"/>
    <col min="17" max="17" width="14.7109375" style="2" customWidth="1"/>
    <col min="18" max="16384" width="11.42578125" style="2"/>
  </cols>
  <sheetData>
    <row r="1" spans="1:17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3" spans="1:17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1:17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" customHeight="1">
      <c r="A5" s="3" t="s">
        <v>4</v>
      </c>
      <c r="B5" s="3"/>
      <c r="C5" s="3"/>
      <c r="D5" s="3"/>
      <c r="E5" s="3"/>
      <c r="H5" s="5"/>
      <c r="I5" s="5"/>
      <c r="J5" s="5"/>
      <c r="K5" s="5"/>
      <c r="L5" s="168" t="s">
        <v>5</v>
      </c>
      <c r="M5" s="168"/>
      <c r="N5" s="168"/>
      <c r="O5" s="169"/>
      <c r="P5" s="169"/>
    </row>
    <row r="6" spans="1:17">
      <c r="A6" s="187" t="s">
        <v>6</v>
      </c>
      <c r="B6" s="187"/>
      <c r="C6" s="187"/>
      <c r="D6" s="187"/>
      <c r="E6" s="187"/>
      <c r="M6" s="8"/>
      <c r="N6" s="9"/>
      <c r="O6" s="9"/>
      <c r="P6" s="9"/>
      <c r="Q6" s="8"/>
    </row>
    <row r="7" spans="1:17">
      <c r="A7" s="7" t="s">
        <v>7</v>
      </c>
      <c r="B7" s="6" t="s">
        <v>8</v>
      </c>
      <c r="C7" s="10" t="str">
        <f>_xlfn.XLOOKUP(O5,[1]DATOS!A1:A12,[1]DATOS!B1:B12," ",0)</f>
        <v xml:space="preserve"> </v>
      </c>
      <c r="D7" s="6"/>
      <c r="E7" s="6" t="s">
        <v>9</v>
      </c>
      <c r="F7" s="11"/>
      <c r="G7" s="1"/>
      <c r="H7" s="8" t="s">
        <v>10</v>
      </c>
      <c r="I7" s="169"/>
      <c r="J7" s="169"/>
      <c r="K7" s="12"/>
      <c r="L7" s="12"/>
      <c r="M7" s="167" t="s">
        <v>11</v>
      </c>
      <c r="N7" s="167"/>
      <c r="O7" s="169" t="s">
        <v>53</v>
      </c>
      <c r="P7" s="169"/>
    </row>
    <row r="8" spans="1:17" ht="18" customHeight="1">
      <c r="A8" s="188" t="s">
        <v>12</v>
      </c>
      <c r="B8" s="188"/>
      <c r="C8" s="188"/>
      <c r="D8" s="189" t="s">
        <v>60</v>
      </c>
      <c r="E8" s="189"/>
      <c r="F8" s="189"/>
      <c r="G8" s="189"/>
      <c r="H8" s="189"/>
      <c r="I8" s="189"/>
      <c r="J8" s="189"/>
      <c r="K8" s="189"/>
      <c r="L8" s="13"/>
    </row>
    <row r="9" spans="1:17" ht="18" customHeight="1" thickBot="1">
      <c r="A9" s="8" t="s">
        <v>13</v>
      </c>
      <c r="B9" s="13"/>
      <c r="C9" s="13"/>
      <c r="D9" s="13"/>
      <c r="E9" s="13"/>
    </row>
    <row r="10" spans="1:17" ht="22.5" customHeight="1" thickBot="1">
      <c r="A10" s="170" t="s">
        <v>14</v>
      </c>
      <c r="B10" s="171" t="s">
        <v>15</v>
      </c>
      <c r="C10" s="172"/>
      <c r="D10" s="172"/>
      <c r="E10" s="171" t="s">
        <v>16</v>
      </c>
      <c r="F10" s="175"/>
      <c r="G10" s="176"/>
      <c r="H10" s="180" t="s">
        <v>17</v>
      </c>
      <c r="I10" s="175"/>
      <c r="J10" s="176"/>
      <c r="K10" s="171" t="s">
        <v>18</v>
      </c>
      <c r="L10" s="175"/>
      <c r="M10" s="176"/>
      <c r="N10" s="171" t="s">
        <v>19</v>
      </c>
      <c r="O10" s="175"/>
      <c r="P10" s="176"/>
      <c r="Q10" s="190" t="s">
        <v>20</v>
      </c>
    </row>
    <row r="11" spans="1:17" ht="22.5" customHeight="1" thickBot="1">
      <c r="A11" s="170"/>
      <c r="B11" s="173"/>
      <c r="C11" s="174"/>
      <c r="D11" s="174"/>
      <c r="E11" s="177"/>
      <c r="F11" s="178"/>
      <c r="G11" s="179"/>
      <c r="H11" s="181"/>
      <c r="I11" s="182"/>
      <c r="J11" s="183"/>
      <c r="K11" s="181"/>
      <c r="L11" s="182"/>
      <c r="M11" s="183"/>
      <c r="N11" s="177"/>
      <c r="O11" s="178"/>
      <c r="P11" s="179"/>
      <c r="Q11" s="191"/>
    </row>
    <row r="12" spans="1:17" ht="18" customHeight="1" thickBot="1">
      <c r="A12" s="170"/>
      <c r="B12" s="14" t="s">
        <v>21</v>
      </c>
      <c r="C12" s="15" t="s">
        <v>22</v>
      </c>
      <c r="D12" s="16" t="s">
        <v>23</v>
      </c>
      <c r="E12" s="17" t="s">
        <v>21</v>
      </c>
      <c r="F12" s="18" t="s">
        <v>22</v>
      </c>
      <c r="G12" s="19" t="s">
        <v>23</v>
      </c>
      <c r="H12" s="184"/>
      <c r="I12" s="185"/>
      <c r="J12" s="186"/>
      <c r="K12" s="184"/>
      <c r="L12" s="185"/>
      <c r="M12" s="186"/>
      <c r="N12" s="17" t="s">
        <v>21</v>
      </c>
      <c r="O12" s="18" t="s">
        <v>22</v>
      </c>
      <c r="P12" s="19" t="s">
        <v>23</v>
      </c>
      <c r="Q12" s="191"/>
    </row>
    <row r="13" spans="1:17" ht="18" customHeight="1">
      <c r="A13" s="199" t="s">
        <v>24</v>
      </c>
      <c r="B13" s="20"/>
      <c r="C13" s="21"/>
      <c r="D13" s="22"/>
      <c r="E13" s="23"/>
      <c r="F13" s="24"/>
      <c r="G13" s="25"/>
      <c r="H13" s="201"/>
      <c r="I13" s="202"/>
      <c r="J13" s="203"/>
      <c r="K13" s="201"/>
      <c r="L13" s="202"/>
      <c r="M13" s="203"/>
      <c r="N13" s="26" t="str">
        <f>IF((((B13+E13)*10)-(H13+K13))/10=0," ",(((B13+E13)*10)-(H13+K13))/10)</f>
        <v xml:space="preserve"> </v>
      </c>
      <c r="O13" s="26"/>
      <c r="P13" s="27"/>
      <c r="Q13" s="204"/>
    </row>
    <row r="14" spans="1:17" ht="18" customHeight="1">
      <c r="A14" s="200"/>
      <c r="B14" s="255"/>
      <c r="C14" s="256"/>
      <c r="D14" s="257"/>
      <c r="E14" s="106"/>
      <c r="F14" s="96"/>
      <c r="G14" s="97"/>
      <c r="H14" s="210"/>
      <c r="I14" s="211"/>
      <c r="J14" s="212"/>
      <c r="K14" s="210"/>
      <c r="L14" s="211"/>
      <c r="M14" s="212"/>
      <c r="N14" s="95" t="str">
        <f t="shared" ref="N14:N17" si="0">IF((((B14+E14)*10)-(H14+K14))/10=0," ",(((B14+E14)*10)-(H14+K14))/10)</f>
        <v xml:space="preserve"> </v>
      </c>
      <c r="O14" s="95"/>
      <c r="P14" s="114"/>
      <c r="Q14" s="205"/>
    </row>
    <row r="15" spans="1:17" ht="18" customHeight="1">
      <c r="A15" s="200"/>
      <c r="B15" s="255"/>
      <c r="C15" s="256"/>
      <c r="D15" s="257"/>
      <c r="E15" s="106"/>
      <c r="F15" s="96"/>
      <c r="G15" s="97"/>
      <c r="H15" s="210"/>
      <c r="I15" s="211"/>
      <c r="J15" s="212"/>
      <c r="K15" s="210"/>
      <c r="L15" s="211"/>
      <c r="M15" s="212"/>
      <c r="N15" s="95" t="str">
        <f t="shared" si="0"/>
        <v xml:space="preserve"> </v>
      </c>
      <c r="O15" s="95"/>
      <c r="P15" s="114"/>
      <c r="Q15" s="205"/>
    </row>
    <row r="16" spans="1:17" ht="15" customHeight="1">
      <c r="A16" s="200"/>
      <c r="B16" s="28"/>
      <c r="C16" s="29"/>
      <c r="D16" s="30"/>
      <c r="E16" s="31"/>
      <c r="F16" s="32"/>
      <c r="G16" s="33"/>
      <c r="H16" s="207"/>
      <c r="I16" s="208"/>
      <c r="J16" s="209"/>
      <c r="K16" s="207"/>
      <c r="L16" s="208"/>
      <c r="M16" s="209"/>
      <c r="N16" s="34" t="str">
        <f t="shared" si="0"/>
        <v xml:space="preserve"> </v>
      </c>
      <c r="O16" s="34"/>
      <c r="P16" s="35"/>
      <c r="Q16" s="205"/>
    </row>
    <row r="17" spans="1:17" ht="15" customHeight="1" thickBot="1">
      <c r="A17" s="200"/>
      <c r="B17" s="36"/>
      <c r="C17" s="37"/>
      <c r="D17" s="38"/>
      <c r="E17" s="39"/>
      <c r="F17" s="40"/>
      <c r="G17" s="41"/>
      <c r="H17" s="210"/>
      <c r="I17" s="211"/>
      <c r="J17" s="212"/>
      <c r="K17" s="210"/>
      <c r="L17" s="211"/>
      <c r="M17" s="212"/>
      <c r="N17" s="42" t="str">
        <f t="shared" si="0"/>
        <v xml:space="preserve"> </v>
      </c>
      <c r="O17" s="42"/>
      <c r="P17" s="43"/>
      <c r="Q17" s="205"/>
    </row>
    <row r="18" spans="1:17" ht="20.100000000000001" customHeight="1">
      <c r="A18" s="213" t="s">
        <v>25</v>
      </c>
      <c r="B18" s="44"/>
      <c r="C18" s="45"/>
      <c r="D18" s="46"/>
      <c r="E18" s="47"/>
      <c r="F18" s="45"/>
      <c r="G18" s="46"/>
      <c r="H18" s="259"/>
      <c r="I18" s="260"/>
      <c r="J18" s="261"/>
      <c r="K18" s="259"/>
      <c r="L18" s="260"/>
      <c r="M18" s="261"/>
      <c r="N18" s="44" t="str">
        <f>IF((((B18+E18)*10)-(H18+K18))/10=0," ",(((B18+E18)*10)-(H18+K18))/10)</f>
        <v xml:space="preserve"> </v>
      </c>
      <c r="O18" s="44"/>
      <c r="P18" s="48"/>
      <c r="Q18" s="205"/>
    </row>
    <row r="19" spans="1:17" ht="20.100000000000001" customHeight="1">
      <c r="A19" s="222"/>
      <c r="B19" s="147"/>
      <c r="C19" s="151"/>
      <c r="D19" s="152"/>
      <c r="E19" s="153"/>
      <c r="F19" s="151"/>
      <c r="G19" s="152"/>
      <c r="H19" s="154"/>
      <c r="I19" s="151"/>
      <c r="J19" s="153"/>
      <c r="K19" s="154"/>
      <c r="L19" s="151"/>
      <c r="M19" s="153"/>
      <c r="N19" s="147" t="str">
        <f t="shared" ref="N19:N21" si="1">IF((((B19+E19)*10)-(H19+K19))/10=0," ",(((B19+E19)*10)-(H19+K19))/10)</f>
        <v xml:space="preserve"> </v>
      </c>
      <c r="O19" s="147"/>
      <c r="P19" s="155"/>
      <c r="Q19" s="205"/>
    </row>
    <row r="20" spans="1:17" ht="20.100000000000001" customHeight="1">
      <c r="A20" s="222"/>
      <c r="B20" s="122"/>
      <c r="C20" s="258"/>
      <c r="D20" s="124"/>
      <c r="E20" s="125"/>
      <c r="F20" s="258"/>
      <c r="G20" s="124"/>
      <c r="H20" s="126"/>
      <c r="I20" s="258"/>
      <c r="J20" s="125"/>
      <c r="K20" s="126"/>
      <c r="L20" s="258"/>
      <c r="M20" s="125"/>
      <c r="N20" s="122" t="str">
        <f t="shared" si="1"/>
        <v xml:space="preserve"> </v>
      </c>
      <c r="O20" s="122"/>
      <c r="P20" s="127"/>
      <c r="Q20" s="205"/>
    </row>
    <row r="21" spans="1:17" ht="20.100000000000001" customHeight="1" thickBot="1">
      <c r="A21" s="214"/>
      <c r="B21" s="49"/>
      <c r="C21" s="50"/>
      <c r="D21" s="51"/>
      <c r="E21" s="52"/>
      <c r="F21" s="50"/>
      <c r="G21" s="51"/>
      <c r="H21" s="218"/>
      <c r="I21" s="219"/>
      <c r="J21" s="220"/>
      <c r="K21" s="218"/>
      <c r="L21" s="219"/>
      <c r="M21" s="220"/>
      <c r="N21" s="49" t="str">
        <f t="shared" si="1"/>
        <v xml:space="preserve"> </v>
      </c>
      <c r="O21" s="49"/>
      <c r="P21" s="53"/>
      <c r="Q21" s="205"/>
    </row>
    <row r="22" spans="1:17" ht="15" thickBot="1">
      <c r="A22" s="54" t="s">
        <v>26</v>
      </c>
      <c r="B22" s="55" t="str">
        <f>IF(SUM(B13:B21)=0," ",SUM(B13:B21))</f>
        <v xml:space="preserve"> </v>
      </c>
      <c r="C22" s="192"/>
      <c r="D22" s="193"/>
      <c r="E22" s="56" t="str">
        <f>IF(SUM(E13:E21)=0," ",SUM(E13:E21))</f>
        <v xml:space="preserve"> </v>
      </c>
      <c r="F22" s="192"/>
      <c r="G22" s="193"/>
      <c r="H22" s="194" t="str">
        <f>IF(SUM(H13:J21)=0," ",SUM(H13:J21))</f>
        <v xml:space="preserve"> </v>
      </c>
      <c r="I22" s="195"/>
      <c r="J22" s="196"/>
      <c r="K22" s="221" t="str">
        <f>IF(SUM(K13:M21)=0," ",SUM(K13:M21))</f>
        <v xml:space="preserve"> </v>
      </c>
      <c r="L22" s="197"/>
      <c r="M22" s="198"/>
      <c r="N22" s="56" t="str">
        <f>IF(SUM(N13:N21)=0," ",SUM(N13:N21))</f>
        <v xml:space="preserve"> </v>
      </c>
      <c r="O22" s="192"/>
      <c r="P22" s="193"/>
      <c r="Q22" s="206"/>
    </row>
    <row r="23" spans="1:17" ht="15" customHeight="1">
      <c r="A23" s="199" t="s">
        <v>27</v>
      </c>
      <c r="B23" s="59"/>
      <c r="C23" s="60"/>
      <c r="D23" s="61"/>
      <c r="E23" s="23"/>
      <c r="F23" s="24"/>
      <c r="G23" s="25"/>
      <c r="H23" s="62"/>
      <c r="I23" s="116"/>
      <c r="J23" s="64">
        <f t="shared" ref="J23:J31" si="2">(((H23/2)+(I23)))</f>
        <v>0</v>
      </c>
      <c r="K23" s="62"/>
      <c r="L23" s="63"/>
      <c r="M23" s="64">
        <f>(((K23/2)+(L23)))</f>
        <v>0</v>
      </c>
      <c r="N23" s="23" t="str">
        <f>IFERROR(IF((((B23+E23)*10)-(J23+M23))/10=0," ",(((B23+E23)*10)-(J23+M23))/10)," ")</f>
        <v xml:space="preserve"> </v>
      </c>
      <c r="O23" s="24"/>
      <c r="P23" s="25"/>
      <c r="Q23" s="199"/>
    </row>
    <row r="24" spans="1:17" ht="15" customHeight="1">
      <c r="A24" s="200"/>
      <c r="B24" s="92"/>
      <c r="C24" s="93"/>
      <c r="D24" s="94"/>
      <c r="E24" s="106"/>
      <c r="F24" s="96"/>
      <c r="G24" s="97"/>
      <c r="H24" s="262"/>
      <c r="I24" s="263"/>
      <c r="J24" s="264">
        <f t="shared" si="2"/>
        <v>0</v>
      </c>
      <c r="K24" s="262"/>
      <c r="L24" s="265"/>
      <c r="M24" s="264">
        <f t="shared" ref="M24:M31" si="3">(((K24/2)+(L24)))</f>
        <v>0</v>
      </c>
      <c r="N24" s="106" t="str">
        <f t="shared" ref="N24:N31" si="4">IFERROR(IF((((B24+E24)*10)-(J24+M24))/10=0," ",(((B24+E24)*10)-(J24+M24))/10)," ")</f>
        <v xml:space="preserve"> </v>
      </c>
      <c r="O24" s="96"/>
      <c r="P24" s="97"/>
      <c r="Q24" s="200"/>
    </row>
    <row r="25" spans="1:17" ht="15" customHeight="1">
      <c r="A25" s="200"/>
      <c r="B25" s="92"/>
      <c r="C25" s="93"/>
      <c r="D25" s="94"/>
      <c r="E25" s="106"/>
      <c r="F25" s="96"/>
      <c r="G25" s="97"/>
      <c r="H25" s="262"/>
      <c r="I25" s="263"/>
      <c r="J25" s="264">
        <f t="shared" si="2"/>
        <v>0</v>
      </c>
      <c r="K25" s="262"/>
      <c r="L25" s="265"/>
      <c r="M25" s="264">
        <f t="shared" si="3"/>
        <v>0</v>
      </c>
      <c r="N25" s="106" t="str">
        <f t="shared" si="4"/>
        <v xml:space="preserve"> </v>
      </c>
      <c r="O25" s="96"/>
      <c r="P25" s="97"/>
      <c r="Q25" s="200"/>
    </row>
    <row r="26" spans="1:17" ht="15" customHeight="1">
      <c r="A26" s="200"/>
      <c r="B26" s="65"/>
      <c r="C26" s="66"/>
      <c r="D26" s="67"/>
      <c r="E26" s="31"/>
      <c r="F26" s="32"/>
      <c r="G26" s="68"/>
      <c r="H26" s="69"/>
      <c r="I26" s="70"/>
      <c r="J26" s="71">
        <f t="shared" si="2"/>
        <v>0</v>
      </c>
      <c r="K26" s="69"/>
      <c r="L26" s="70"/>
      <c r="M26" s="71">
        <f t="shared" si="3"/>
        <v>0</v>
      </c>
      <c r="N26" s="31" t="str">
        <f t="shared" si="4"/>
        <v xml:space="preserve"> </v>
      </c>
      <c r="O26" s="32"/>
      <c r="P26" s="33"/>
      <c r="Q26" s="200"/>
    </row>
    <row r="27" spans="1:17" ht="15" customHeight="1" thickBot="1">
      <c r="A27" s="200"/>
      <c r="B27" s="72"/>
      <c r="C27" s="73"/>
      <c r="D27" s="74"/>
      <c r="E27" s="39"/>
      <c r="F27" s="40"/>
      <c r="G27" s="75"/>
      <c r="H27" s="76"/>
      <c r="I27" s="77"/>
      <c r="J27" s="78">
        <f t="shared" si="2"/>
        <v>0</v>
      </c>
      <c r="K27" s="79"/>
      <c r="L27" s="80"/>
      <c r="M27" s="78">
        <f t="shared" si="3"/>
        <v>0</v>
      </c>
      <c r="N27" s="39" t="str">
        <f t="shared" si="4"/>
        <v xml:space="preserve"> </v>
      </c>
      <c r="O27" s="40"/>
      <c r="P27" s="41"/>
      <c r="Q27" s="200"/>
    </row>
    <row r="28" spans="1:17" ht="20.100000000000001" customHeight="1">
      <c r="A28" s="213" t="s">
        <v>25</v>
      </c>
      <c r="B28" s="128"/>
      <c r="C28" s="117"/>
      <c r="D28" s="129"/>
      <c r="E28" s="118"/>
      <c r="F28" s="117"/>
      <c r="G28" s="270"/>
      <c r="H28" s="82"/>
      <c r="I28" s="83"/>
      <c r="J28" s="84">
        <f t="shared" si="2"/>
        <v>0</v>
      </c>
      <c r="K28" s="82"/>
      <c r="L28" s="83"/>
      <c r="M28" s="84">
        <f t="shared" si="3"/>
        <v>0</v>
      </c>
      <c r="N28" s="128" t="str">
        <f t="shared" si="4"/>
        <v xml:space="preserve"> </v>
      </c>
      <c r="O28" s="128"/>
      <c r="P28" s="130"/>
      <c r="Q28" s="200"/>
    </row>
    <row r="29" spans="1:17" ht="20.100000000000001" customHeight="1">
      <c r="A29" s="222"/>
      <c r="B29" s="147"/>
      <c r="C29" s="151"/>
      <c r="D29" s="152"/>
      <c r="E29" s="153"/>
      <c r="F29" s="151"/>
      <c r="G29" s="271"/>
      <c r="H29" s="272"/>
      <c r="I29" s="273"/>
      <c r="J29" s="274">
        <f t="shared" si="2"/>
        <v>0</v>
      </c>
      <c r="K29" s="272"/>
      <c r="L29" s="273"/>
      <c r="M29" s="274">
        <f t="shared" si="3"/>
        <v>0</v>
      </c>
      <c r="N29" s="147" t="str">
        <f t="shared" si="4"/>
        <v xml:space="preserve"> </v>
      </c>
      <c r="O29" s="147"/>
      <c r="P29" s="155"/>
      <c r="Q29" s="200"/>
    </row>
    <row r="30" spans="1:17" ht="20.100000000000001" customHeight="1">
      <c r="A30" s="222"/>
      <c r="B30" s="122"/>
      <c r="C30" s="258"/>
      <c r="D30" s="124"/>
      <c r="E30" s="125"/>
      <c r="F30" s="258"/>
      <c r="G30" s="266"/>
      <c r="H30" s="267"/>
      <c r="I30" s="268"/>
      <c r="J30" s="269">
        <f t="shared" si="2"/>
        <v>0</v>
      </c>
      <c r="K30" s="267"/>
      <c r="L30" s="268"/>
      <c r="M30" s="269">
        <f t="shared" si="3"/>
        <v>0</v>
      </c>
      <c r="N30" s="122" t="str">
        <f t="shared" si="4"/>
        <v xml:space="preserve"> </v>
      </c>
      <c r="O30" s="122"/>
      <c r="P30" s="127"/>
      <c r="Q30" s="200"/>
    </row>
    <row r="31" spans="1:17" ht="20.100000000000001" customHeight="1" thickBot="1">
      <c r="A31" s="214"/>
      <c r="B31" s="49"/>
      <c r="C31" s="50"/>
      <c r="D31" s="51"/>
      <c r="E31" s="52"/>
      <c r="F31" s="50"/>
      <c r="G31" s="85"/>
      <c r="H31" s="86"/>
      <c r="I31" s="87"/>
      <c r="J31" s="88">
        <f t="shared" si="2"/>
        <v>0</v>
      </c>
      <c r="K31" s="86"/>
      <c r="L31" s="87"/>
      <c r="M31" s="88">
        <f t="shared" si="3"/>
        <v>0</v>
      </c>
      <c r="N31" s="49" t="str">
        <f t="shared" si="4"/>
        <v xml:space="preserve"> </v>
      </c>
      <c r="O31" s="49"/>
      <c r="P31" s="53"/>
      <c r="Q31" s="200"/>
    </row>
    <row r="32" spans="1:17" ht="15.75" customHeight="1" thickBot="1">
      <c r="A32" s="54" t="s">
        <v>26</v>
      </c>
      <c r="B32" s="89" t="str">
        <f>IF(SUM(B23:B31)=0," ",SUM(B23:B31))</f>
        <v xml:space="preserve"> </v>
      </c>
      <c r="C32" s="192"/>
      <c r="D32" s="193"/>
      <c r="E32" s="56" t="str">
        <f>IF(SUM(E23:E31)=0," ",SUM(E23:E31))</f>
        <v xml:space="preserve"> </v>
      </c>
      <c r="F32" s="192"/>
      <c r="G32" s="193"/>
      <c r="H32" s="224" t="str">
        <f>IF(SUM(J23:J31)=0," ",SUM(J23:J31))</f>
        <v xml:space="preserve"> </v>
      </c>
      <c r="I32" s="225"/>
      <c r="J32" s="226"/>
      <c r="K32" s="221" t="str">
        <f>IF(SUM(M23:M31)=0," ",SUM(M23:M31))</f>
        <v xml:space="preserve"> </v>
      </c>
      <c r="L32" s="197"/>
      <c r="M32" s="198"/>
      <c r="N32" s="56" t="str">
        <f>IF(SUM(N23:N31)=0," ",SUM(N23:N31))</f>
        <v xml:space="preserve"> </v>
      </c>
      <c r="O32" s="192"/>
      <c r="P32" s="193"/>
      <c r="Q32" s="223"/>
    </row>
    <row r="33" spans="1:17" ht="15" customHeight="1">
      <c r="A33" s="199" t="s">
        <v>28</v>
      </c>
      <c r="B33" s="20"/>
      <c r="C33" s="21"/>
      <c r="D33" s="22"/>
      <c r="E33" s="23"/>
      <c r="F33" s="24"/>
      <c r="G33" s="25"/>
      <c r="H33" s="201"/>
      <c r="I33" s="202"/>
      <c r="J33" s="203"/>
      <c r="K33" s="201"/>
      <c r="L33" s="202"/>
      <c r="M33" s="203"/>
      <c r="N33" s="26" t="str">
        <f t="shared" ref="N33:N41" si="5">IF(((B33+E33)-(H33+K33))=0," ",((B33+E33)-(H33+K33)))</f>
        <v xml:space="preserve"> </v>
      </c>
      <c r="O33" s="26"/>
      <c r="P33" s="27"/>
      <c r="Q33" s="199"/>
    </row>
    <row r="34" spans="1:17" ht="15" customHeight="1">
      <c r="A34" s="200"/>
      <c r="B34" s="255"/>
      <c r="C34" s="256"/>
      <c r="D34" s="257"/>
      <c r="E34" s="106"/>
      <c r="F34" s="96"/>
      <c r="G34" s="97"/>
      <c r="H34" s="210"/>
      <c r="I34" s="211"/>
      <c r="J34" s="212"/>
      <c r="K34" s="210"/>
      <c r="L34" s="211"/>
      <c r="M34" s="212"/>
      <c r="N34" s="95" t="str">
        <f t="shared" si="5"/>
        <v xml:space="preserve"> </v>
      </c>
      <c r="O34" s="95"/>
      <c r="P34" s="114"/>
      <c r="Q34" s="200"/>
    </row>
    <row r="35" spans="1:17" ht="15" customHeight="1">
      <c r="A35" s="200"/>
      <c r="B35" s="255"/>
      <c r="C35" s="256"/>
      <c r="D35" s="257"/>
      <c r="E35" s="106"/>
      <c r="F35" s="96"/>
      <c r="G35" s="97"/>
      <c r="H35" s="210"/>
      <c r="I35" s="211"/>
      <c r="J35" s="212"/>
      <c r="K35" s="210"/>
      <c r="L35" s="211"/>
      <c r="M35" s="212"/>
      <c r="N35" s="95" t="str">
        <f t="shared" si="5"/>
        <v xml:space="preserve"> </v>
      </c>
      <c r="O35" s="95"/>
      <c r="P35" s="114"/>
      <c r="Q35" s="200"/>
    </row>
    <row r="36" spans="1:17" ht="15" customHeight="1">
      <c r="A36" s="200"/>
      <c r="B36" s="28"/>
      <c r="C36" s="29"/>
      <c r="D36" s="30"/>
      <c r="E36" s="31"/>
      <c r="F36" s="32"/>
      <c r="G36" s="33"/>
      <c r="H36" s="207"/>
      <c r="I36" s="208"/>
      <c r="J36" s="209"/>
      <c r="K36" s="207"/>
      <c r="L36" s="208"/>
      <c r="M36" s="209"/>
      <c r="N36" s="34" t="str">
        <f t="shared" si="5"/>
        <v xml:space="preserve"> </v>
      </c>
      <c r="O36" s="34"/>
      <c r="P36" s="35"/>
      <c r="Q36" s="200"/>
    </row>
    <row r="37" spans="1:17" ht="15" customHeight="1" thickBot="1">
      <c r="A37" s="200"/>
      <c r="B37" s="36"/>
      <c r="C37" s="37"/>
      <c r="D37" s="38"/>
      <c r="E37" s="39"/>
      <c r="F37" s="40"/>
      <c r="G37" s="41"/>
      <c r="H37" s="210"/>
      <c r="I37" s="211"/>
      <c r="J37" s="212"/>
      <c r="K37" s="210"/>
      <c r="L37" s="211"/>
      <c r="M37" s="212"/>
      <c r="N37" s="42" t="str">
        <f t="shared" si="5"/>
        <v xml:space="preserve"> </v>
      </c>
      <c r="O37" s="42"/>
      <c r="P37" s="43"/>
      <c r="Q37" s="200"/>
    </row>
    <row r="38" spans="1:17" ht="20.100000000000001" customHeight="1">
      <c r="A38" s="213" t="s">
        <v>25</v>
      </c>
      <c r="B38" s="44"/>
      <c r="C38" s="45"/>
      <c r="D38" s="46"/>
      <c r="E38" s="47"/>
      <c r="F38" s="45"/>
      <c r="G38" s="46"/>
      <c r="H38" s="259"/>
      <c r="I38" s="260"/>
      <c r="J38" s="261"/>
      <c r="K38" s="259"/>
      <c r="L38" s="260"/>
      <c r="M38" s="261"/>
      <c r="N38" s="44" t="str">
        <f t="shared" si="5"/>
        <v xml:space="preserve"> </v>
      </c>
      <c r="O38" s="44"/>
      <c r="P38" s="48"/>
      <c r="Q38" s="200"/>
    </row>
    <row r="39" spans="1:17" ht="20.100000000000001" customHeight="1">
      <c r="A39" s="222"/>
      <c r="B39" s="147"/>
      <c r="C39" s="151"/>
      <c r="D39" s="152"/>
      <c r="E39" s="153"/>
      <c r="F39" s="151"/>
      <c r="G39" s="152"/>
      <c r="H39" s="154"/>
      <c r="I39" s="151"/>
      <c r="J39" s="153"/>
      <c r="K39" s="154"/>
      <c r="L39" s="151"/>
      <c r="M39" s="153"/>
      <c r="N39" s="147" t="str">
        <f t="shared" si="5"/>
        <v xml:space="preserve"> </v>
      </c>
      <c r="O39" s="147"/>
      <c r="P39" s="155"/>
      <c r="Q39" s="200"/>
    </row>
    <row r="40" spans="1:17" ht="20.100000000000001" customHeight="1">
      <c r="A40" s="222"/>
      <c r="B40" s="122"/>
      <c r="C40" s="258"/>
      <c r="D40" s="124"/>
      <c r="E40" s="125"/>
      <c r="F40" s="258"/>
      <c r="G40" s="124"/>
      <c r="H40" s="126"/>
      <c r="I40" s="258"/>
      <c r="J40" s="125"/>
      <c r="K40" s="126"/>
      <c r="L40" s="258"/>
      <c r="M40" s="125"/>
      <c r="N40" s="122" t="str">
        <f t="shared" si="5"/>
        <v xml:space="preserve"> </v>
      </c>
      <c r="O40" s="122"/>
      <c r="P40" s="127"/>
      <c r="Q40" s="200"/>
    </row>
    <row r="41" spans="1:17" ht="20.100000000000001" customHeight="1" thickBot="1">
      <c r="A41" s="214"/>
      <c r="B41" s="49"/>
      <c r="C41" s="50"/>
      <c r="D41" s="51"/>
      <c r="E41" s="52"/>
      <c r="F41" s="50"/>
      <c r="G41" s="51"/>
      <c r="H41" s="218"/>
      <c r="I41" s="219"/>
      <c r="J41" s="220"/>
      <c r="K41" s="218"/>
      <c r="L41" s="219"/>
      <c r="M41" s="220"/>
      <c r="N41" s="49" t="str">
        <f t="shared" si="5"/>
        <v xml:space="preserve"> </v>
      </c>
      <c r="O41" s="49"/>
      <c r="P41" s="53"/>
      <c r="Q41" s="200"/>
    </row>
    <row r="42" spans="1:17" ht="15.75" customHeight="1" thickBot="1">
      <c r="A42" s="54" t="s">
        <v>26</v>
      </c>
      <c r="B42" s="89" t="str">
        <f>IF(SUM(B33:B41)=0," ",SUM(B33:B41))</f>
        <v xml:space="preserve"> </v>
      </c>
      <c r="C42" s="192"/>
      <c r="D42" s="193"/>
      <c r="E42" s="56" t="str">
        <f>IF(SUM(E33:E41)=0," ",SUM(E33:E41))</f>
        <v xml:space="preserve"> </v>
      </c>
      <c r="F42" s="192"/>
      <c r="G42" s="193"/>
      <c r="H42" s="194" t="str">
        <f>IF(SUM(H33:J41)=0," ",SUM(H33:J41))</f>
        <v xml:space="preserve"> </v>
      </c>
      <c r="I42" s="195"/>
      <c r="J42" s="196"/>
      <c r="K42" s="197" t="str">
        <f>IF(SUM(K33:M41)=0," ",SUM(K33:M41))</f>
        <v xml:space="preserve"> </v>
      </c>
      <c r="L42" s="197"/>
      <c r="M42" s="198"/>
      <c r="N42" s="56" t="str">
        <f>IF(SUM(N33:N41)=0," ",SUM(N33:N41))</f>
        <v xml:space="preserve"> </v>
      </c>
      <c r="O42" s="192"/>
      <c r="P42" s="193"/>
      <c r="Q42" s="223"/>
    </row>
    <row r="43" spans="1:17" ht="15" customHeight="1">
      <c r="A43" s="199" t="s">
        <v>29</v>
      </c>
      <c r="B43" s="20"/>
      <c r="C43" s="21"/>
      <c r="D43" s="22"/>
      <c r="E43" s="23"/>
      <c r="F43" s="24"/>
      <c r="G43" s="25"/>
      <c r="H43" s="201"/>
      <c r="I43" s="202"/>
      <c r="J43" s="203"/>
      <c r="K43" s="201"/>
      <c r="L43" s="202"/>
      <c r="M43" s="203"/>
      <c r="N43" s="26" t="str">
        <f>IF((((B43+E43)*10)-(H43+K43))/10=0," ",(((B43+E43)*10)-(H43+K43))/10)</f>
        <v xml:space="preserve"> </v>
      </c>
      <c r="O43" s="26"/>
      <c r="P43" s="27"/>
      <c r="Q43" s="199"/>
    </row>
    <row r="44" spans="1:17" ht="15" customHeight="1">
      <c r="A44" s="200"/>
      <c r="B44" s="255"/>
      <c r="C44" s="256"/>
      <c r="D44" s="257"/>
      <c r="E44" s="106"/>
      <c r="F44" s="96"/>
      <c r="G44" s="97"/>
      <c r="H44" s="210"/>
      <c r="I44" s="211"/>
      <c r="J44" s="212"/>
      <c r="K44" s="210"/>
      <c r="L44" s="211"/>
      <c r="M44" s="212"/>
      <c r="N44" s="95" t="str">
        <f t="shared" ref="N44:N51" si="6">IF((((B44+E44)*10)-(H44+K44))/10=0," ",(((B44+E44)*10)-(H44+K44))/10)</f>
        <v xml:space="preserve"> </v>
      </c>
      <c r="O44" s="95"/>
      <c r="P44" s="114"/>
      <c r="Q44" s="200"/>
    </row>
    <row r="45" spans="1:17" ht="15" customHeight="1">
      <c r="A45" s="200"/>
      <c r="B45" s="255"/>
      <c r="C45" s="256"/>
      <c r="D45" s="257"/>
      <c r="E45" s="106"/>
      <c r="F45" s="96"/>
      <c r="G45" s="97"/>
      <c r="H45" s="210"/>
      <c r="I45" s="211"/>
      <c r="J45" s="212"/>
      <c r="K45" s="210"/>
      <c r="L45" s="211"/>
      <c r="M45" s="212"/>
      <c r="N45" s="95" t="str">
        <f t="shared" si="6"/>
        <v xml:space="preserve"> </v>
      </c>
      <c r="O45" s="95"/>
      <c r="P45" s="114"/>
      <c r="Q45" s="200"/>
    </row>
    <row r="46" spans="1:17" ht="15" customHeight="1">
      <c r="A46" s="200"/>
      <c r="B46" s="28"/>
      <c r="C46" s="29"/>
      <c r="D46" s="30"/>
      <c r="E46" s="31"/>
      <c r="F46" s="32"/>
      <c r="G46" s="33"/>
      <c r="H46" s="207"/>
      <c r="I46" s="208"/>
      <c r="J46" s="209"/>
      <c r="K46" s="207"/>
      <c r="L46" s="208"/>
      <c r="M46" s="209"/>
      <c r="N46" s="34" t="str">
        <f t="shared" si="6"/>
        <v xml:space="preserve"> </v>
      </c>
      <c r="O46" s="34"/>
      <c r="P46" s="35"/>
      <c r="Q46" s="200"/>
    </row>
    <row r="47" spans="1:17" ht="15" customHeight="1" thickBot="1">
      <c r="A47" s="200"/>
      <c r="B47" s="36"/>
      <c r="C47" s="37"/>
      <c r="D47" s="38"/>
      <c r="E47" s="39"/>
      <c r="F47" s="40"/>
      <c r="G47" s="41"/>
      <c r="H47" s="210"/>
      <c r="I47" s="211"/>
      <c r="J47" s="212"/>
      <c r="K47" s="210"/>
      <c r="L47" s="211"/>
      <c r="M47" s="212"/>
      <c r="N47" s="42" t="str">
        <f t="shared" si="6"/>
        <v xml:space="preserve"> </v>
      </c>
      <c r="O47" s="42"/>
      <c r="P47" s="43"/>
      <c r="Q47" s="200"/>
    </row>
    <row r="48" spans="1:17" ht="20.100000000000001" customHeight="1">
      <c r="A48" s="213" t="s">
        <v>25</v>
      </c>
      <c r="B48" s="44"/>
      <c r="C48" s="45"/>
      <c r="D48" s="46"/>
      <c r="E48" s="47"/>
      <c r="F48" s="45"/>
      <c r="G48" s="46"/>
      <c r="H48" s="259"/>
      <c r="I48" s="260"/>
      <c r="J48" s="261"/>
      <c r="K48" s="259"/>
      <c r="L48" s="260"/>
      <c r="M48" s="261"/>
      <c r="N48" s="44" t="str">
        <f t="shared" si="6"/>
        <v xml:space="preserve"> </v>
      </c>
      <c r="O48" s="44"/>
      <c r="P48" s="48"/>
      <c r="Q48" s="200"/>
    </row>
    <row r="49" spans="1:17" ht="20.100000000000001" customHeight="1">
      <c r="A49" s="222"/>
      <c r="B49" s="147"/>
      <c r="C49" s="151"/>
      <c r="D49" s="152"/>
      <c r="E49" s="153"/>
      <c r="F49" s="151"/>
      <c r="G49" s="152"/>
      <c r="H49" s="154"/>
      <c r="I49" s="151"/>
      <c r="J49" s="153"/>
      <c r="K49" s="154"/>
      <c r="L49" s="151"/>
      <c r="M49" s="153"/>
      <c r="N49" s="147" t="str">
        <f t="shared" si="6"/>
        <v xml:space="preserve"> </v>
      </c>
      <c r="O49" s="147"/>
      <c r="P49" s="155"/>
      <c r="Q49" s="200"/>
    </row>
    <row r="50" spans="1:17" ht="20.100000000000001" customHeight="1">
      <c r="A50" s="222"/>
      <c r="B50" s="122"/>
      <c r="C50" s="258"/>
      <c r="D50" s="124"/>
      <c r="E50" s="125"/>
      <c r="F50" s="258"/>
      <c r="G50" s="124"/>
      <c r="H50" s="126"/>
      <c r="I50" s="258"/>
      <c r="J50" s="125"/>
      <c r="K50" s="126"/>
      <c r="L50" s="258"/>
      <c r="M50" s="125"/>
      <c r="N50" s="122" t="str">
        <f t="shared" si="6"/>
        <v xml:space="preserve"> </v>
      </c>
      <c r="O50" s="122"/>
      <c r="P50" s="127"/>
      <c r="Q50" s="200"/>
    </row>
    <row r="51" spans="1:17" ht="20.100000000000001" customHeight="1" thickBot="1">
      <c r="A51" s="214"/>
      <c r="B51" s="49"/>
      <c r="C51" s="50"/>
      <c r="D51" s="51"/>
      <c r="E51" s="52"/>
      <c r="F51" s="50"/>
      <c r="G51" s="51"/>
      <c r="H51" s="218"/>
      <c r="I51" s="219"/>
      <c r="J51" s="220"/>
      <c r="K51" s="218"/>
      <c r="L51" s="219"/>
      <c r="M51" s="220"/>
      <c r="N51" s="49" t="str">
        <f t="shared" si="6"/>
        <v xml:space="preserve"> </v>
      </c>
      <c r="O51" s="49"/>
      <c r="P51" s="53"/>
      <c r="Q51" s="200"/>
    </row>
    <row r="52" spans="1:17" ht="15.75" customHeight="1" thickBot="1">
      <c r="A52" s="54" t="s">
        <v>26</v>
      </c>
      <c r="B52" s="89" t="str">
        <f>IF(SUM(B43:B51)=0," ",SUM(B43:B51))</f>
        <v xml:space="preserve"> </v>
      </c>
      <c r="C52" s="192"/>
      <c r="D52" s="193"/>
      <c r="E52" s="56" t="str">
        <f>IF(SUM(E43:E51)=0," ",SUM(E43:E51))</f>
        <v xml:space="preserve"> </v>
      </c>
      <c r="F52" s="192"/>
      <c r="G52" s="193"/>
      <c r="H52" s="194" t="str">
        <f>IF(SUM(H43:J51)=0," ",SUM(H43:J51))</f>
        <v xml:space="preserve"> </v>
      </c>
      <c r="I52" s="195"/>
      <c r="J52" s="196"/>
      <c r="K52" s="197" t="str">
        <f>IF(SUM(K43:M51)=0," ",SUM(K43:M51))</f>
        <v xml:space="preserve"> </v>
      </c>
      <c r="L52" s="197"/>
      <c r="M52" s="198"/>
      <c r="N52" s="56" t="str">
        <f>IF(SUM(N43:N51)=0," ",SUM(N43:N51))</f>
        <v xml:space="preserve"> </v>
      </c>
      <c r="O52" s="192"/>
      <c r="P52" s="193"/>
      <c r="Q52" s="223"/>
    </row>
    <row r="53" spans="1:17" ht="15" customHeight="1">
      <c r="A53" s="199" t="s">
        <v>30</v>
      </c>
      <c r="B53" s="20"/>
      <c r="C53" s="21"/>
      <c r="D53" s="22"/>
      <c r="E53" s="23"/>
      <c r="F53" s="24"/>
      <c r="G53" s="25"/>
      <c r="H53" s="201"/>
      <c r="I53" s="202"/>
      <c r="J53" s="203"/>
      <c r="K53" s="201"/>
      <c r="L53" s="202"/>
      <c r="M53" s="203"/>
      <c r="N53" s="26" t="str">
        <f>IF(((B53+E53)-(H53+K53))=0," ",((B53+E53)-(H53+K53)))</f>
        <v xml:space="preserve"> </v>
      </c>
      <c r="O53" s="26"/>
      <c r="P53" s="27"/>
      <c r="Q53" s="227"/>
    </row>
    <row r="54" spans="1:17" ht="15" customHeight="1">
      <c r="A54" s="200"/>
      <c r="B54" s="255"/>
      <c r="C54" s="256"/>
      <c r="D54" s="257"/>
      <c r="E54" s="106"/>
      <c r="F54" s="96"/>
      <c r="G54" s="97"/>
      <c r="H54" s="210"/>
      <c r="I54" s="211"/>
      <c r="J54" s="212"/>
      <c r="K54" s="210"/>
      <c r="L54" s="211"/>
      <c r="M54" s="212"/>
      <c r="N54" s="95" t="str">
        <f t="shared" ref="N54:N61" si="7">IF(((B54+E54)-(H54+K54))=0," ",((B54+E54)-(H54+K54)))</f>
        <v xml:space="preserve"> </v>
      </c>
      <c r="O54" s="95"/>
      <c r="P54" s="114"/>
      <c r="Q54" s="228"/>
    </row>
    <row r="55" spans="1:17" ht="15" customHeight="1">
      <c r="A55" s="200"/>
      <c r="B55" s="255"/>
      <c r="C55" s="256"/>
      <c r="D55" s="257"/>
      <c r="E55" s="106"/>
      <c r="F55" s="96"/>
      <c r="G55" s="97"/>
      <c r="H55" s="210"/>
      <c r="I55" s="211"/>
      <c r="J55" s="212"/>
      <c r="K55" s="210"/>
      <c r="L55" s="211"/>
      <c r="M55" s="212"/>
      <c r="N55" s="95" t="str">
        <f t="shared" si="7"/>
        <v xml:space="preserve"> </v>
      </c>
      <c r="O55" s="95"/>
      <c r="P55" s="114"/>
      <c r="Q55" s="228"/>
    </row>
    <row r="56" spans="1:17" ht="15" customHeight="1">
      <c r="A56" s="200"/>
      <c r="B56" s="28"/>
      <c r="C56" s="29"/>
      <c r="D56" s="30"/>
      <c r="E56" s="31"/>
      <c r="F56" s="32"/>
      <c r="G56" s="33"/>
      <c r="H56" s="207"/>
      <c r="I56" s="208"/>
      <c r="J56" s="209"/>
      <c r="K56" s="207"/>
      <c r="L56" s="208"/>
      <c r="M56" s="209"/>
      <c r="N56" s="34" t="str">
        <f t="shared" si="7"/>
        <v xml:space="preserve"> </v>
      </c>
      <c r="O56" s="34"/>
      <c r="P56" s="35"/>
      <c r="Q56" s="228"/>
    </row>
    <row r="57" spans="1:17" ht="15" customHeight="1" thickBot="1">
      <c r="A57" s="200"/>
      <c r="B57" s="36"/>
      <c r="C57" s="37"/>
      <c r="D57" s="38"/>
      <c r="E57" s="39"/>
      <c r="F57" s="40"/>
      <c r="G57" s="41"/>
      <c r="H57" s="210"/>
      <c r="I57" s="211"/>
      <c r="J57" s="212"/>
      <c r="K57" s="210"/>
      <c r="L57" s="211"/>
      <c r="M57" s="212"/>
      <c r="N57" s="42" t="str">
        <f t="shared" si="7"/>
        <v xml:space="preserve"> </v>
      </c>
      <c r="O57" s="42"/>
      <c r="P57" s="43"/>
      <c r="Q57" s="228"/>
    </row>
    <row r="58" spans="1:17" ht="20.100000000000001" customHeight="1">
      <c r="A58" s="213" t="s">
        <v>25</v>
      </c>
      <c r="B58" s="44"/>
      <c r="C58" s="45"/>
      <c r="D58" s="46"/>
      <c r="E58" s="47"/>
      <c r="F58" s="45"/>
      <c r="G58" s="46"/>
      <c r="H58" s="259"/>
      <c r="I58" s="260"/>
      <c r="J58" s="261"/>
      <c r="K58" s="259"/>
      <c r="L58" s="260"/>
      <c r="M58" s="261"/>
      <c r="N58" s="44" t="str">
        <f t="shared" si="7"/>
        <v xml:space="preserve"> </v>
      </c>
      <c r="O58" s="44"/>
      <c r="P58" s="48"/>
      <c r="Q58" s="228"/>
    </row>
    <row r="59" spans="1:17" ht="20.100000000000001" customHeight="1">
      <c r="A59" s="222"/>
      <c r="B59" s="147"/>
      <c r="C59" s="151"/>
      <c r="D59" s="152"/>
      <c r="E59" s="153"/>
      <c r="F59" s="151"/>
      <c r="G59" s="152"/>
      <c r="H59" s="154"/>
      <c r="I59" s="151"/>
      <c r="J59" s="153"/>
      <c r="K59" s="154"/>
      <c r="L59" s="151"/>
      <c r="M59" s="153"/>
      <c r="N59" s="147" t="str">
        <f t="shared" si="7"/>
        <v xml:space="preserve"> </v>
      </c>
      <c r="O59" s="147"/>
      <c r="P59" s="155"/>
      <c r="Q59" s="228"/>
    </row>
    <row r="60" spans="1:17" ht="20.100000000000001" customHeight="1">
      <c r="A60" s="222"/>
      <c r="B60" s="122"/>
      <c r="C60" s="258"/>
      <c r="D60" s="124"/>
      <c r="E60" s="125"/>
      <c r="F60" s="258"/>
      <c r="G60" s="124"/>
      <c r="H60" s="126"/>
      <c r="I60" s="258"/>
      <c r="J60" s="125"/>
      <c r="K60" s="126"/>
      <c r="L60" s="258"/>
      <c r="M60" s="125"/>
      <c r="N60" s="122" t="str">
        <f t="shared" si="7"/>
        <v xml:space="preserve"> </v>
      </c>
      <c r="O60" s="122"/>
      <c r="P60" s="127"/>
      <c r="Q60" s="228"/>
    </row>
    <row r="61" spans="1:17" ht="20.100000000000001" customHeight="1" thickBot="1">
      <c r="A61" s="214"/>
      <c r="B61" s="49"/>
      <c r="C61" s="50"/>
      <c r="D61" s="51"/>
      <c r="E61" s="52"/>
      <c r="F61" s="50"/>
      <c r="G61" s="51"/>
      <c r="H61" s="218"/>
      <c r="I61" s="219"/>
      <c r="J61" s="220"/>
      <c r="K61" s="218"/>
      <c r="L61" s="219"/>
      <c r="M61" s="220"/>
      <c r="N61" s="49" t="str">
        <f t="shared" si="7"/>
        <v xml:space="preserve"> </v>
      </c>
      <c r="O61" s="49"/>
      <c r="P61" s="53"/>
      <c r="Q61" s="228"/>
    </row>
    <row r="62" spans="1:17" ht="15.75" customHeight="1" thickBot="1">
      <c r="A62" s="54" t="s">
        <v>26</v>
      </c>
      <c r="B62" s="89" t="str">
        <f>IF(SUM(B53:B61)=0," ",SUM(B53:B61))</f>
        <v xml:space="preserve"> </v>
      </c>
      <c r="C62" s="192"/>
      <c r="D62" s="193"/>
      <c r="E62" s="56" t="str">
        <f>IF(SUM(E53:E61)=0," ",SUM(E53:E61))</f>
        <v xml:space="preserve"> </v>
      </c>
      <c r="F62" s="192"/>
      <c r="G62" s="193"/>
      <c r="H62" s="194" t="str">
        <f>IF(SUM(H53:J61)=0," ",SUM(H53:J61))</f>
        <v xml:space="preserve"> </v>
      </c>
      <c r="I62" s="195"/>
      <c r="J62" s="196"/>
      <c r="K62" s="197" t="str">
        <f>IF(SUM(K53:M61)=0," ",SUM(K53:M61))</f>
        <v xml:space="preserve"> </v>
      </c>
      <c r="L62" s="197"/>
      <c r="M62" s="198"/>
      <c r="N62" s="56" t="str">
        <f>IF(SUM(N53:N61)=0," ",SUM(N53:N61))</f>
        <v xml:space="preserve"> </v>
      </c>
      <c r="O62" s="192"/>
      <c r="P62" s="193"/>
      <c r="Q62" s="229"/>
    </row>
    <row r="63" spans="1:17" ht="16.5" customHeight="1">
      <c r="A63" s="199" t="s">
        <v>31</v>
      </c>
      <c r="B63" s="20"/>
      <c r="C63" s="21"/>
      <c r="D63" s="22"/>
      <c r="E63" s="23"/>
      <c r="F63" s="24"/>
      <c r="G63" s="25"/>
      <c r="H63" s="201"/>
      <c r="I63" s="202"/>
      <c r="J63" s="203"/>
      <c r="K63" s="201"/>
      <c r="L63" s="202"/>
      <c r="M63" s="203"/>
      <c r="N63" s="26" t="str">
        <f t="shared" ref="N63:N71" si="8">IF(((B63+E63)-(H63+K63))=0," ",((B63+E63)-(H63+K63)))</f>
        <v xml:space="preserve"> </v>
      </c>
      <c r="O63" s="26"/>
      <c r="P63" s="27"/>
      <c r="Q63" s="199"/>
    </row>
    <row r="64" spans="1:17" ht="16.5" customHeight="1">
      <c r="A64" s="200"/>
      <c r="B64" s="255"/>
      <c r="C64" s="256"/>
      <c r="D64" s="257"/>
      <c r="E64" s="106"/>
      <c r="F64" s="96"/>
      <c r="G64" s="97"/>
      <c r="H64" s="210"/>
      <c r="I64" s="211"/>
      <c r="J64" s="212"/>
      <c r="K64" s="210"/>
      <c r="L64" s="211"/>
      <c r="M64" s="212"/>
      <c r="N64" s="95" t="str">
        <f t="shared" si="8"/>
        <v xml:space="preserve"> </v>
      </c>
      <c r="O64" s="95"/>
      <c r="P64" s="114"/>
      <c r="Q64" s="200"/>
    </row>
    <row r="65" spans="1:17" ht="16.5" customHeight="1">
      <c r="A65" s="200"/>
      <c r="B65" s="255"/>
      <c r="C65" s="256"/>
      <c r="D65" s="257"/>
      <c r="E65" s="106"/>
      <c r="F65" s="96"/>
      <c r="G65" s="97"/>
      <c r="H65" s="210"/>
      <c r="I65" s="211"/>
      <c r="J65" s="212"/>
      <c r="K65" s="210"/>
      <c r="L65" s="211"/>
      <c r="M65" s="212"/>
      <c r="N65" s="95" t="str">
        <f t="shared" si="8"/>
        <v xml:space="preserve"> </v>
      </c>
      <c r="O65" s="95"/>
      <c r="P65" s="114"/>
      <c r="Q65" s="200"/>
    </row>
    <row r="66" spans="1:17" ht="16.5" customHeight="1">
      <c r="A66" s="200"/>
      <c r="B66" s="28"/>
      <c r="C66" s="29"/>
      <c r="D66" s="30"/>
      <c r="E66" s="31"/>
      <c r="F66" s="32"/>
      <c r="G66" s="33"/>
      <c r="H66" s="207"/>
      <c r="I66" s="208"/>
      <c r="J66" s="209"/>
      <c r="K66" s="207"/>
      <c r="L66" s="208"/>
      <c r="M66" s="209"/>
      <c r="N66" s="34" t="str">
        <f t="shared" si="8"/>
        <v xml:space="preserve"> </v>
      </c>
      <c r="O66" s="34"/>
      <c r="P66" s="35"/>
      <c r="Q66" s="200"/>
    </row>
    <row r="67" spans="1:17" ht="16.5" customHeight="1" thickBot="1">
      <c r="A67" s="200"/>
      <c r="B67" s="36"/>
      <c r="C67" s="37"/>
      <c r="D67" s="38"/>
      <c r="E67" s="39"/>
      <c r="F67" s="40"/>
      <c r="G67" s="41"/>
      <c r="H67" s="210"/>
      <c r="I67" s="211"/>
      <c r="J67" s="212"/>
      <c r="K67" s="210"/>
      <c r="L67" s="211"/>
      <c r="M67" s="212"/>
      <c r="N67" s="42" t="str">
        <f t="shared" si="8"/>
        <v xml:space="preserve"> </v>
      </c>
      <c r="O67" s="42"/>
      <c r="P67" s="43"/>
      <c r="Q67" s="200"/>
    </row>
    <row r="68" spans="1:17" ht="20.100000000000001" customHeight="1">
      <c r="A68" s="213" t="s">
        <v>25</v>
      </c>
      <c r="B68" s="44"/>
      <c r="C68" s="45"/>
      <c r="D68" s="46"/>
      <c r="E68" s="47"/>
      <c r="F68" s="45"/>
      <c r="G68" s="46"/>
      <c r="H68" s="259"/>
      <c r="I68" s="260"/>
      <c r="J68" s="261"/>
      <c r="K68" s="259"/>
      <c r="L68" s="260"/>
      <c r="M68" s="261"/>
      <c r="N68" s="44" t="str">
        <f t="shared" si="8"/>
        <v xml:space="preserve"> </v>
      </c>
      <c r="O68" s="44"/>
      <c r="P68" s="48"/>
      <c r="Q68" s="200"/>
    </row>
    <row r="69" spans="1:17" ht="20.100000000000001" customHeight="1">
      <c r="A69" s="222"/>
      <c r="B69" s="147"/>
      <c r="C69" s="151"/>
      <c r="D69" s="152"/>
      <c r="E69" s="153"/>
      <c r="F69" s="151"/>
      <c r="G69" s="152"/>
      <c r="H69" s="154"/>
      <c r="I69" s="151"/>
      <c r="J69" s="153"/>
      <c r="K69" s="154"/>
      <c r="L69" s="151"/>
      <c r="M69" s="153"/>
      <c r="N69" s="147" t="str">
        <f t="shared" si="8"/>
        <v xml:space="preserve"> </v>
      </c>
      <c r="O69" s="147"/>
      <c r="P69" s="155"/>
      <c r="Q69" s="200"/>
    </row>
    <row r="70" spans="1:17" ht="20.100000000000001" customHeight="1">
      <c r="A70" s="222"/>
      <c r="B70" s="122"/>
      <c r="C70" s="258"/>
      <c r="D70" s="124"/>
      <c r="E70" s="125"/>
      <c r="F70" s="258"/>
      <c r="G70" s="124"/>
      <c r="H70" s="126"/>
      <c r="I70" s="258"/>
      <c r="J70" s="125"/>
      <c r="K70" s="126"/>
      <c r="L70" s="258"/>
      <c r="M70" s="125"/>
      <c r="N70" s="122" t="str">
        <f t="shared" si="8"/>
        <v xml:space="preserve"> </v>
      </c>
      <c r="O70" s="122"/>
      <c r="P70" s="127"/>
      <c r="Q70" s="200"/>
    </row>
    <row r="71" spans="1:17" ht="20.100000000000001" customHeight="1" thickBot="1">
      <c r="A71" s="214"/>
      <c r="B71" s="49"/>
      <c r="C71" s="50"/>
      <c r="D71" s="51"/>
      <c r="E71" s="52"/>
      <c r="F71" s="50"/>
      <c r="G71" s="51"/>
      <c r="H71" s="218"/>
      <c r="I71" s="219"/>
      <c r="J71" s="220"/>
      <c r="K71" s="218"/>
      <c r="L71" s="219"/>
      <c r="M71" s="220"/>
      <c r="N71" s="49" t="str">
        <f t="shared" si="8"/>
        <v xml:space="preserve"> </v>
      </c>
      <c r="O71" s="49"/>
      <c r="P71" s="53"/>
      <c r="Q71" s="200"/>
    </row>
    <row r="72" spans="1:17" ht="15.75" customHeight="1" thickBot="1">
      <c r="A72" s="54" t="s">
        <v>26</v>
      </c>
      <c r="B72" s="89" t="str">
        <f>IF(SUM(B63:B71)=0," ",SUM(B63:B71))</f>
        <v xml:space="preserve"> </v>
      </c>
      <c r="C72" s="192"/>
      <c r="D72" s="193"/>
      <c r="E72" s="56" t="str">
        <f>IF(SUM(E63:E71)=0," ",SUM(E63:E71))</f>
        <v xml:space="preserve"> </v>
      </c>
      <c r="F72" s="192"/>
      <c r="G72" s="193"/>
      <c r="H72" s="194" t="str">
        <f>IF(SUM(H63:J71)=0," ",SUM(H63:J71))</f>
        <v xml:space="preserve"> </v>
      </c>
      <c r="I72" s="195"/>
      <c r="J72" s="196"/>
      <c r="K72" s="197" t="str">
        <f>IF(SUM(K63:M71)=0," ",SUM(K63:M71))</f>
        <v xml:space="preserve"> </v>
      </c>
      <c r="L72" s="197"/>
      <c r="M72" s="198"/>
      <c r="N72" s="56" t="str">
        <f>IF(SUM(N63:N71)=0," ",SUM(N63:N71))</f>
        <v xml:space="preserve"> </v>
      </c>
      <c r="O72" s="192"/>
      <c r="P72" s="193"/>
      <c r="Q72" s="223"/>
    </row>
    <row r="73" spans="1:17" ht="18" customHeight="1">
      <c r="A73" s="199" t="s">
        <v>148</v>
      </c>
      <c r="B73" s="20"/>
      <c r="C73" s="21"/>
      <c r="D73" s="22"/>
      <c r="E73" s="23"/>
      <c r="F73" s="24"/>
      <c r="G73" s="25"/>
      <c r="H73" s="201"/>
      <c r="I73" s="202"/>
      <c r="J73" s="203"/>
      <c r="K73" s="201"/>
      <c r="L73" s="202"/>
      <c r="M73" s="203"/>
      <c r="N73" s="26" t="str">
        <f>IF(((B73+E73)-(H73+K73))=0," ",((B73+E73)-(H73+K73)))</f>
        <v xml:space="preserve"> </v>
      </c>
      <c r="O73" s="26"/>
      <c r="P73" s="27"/>
      <c r="Q73" s="204"/>
    </row>
    <row r="74" spans="1:17" ht="18" customHeight="1">
      <c r="A74" s="200"/>
      <c r="B74" s="255"/>
      <c r="C74" s="256"/>
      <c r="D74" s="257"/>
      <c r="E74" s="106"/>
      <c r="F74" s="96"/>
      <c r="G74" s="97"/>
      <c r="H74" s="210"/>
      <c r="I74" s="211"/>
      <c r="J74" s="212"/>
      <c r="K74" s="210"/>
      <c r="L74" s="211"/>
      <c r="M74" s="212"/>
      <c r="N74" s="95" t="str">
        <f t="shared" ref="N74:N81" si="9">IF(((B74+E74)-(H74+K74))=0," ",((B74+E74)-(H74+K74)))</f>
        <v xml:space="preserve"> </v>
      </c>
      <c r="O74" s="95"/>
      <c r="P74" s="114"/>
      <c r="Q74" s="205"/>
    </row>
    <row r="75" spans="1:17" ht="18" customHeight="1">
      <c r="A75" s="200"/>
      <c r="B75" s="255"/>
      <c r="C75" s="256"/>
      <c r="D75" s="257"/>
      <c r="E75" s="106"/>
      <c r="F75" s="96"/>
      <c r="G75" s="97"/>
      <c r="H75" s="210"/>
      <c r="I75" s="211"/>
      <c r="J75" s="212"/>
      <c r="K75" s="210"/>
      <c r="L75" s="211"/>
      <c r="M75" s="212"/>
      <c r="N75" s="95" t="str">
        <f t="shared" si="9"/>
        <v xml:space="preserve"> </v>
      </c>
      <c r="O75" s="95"/>
      <c r="P75" s="114"/>
      <c r="Q75" s="205"/>
    </row>
    <row r="76" spans="1:17" ht="18" customHeight="1">
      <c r="A76" s="200"/>
      <c r="B76" s="28"/>
      <c r="C76" s="29"/>
      <c r="D76" s="30"/>
      <c r="E76" s="31"/>
      <c r="F76" s="32"/>
      <c r="G76" s="33"/>
      <c r="H76" s="207"/>
      <c r="I76" s="208"/>
      <c r="J76" s="209"/>
      <c r="K76" s="207"/>
      <c r="L76" s="208"/>
      <c r="M76" s="209"/>
      <c r="N76" s="34" t="str">
        <f t="shared" si="9"/>
        <v xml:space="preserve"> </v>
      </c>
      <c r="O76" s="34"/>
      <c r="P76" s="35"/>
      <c r="Q76" s="205"/>
    </row>
    <row r="77" spans="1:17" ht="18" customHeight="1" thickBot="1">
      <c r="A77" s="200"/>
      <c r="B77" s="36"/>
      <c r="C77" s="37"/>
      <c r="D77" s="38"/>
      <c r="E77" s="39"/>
      <c r="F77" s="40"/>
      <c r="G77" s="41"/>
      <c r="H77" s="210"/>
      <c r="I77" s="211"/>
      <c r="J77" s="212"/>
      <c r="K77" s="210"/>
      <c r="L77" s="211"/>
      <c r="M77" s="212"/>
      <c r="N77" s="42" t="str">
        <f t="shared" si="9"/>
        <v xml:space="preserve"> </v>
      </c>
      <c r="O77" s="42"/>
      <c r="P77" s="43"/>
      <c r="Q77" s="205"/>
    </row>
    <row r="78" spans="1:17" ht="20.100000000000001" customHeight="1">
      <c r="A78" s="213" t="s">
        <v>25</v>
      </c>
      <c r="B78" s="44"/>
      <c r="C78" s="45"/>
      <c r="D78" s="46"/>
      <c r="E78" s="47"/>
      <c r="F78" s="45"/>
      <c r="G78" s="46"/>
      <c r="H78" s="259"/>
      <c r="I78" s="260"/>
      <c r="J78" s="261"/>
      <c r="K78" s="259"/>
      <c r="L78" s="260"/>
      <c r="M78" s="261"/>
      <c r="N78" s="44" t="str">
        <f t="shared" si="9"/>
        <v xml:space="preserve"> </v>
      </c>
      <c r="O78" s="44"/>
      <c r="P78" s="48"/>
      <c r="Q78" s="205"/>
    </row>
    <row r="79" spans="1:17" ht="20.100000000000001" customHeight="1">
      <c r="A79" s="222"/>
      <c r="B79" s="147"/>
      <c r="C79" s="151"/>
      <c r="D79" s="152"/>
      <c r="E79" s="153"/>
      <c r="F79" s="151"/>
      <c r="G79" s="152"/>
      <c r="H79" s="154"/>
      <c r="I79" s="151"/>
      <c r="J79" s="153"/>
      <c r="K79" s="154"/>
      <c r="L79" s="151"/>
      <c r="M79" s="153"/>
      <c r="N79" s="147" t="str">
        <f t="shared" si="9"/>
        <v xml:space="preserve"> </v>
      </c>
      <c r="O79" s="147"/>
      <c r="P79" s="155"/>
      <c r="Q79" s="205"/>
    </row>
    <row r="80" spans="1:17" ht="20.100000000000001" customHeight="1">
      <c r="A80" s="222"/>
      <c r="B80" s="122"/>
      <c r="C80" s="258"/>
      <c r="D80" s="124"/>
      <c r="E80" s="125"/>
      <c r="F80" s="258"/>
      <c r="G80" s="124"/>
      <c r="H80" s="126"/>
      <c r="I80" s="258"/>
      <c r="J80" s="125"/>
      <c r="K80" s="126"/>
      <c r="L80" s="258"/>
      <c r="M80" s="125"/>
      <c r="N80" s="122" t="str">
        <f t="shared" si="9"/>
        <v xml:space="preserve"> </v>
      </c>
      <c r="O80" s="122"/>
      <c r="P80" s="127"/>
      <c r="Q80" s="205"/>
    </row>
    <row r="81" spans="1:17" ht="20.100000000000001" customHeight="1" thickBot="1">
      <c r="A81" s="214"/>
      <c r="B81" s="49"/>
      <c r="C81" s="50"/>
      <c r="D81" s="51"/>
      <c r="E81" s="52"/>
      <c r="F81" s="50"/>
      <c r="G81" s="51"/>
      <c r="H81" s="218"/>
      <c r="I81" s="219"/>
      <c r="J81" s="220"/>
      <c r="K81" s="218"/>
      <c r="L81" s="219"/>
      <c r="M81" s="220"/>
      <c r="N81" s="49" t="str">
        <f t="shared" si="9"/>
        <v xml:space="preserve"> </v>
      </c>
      <c r="O81" s="49"/>
      <c r="P81" s="53"/>
      <c r="Q81" s="205"/>
    </row>
    <row r="82" spans="1:17" ht="15.75" customHeight="1" thickBot="1">
      <c r="A82" s="54" t="s">
        <v>26</v>
      </c>
      <c r="B82" s="89" t="str">
        <f>IF(SUM(B73:B81)=0," ",SUM(B73:B81))</f>
        <v xml:space="preserve"> </v>
      </c>
      <c r="C82" s="192"/>
      <c r="D82" s="193"/>
      <c r="E82" s="56" t="str">
        <f>IF(SUM(E73:E81)=0," ",SUM(E73:E81))</f>
        <v xml:space="preserve"> </v>
      </c>
      <c r="F82" s="192"/>
      <c r="G82" s="193"/>
      <c r="H82" s="194" t="str">
        <f>IF(SUM(H73:J81)=0," ",SUM(H73:J81))</f>
        <v xml:space="preserve"> </v>
      </c>
      <c r="I82" s="195"/>
      <c r="J82" s="196"/>
      <c r="K82" s="197" t="str">
        <f>IF(SUM(K73:M81)=0," ",SUM(K73:M81))</f>
        <v xml:space="preserve"> </v>
      </c>
      <c r="L82" s="197"/>
      <c r="M82" s="198"/>
      <c r="N82" s="56" t="str">
        <f>IF(SUM(N73:N81)=0," ",SUM(N73:N81))</f>
        <v xml:space="preserve"> </v>
      </c>
      <c r="O82" s="192"/>
      <c r="P82" s="193"/>
      <c r="Q82" s="206"/>
    </row>
    <row r="83" spans="1:17" ht="18" customHeight="1">
      <c r="A83" s="199" t="s">
        <v>35</v>
      </c>
      <c r="B83" s="20"/>
      <c r="C83" s="21"/>
      <c r="D83" s="22"/>
      <c r="E83" s="23"/>
      <c r="F83" s="24"/>
      <c r="G83" s="25"/>
      <c r="H83" s="201"/>
      <c r="I83" s="202"/>
      <c r="J83" s="203"/>
      <c r="K83" s="201"/>
      <c r="L83" s="202"/>
      <c r="M83" s="203"/>
      <c r="N83" s="26" t="str">
        <f>IF(((B83+E83)-(H83+K83))=0," ",((B83+E83)-(H83+K83)))</f>
        <v xml:space="preserve"> </v>
      </c>
      <c r="O83" s="26"/>
      <c r="P83" s="27"/>
      <c r="Q83" s="199"/>
    </row>
    <row r="84" spans="1:17" ht="18" customHeight="1">
      <c r="A84" s="200"/>
      <c r="B84" s="255"/>
      <c r="C84" s="256"/>
      <c r="D84" s="257"/>
      <c r="E84" s="106"/>
      <c r="F84" s="96"/>
      <c r="G84" s="97"/>
      <c r="H84" s="210"/>
      <c r="I84" s="211"/>
      <c r="J84" s="212"/>
      <c r="K84" s="210"/>
      <c r="L84" s="211"/>
      <c r="M84" s="212"/>
      <c r="N84" s="95" t="str">
        <f t="shared" ref="N84:N91" si="10">IF(((B84+E84)-(H84+K84))=0," ",((B84+E84)-(H84+K84)))</f>
        <v xml:space="preserve"> </v>
      </c>
      <c r="O84" s="95"/>
      <c r="P84" s="114"/>
      <c r="Q84" s="200"/>
    </row>
    <row r="85" spans="1:17" ht="18" customHeight="1">
      <c r="A85" s="200"/>
      <c r="B85" s="255"/>
      <c r="C85" s="256"/>
      <c r="D85" s="257"/>
      <c r="E85" s="106"/>
      <c r="F85" s="96"/>
      <c r="G85" s="97"/>
      <c r="H85" s="210"/>
      <c r="I85" s="211"/>
      <c r="J85" s="212"/>
      <c r="K85" s="210"/>
      <c r="L85" s="211"/>
      <c r="M85" s="212"/>
      <c r="N85" s="95" t="str">
        <f t="shared" si="10"/>
        <v xml:space="preserve"> </v>
      </c>
      <c r="O85" s="95"/>
      <c r="P85" s="114"/>
      <c r="Q85" s="200"/>
    </row>
    <row r="86" spans="1:17" ht="18" customHeight="1">
      <c r="A86" s="200"/>
      <c r="B86" s="28"/>
      <c r="C86" s="29"/>
      <c r="D86" s="30"/>
      <c r="E86" s="31"/>
      <c r="F86" s="32"/>
      <c r="G86" s="33"/>
      <c r="H86" s="207"/>
      <c r="I86" s="208"/>
      <c r="J86" s="209"/>
      <c r="K86" s="207"/>
      <c r="L86" s="208"/>
      <c r="M86" s="209"/>
      <c r="N86" s="34" t="str">
        <f t="shared" si="10"/>
        <v xml:space="preserve"> </v>
      </c>
      <c r="O86" s="34"/>
      <c r="P86" s="35"/>
      <c r="Q86" s="200"/>
    </row>
    <row r="87" spans="1:17" ht="18" customHeight="1" thickBot="1">
      <c r="A87" s="200"/>
      <c r="B87" s="36"/>
      <c r="C87" s="37"/>
      <c r="D87" s="38"/>
      <c r="E87" s="39"/>
      <c r="F87" s="40"/>
      <c r="G87" s="41"/>
      <c r="H87" s="210"/>
      <c r="I87" s="211"/>
      <c r="J87" s="212"/>
      <c r="K87" s="210"/>
      <c r="L87" s="211"/>
      <c r="M87" s="212"/>
      <c r="N87" s="42" t="str">
        <f t="shared" si="10"/>
        <v xml:space="preserve"> </v>
      </c>
      <c r="O87" s="42"/>
      <c r="P87" s="43"/>
      <c r="Q87" s="200"/>
    </row>
    <row r="88" spans="1:17" ht="20.100000000000001" customHeight="1">
      <c r="A88" s="213" t="s">
        <v>25</v>
      </c>
      <c r="B88" s="44"/>
      <c r="C88" s="45"/>
      <c r="D88" s="46"/>
      <c r="E88" s="47"/>
      <c r="F88" s="45"/>
      <c r="G88" s="46"/>
      <c r="H88" s="259"/>
      <c r="I88" s="260"/>
      <c r="J88" s="261"/>
      <c r="K88" s="259"/>
      <c r="L88" s="260"/>
      <c r="M88" s="261"/>
      <c r="N88" s="44" t="str">
        <f t="shared" si="10"/>
        <v xml:space="preserve"> </v>
      </c>
      <c r="O88" s="44"/>
      <c r="P88" s="48"/>
      <c r="Q88" s="200"/>
    </row>
    <row r="89" spans="1:17" ht="20.100000000000001" customHeight="1">
      <c r="A89" s="222"/>
      <c r="B89" s="147"/>
      <c r="C89" s="151"/>
      <c r="D89" s="152"/>
      <c r="E89" s="153"/>
      <c r="F89" s="151"/>
      <c r="G89" s="152"/>
      <c r="H89" s="154"/>
      <c r="I89" s="151"/>
      <c r="J89" s="153"/>
      <c r="K89" s="154"/>
      <c r="L89" s="151"/>
      <c r="M89" s="153"/>
      <c r="N89" s="147" t="str">
        <f t="shared" si="10"/>
        <v xml:space="preserve"> </v>
      </c>
      <c r="O89" s="147"/>
      <c r="P89" s="155"/>
      <c r="Q89" s="200"/>
    </row>
    <row r="90" spans="1:17" ht="20.100000000000001" customHeight="1">
      <c r="A90" s="222"/>
      <c r="B90" s="122"/>
      <c r="C90" s="258"/>
      <c r="D90" s="124"/>
      <c r="E90" s="125"/>
      <c r="F90" s="258"/>
      <c r="G90" s="124"/>
      <c r="H90" s="126"/>
      <c r="I90" s="258"/>
      <c r="J90" s="125"/>
      <c r="K90" s="126"/>
      <c r="L90" s="258"/>
      <c r="M90" s="125"/>
      <c r="N90" s="122" t="str">
        <f t="shared" si="10"/>
        <v xml:space="preserve"> </v>
      </c>
      <c r="O90" s="122"/>
      <c r="P90" s="127"/>
      <c r="Q90" s="200"/>
    </row>
    <row r="91" spans="1:17" ht="20.100000000000001" customHeight="1" thickBot="1">
      <c r="A91" s="214"/>
      <c r="B91" s="49"/>
      <c r="C91" s="50"/>
      <c r="D91" s="51"/>
      <c r="E91" s="52"/>
      <c r="F91" s="50"/>
      <c r="G91" s="51"/>
      <c r="H91" s="218"/>
      <c r="I91" s="219"/>
      <c r="J91" s="220"/>
      <c r="K91" s="218"/>
      <c r="L91" s="219"/>
      <c r="M91" s="220"/>
      <c r="N91" s="49" t="str">
        <f t="shared" si="10"/>
        <v xml:space="preserve"> </v>
      </c>
      <c r="O91" s="49"/>
      <c r="P91" s="53"/>
      <c r="Q91" s="200"/>
    </row>
    <row r="92" spans="1:17" ht="15.75" customHeight="1" thickBot="1">
      <c r="A92" s="54" t="s">
        <v>26</v>
      </c>
      <c r="B92" s="89" t="str">
        <f>IF(SUM(B83:B91)=0," ",SUM(B83:B91))</f>
        <v xml:space="preserve"> </v>
      </c>
      <c r="C92" s="192"/>
      <c r="D92" s="193"/>
      <c r="E92" s="56" t="str">
        <f>IF(SUM(E83:E91)=0," ",SUM(E83:E91))</f>
        <v xml:space="preserve"> </v>
      </c>
      <c r="F92" s="192"/>
      <c r="G92" s="193"/>
      <c r="H92" s="194" t="str">
        <f>IF(SUM(H83:J91)=0," ",SUM(H83:J91))</f>
        <v xml:space="preserve"> </v>
      </c>
      <c r="I92" s="195"/>
      <c r="J92" s="196"/>
      <c r="K92" s="197" t="str">
        <f>IF(SUM(K83:M91)=0," ",SUM(K83:M91))</f>
        <v xml:space="preserve"> </v>
      </c>
      <c r="L92" s="197"/>
      <c r="M92" s="198"/>
      <c r="N92" s="56" t="str">
        <f>IF(SUM(N83:N91)=0," ",SUM(N83:N91))</f>
        <v xml:space="preserve"> </v>
      </c>
      <c r="O92" s="192"/>
      <c r="P92" s="193"/>
      <c r="Q92" s="223"/>
    </row>
    <row r="93" spans="1:17">
      <c r="A93" s="167" t="s">
        <v>33</v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</row>
    <row r="94" spans="1:17">
      <c r="A94" s="167" t="s">
        <v>1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</row>
    <row r="95" spans="1:17">
      <c r="A95" s="167" t="s">
        <v>2</v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</row>
    <row r="96" spans="1:17">
      <c r="A96" s="167" t="s">
        <v>3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</row>
    <row r="97" spans="1:17" ht="15" customHeight="1">
      <c r="A97" s="3" t="s">
        <v>4</v>
      </c>
      <c r="B97" s="13"/>
      <c r="C97" s="13"/>
      <c r="D97" s="13"/>
      <c r="E97" s="13"/>
      <c r="H97" s="5"/>
      <c r="I97" s="5"/>
      <c r="J97" s="5"/>
      <c r="K97" s="5"/>
      <c r="L97" s="168" t="s">
        <v>5</v>
      </c>
      <c r="M97" s="168"/>
      <c r="N97" s="168"/>
      <c r="O97" s="169" t="str">
        <f>IF(O5=0," ",O5)</f>
        <v xml:space="preserve"> </v>
      </c>
      <c r="P97" s="169"/>
      <c r="Q97" s="8"/>
    </row>
    <row r="98" spans="1:17">
      <c r="A98" s="187" t="s">
        <v>6</v>
      </c>
      <c r="B98" s="187"/>
      <c r="C98" s="187"/>
      <c r="D98" s="187"/>
      <c r="E98" s="187"/>
      <c r="N98" s="9"/>
      <c r="O98" s="9"/>
      <c r="P98" s="9"/>
      <c r="Q98" s="8"/>
    </row>
    <row r="99" spans="1:17">
      <c r="A99" s="7" t="s">
        <v>7</v>
      </c>
      <c r="B99" s="6" t="s">
        <v>8</v>
      </c>
      <c r="C99" s="10" t="str">
        <f>IF(C7=0," ",C7)</f>
        <v xml:space="preserve"> </v>
      </c>
      <c r="D99" s="6"/>
      <c r="E99" s="6" t="s">
        <v>9</v>
      </c>
      <c r="F99" s="11" t="str">
        <f>O97</f>
        <v xml:space="preserve"> </v>
      </c>
      <c r="G99" s="1"/>
      <c r="H99" s="8" t="s">
        <v>10</v>
      </c>
      <c r="I99" s="169" t="str">
        <f>IF(I7=0," ",I7)</f>
        <v xml:space="preserve"> </v>
      </c>
      <c r="J99" s="169"/>
      <c r="K99" s="12"/>
      <c r="L99" s="12"/>
      <c r="M99" s="168" t="s">
        <v>11</v>
      </c>
      <c r="N99" s="168"/>
      <c r="O99" s="169" t="str">
        <f>IF(O7=0," ",O7)</f>
        <v>QUERÉTARO</v>
      </c>
      <c r="P99" s="169"/>
    </row>
    <row r="100" spans="1:17">
      <c r="A100" s="188" t="s">
        <v>34</v>
      </c>
      <c r="B100" s="188"/>
      <c r="C100" s="188"/>
      <c r="D100" s="189" t="str">
        <f>IF(D8=0," ",D8)</f>
        <v>L.E. ANA MARÍA RAMÍREZ MUNGUÍA</v>
      </c>
      <c r="E100" s="189"/>
      <c r="F100" s="189"/>
      <c r="G100" s="189"/>
      <c r="H100" s="189"/>
      <c r="I100" s="189"/>
      <c r="J100" s="189"/>
      <c r="K100" s="189"/>
      <c r="L100" s="189"/>
    </row>
    <row r="101" spans="1:17" ht="15" thickBot="1">
      <c r="A101" s="8" t="s">
        <v>13</v>
      </c>
      <c r="B101" s="13"/>
      <c r="C101" s="13"/>
      <c r="D101" s="13"/>
      <c r="E101" s="13"/>
    </row>
    <row r="102" spans="1:17" ht="22.5" customHeight="1" thickBot="1">
      <c r="A102" s="170" t="s">
        <v>14</v>
      </c>
      <c r="B102" s="171" t="s">
        <v>15</v>
      </c>
      <c r="C102" s="172"/>
      <c r="D102" s="172"/>
      <c r="E102" s="171" t="s">
        <v>16</v>
      </c>
      <c r="F102" s="175"/>
      <c r="G102" s="176"/>
      <c r="H102" s="180" t="s">
        <v>17</v>
      </c>
      <c r="I102" s="175"/>
      <c r="J102" s="176"/>
      <c r="K102" s="171" t="s">
        <v>18</v>
      </c>
      <c r="L102" s="175"/>
      <c r="M102" s="176"/>
      <c r="N102" s="171" t="s">
        <v>19</v>
      </c>
      <c r="O102" s="175"/>
      <c r="P102" s="176"/>
      <c r="Q102" s="190" t="s">
        <v>20</v>
      </c>
    </row>
    <row r="103" spans="1:17" ht="22.5" customHeight="1" thickBot="1">
      <c r="A103" s="170"/>
      <c r="B103" s="173"/>
      <c r="C103" s="174"/>
      <c r="D103" s="174"/>
      <c r="E103" s="177"/>
      <c r="F103" s="178"/>
      <c r="G103" s="179"/>
      <c r="H103" s="181"/>
      <c r="I103" s="182"/>
      <c r="J103" s="183"/>
      <c r="K103" s="181"/>
      <c r="L103" s="182"/>
      <c r="M103" s="183"/>
      <c r="N103" s="177"/>
      <c r="O103" s="178"/>
      <c r="P103" s="179"/>
      <c r="Q103" s="191"/>
    </row>
    <row r="104" spans="1:17" ht="18" customHeight="1" thickBot="1">
      <c r="A104" s="170"/>
      <c r="B104" s="98" t="s">
        <v>21</v>
      </c>
      <c r="C104" s="99" t="s">
        <v>22</v>
      </c>
      <c r="D104" s="100" t="s">
        <v>23</v>
      </c>
      <c r="E104" s="101" t="s">
        <v>21</v>
      </c>
      <c r="F104" s="102" t="s">
        <v>22</v>
      </c>
      <c r="G104" s="103" t="s">
        <v>23</v>
      </c>
      <c r="H104" s="184"/>
      <c r="I104" s="185"/>
      <c r="J104" s="186"/>
      <c r="K104" s="184"/>
      <c r="L104" s="185"/>
      <c r="M104" s="186"/>
      <c r="N104" s="101" t="s">
        <v>21</v>
      </c>
      <c r="O104" s="102" t="s">
        <v>22</v>
      </c>
      <c r="P104" s="103" t="s">
        <v>23</v>
      </c>
      <c r="Q104" s="191"/>
    </row>
    <row r="105" spans="1:17" ht="18.95" customHeight="1">
      <c r="A105" s="199" t="s">
        <v>36</v>
      </c>
      <c r="B105" s="59"/>
      <c r="C105" s="59"/>
      <c r="D105" s="61"/>
      <c r="E105" s="26"/>
      <c r="F105" s="24"/>
      <c r="G105" s="104"/>
      <c r="H105" s="236"/>
      <c r="I105" s="237"/>
      <c r="J105" s="238"/>
      <c r="K105" s="236"/>
      <c r="L105" s="237"/>
      <c r="M105" s="238"/>
      <c r="N105" s="23" t="str">
        <f t="shared" ref="N105:N113" si="11">IF((((B105+E105)*10)-(H105+K105))/10=0," ",(((B105+E105)*10)-(H105+K105))/10)</f>
        <v xml:space="preserve"> </v>
      </c>
      <c r="O105" s="24"/>
      <c r="P105" s="25"/>
      <c r="Q105" s="239"/>
    </row>
    <row r="106" spans="1:17" ht="18.95" customHeight="1">
      <c r="A106" s="200"/>
      <c r="B106" s="92"/>
      <c r="C106" s="92"/>
      <c r="D106" s="94"/>
      <c r="E106" s="95"/>
      <c r="F106" s="96"/>
      <c r="G106" s="105"/>
      <c r="H106" s="210"/>
      <c r="I106" s="211"/>
      <c r="J106" s="212"/>
      <c r="K106" s="210"/>
      <c r="L106" s="211"/>
      <c r="M106" s="212"/>
      <c r="N106" s="106" t="str">
        <f t="shared" si="11"/>
        <v xml:space="preserve"> </v>
      </c>
      <c r="O106" s="96"/>
      <c r="P106" s="97"/>
      <c r="Q106" s="240"/>
    </row>
    <row r="107" spans="1:17" ht="18.95" customHeight="1">
      <c r="A107" s="200"/>
      <c r="B107" s="65"/>
      <c r="C107" s="65"/>
      <c r="D107" s="90"/>
      <c r="E107" s="34"/>
      <c r="F107" s="32"/>
      <c r="G107" s="133"/>
      <c r="H107" s="210"/>
      <c r="I107" s="211"/>
      <c r="J107" s="212"/>
      <c r="K107" s="119"/>
      <c r="L107" s="120"/>
      <c r="M107" s="121"/>
      <c r="N107" s="106" t="str">
        <f t="shared" si="11"/>
        <v xml:space="preserve"> </v>
      </c>
      <c r="O107" s="32"/>
      <c r="P107" s="33"/>
      <c r="Q107" s="240"/>
    </row>
    <row r="108" spans="1:17" ht="18.95" customHeight="1">
      <c r="A108" s="200"/>
      <c r="B108" s="65"/>
      <c r="C108" s="65"/>
      <c r="D108" s="90"/>
      <c r="E108" s="34"/>
      <c r="F108" s="32"/>
      <c r="G108" s="133"/>
      <c r="H108" s="210"/>
      <c r="I108" s="211"/>
      <c r="J108" s="212"/>
      <c r="K108" s="119"/>
      <c r="L108" s="120"/>
      <c r="M108" s="121"/>
      <c r="N108" s="106" t="str">
        <f t="shared" si="11"/>
        <v xml:space="preserve"> </v>
      </c>
      <c r="O108" s="32"/>
      <c r="P108" s="33"/>
      <c r="Q108" s="240"/>
    </row>
    <row r="109" spans="1:17" ht="18.95" customHeight="1" thickBot="1">
      <c r="A109" s="200"/>
      <c r="B109" s="107"/>
      <c r="C109" s="107"/>
      <c r="D109" s="132"/>
      <c r="E109" s="108"/>
      <c r="F109" s="109"/>
      <c r="G109" s="110"/>
      <c r="H109" s="230"/>
      <c r="I109" s="231"/>
      <c r="J109" s="232"/>
      <c r="K109" s="230"/>
      <c r="L109" s="231"/>
      <c r="M109" s="232"/>
      <c r="N109" s="111" t="str">
        <f t="shared" si="11"/>
        <v xml:space="preserve"> </v>
      </c>
      <c r="O109" s="109"/>
      <c r="P109" s="112"/>
      <c r="Q109" s="240"/>
    </row>
    <row r="110" spans="1:17" ht="20.100000000000001" customHeight="1">
      <c r="A110" s="213" t="s">
        <v>25</v>
      </c>
      <c r="B110" s="128"/>
      <c r="C110" s="118"/>
      <c r="D110" s="118"/>
      <c r="E110" s="118"/>
      <c r="F110" s="117"/>
      <c r="G110" s="270"/>
      <c r="H110" s="215"/>
      <c r="I110" s="216"/>
      <c r="J110" s="217"/>
      <c r="K110" s="215"/>
      <c r="L110" s="216"/>
      <c r="M110" s="217"/>
      <c r="N110" s="118" t="str">
        <f t="shared" si="11"/>
        <v xml:space="preserve"> </v>
      </c>
      <c r="O110" s="128"/>
      <c r="P110" s="130"/>
      <c r="Q110" s="240"/>
    </row>
    <row r="111" spans="1:17" ht="20.100000000000001" customHeight="1">
      <c r="A111" s="222"/>
      <c r="B111" s="122"/>
      <c r="C111" s="125"/>
      <c r="D111" s="125"/>
      <c r="E111" s="125"/>
      <c r="F111" s="258"/>
      <c r="G111" s="266"/>
      <c r="H111" s="126"/>
      <c r="I111" s="258"/>
      <c r="J111" s="125"/>
      <c r="K111" s="126"/>
      <c r="L111" s="258"/>
      <c r="M111" s="125"/>
      <c r="N111" s="125" t="str">
        <f t="shared" si="11"/>
        <v xml:space="preserve"> </v>
      </c>
      <c r="O111" s="122"/>
      <c r="P111" s="127"/>
      <c r="Q111" s="240"/>
    </row>
    <row r="112" spans="1:17" ht="20.100000000000001" customHeight="1">
      <c r="A112" s="222"/>
      <c r="B112" s="147"/>
      <c r="C112" s="153"/>
      <c r="D112" s="153"/>
      <c r="E112" s="153"/>
      <c r="F112" s="151"/>
      <c r="G112" s="271"/>
      <c r="H112" s="154"/>
      <c r="I112" s="151"/>
      <c r="J112" s="153"/>
      <c r="K112" s="154"/>
      <c r="L112" s="151"/>
      <c r="M112" s="153"/>
      <c r="N112" s="153" t="str">
        <f t="shared" si="11"/>
        <v xml:space="preserve"> </v>
      </c>
      <c r="O112" s="147"/>
      <c r="P112" s="155"/>
      <c r="Q112" s="240"/>
    </row>
    <row r="113" spans="1:17" ht="20.100000000000001" customHeight="1" thickBot="1">
      <c r="A113" s="214"/>
      <c r="B113" s="49"/>
      <c r="C113" s="52"/>
      <c r="D113" s="52"/>
      <c r="E113" s="52"/>
      <c r="F113" s="50"/>
      <c r="G113" s="85"/>
      <c r="H113" s="233"/>
      <c r="I113" s="234"/>
      <c r="J113" s="235"/>
      <c r="K113" s="233"/>
      <c r="L113" s="234"/>
      <c r="M113" s="235"/>
      <c r="N113" s="52" t="str">
        <f t="shared" si="11"/>
        <v xml:space="preserve"> </v>
      </c>
      <c r="O113" s="49"/>
      <c r="P113" s="53"/>
      <c r="Q113" s="240"/>
    </row>
    <row r="114" spans="1:17" ht="15.75" customHeight="1" thickBot="1">
      <c r="A114" s="54" t="s">
        <v>26</v>
      </c>
      <c r="B114" s="57" t="str">
        <f>IF(SUM(B105:B113)=0," ",SUM(B105:B113))</f>
        <v xml:space="preserve"> </v>
      </c>
      <c r="C114" s="192"/>
      <c r="D114" s="193"/>
      <c r="E114" s="56" t="str">
        <f>IF(SUM(E105:E113)=0," ",SUM(E105:E113))</f>
        <v xml:space="preserve"> </v>
      </c>
      <c r="F114" s="192"/>
      <c r="G114" s="193"/>
      <c r="H114" s="194" t="str">
        <f>IF(SUM(H105:J113)=0," ",SUM(H105:J113))</f>
        <v xml:space="preserve"> </v>
      </c>
      <c r="I114" s="195"/>
      <c r="J114" s="196"/>
      <c r="K114" s="194" t="str">
        <f>IF(SUM(K105:M113)=0," ",SUM(K105:M113))</f>
        <v xml:space="preserve"> </v>
      </c>
      <c r="L114" s="195"/>
      <c r="M114" s="196"/>
      <c r="N114" s="56" t="str">
        <f>IF(SUM(N105:N113)=0," ",SUM(N105:N113))</f>
        <v xml:space="preserve"> </v>
      </c>
      <c r="O114" s="192"/>
      <c r="P114" s="193"/>
      <c r="Q114" s="241"/>
    </row>
    <row r="115" spans="1:17" ht="18" customHeight="1">
      <c r="A115" s="199" t="s">
        <v>37</v>
      </c>
      <c r="B115" s="59"/>
      <c r="C115" s="59"/>
      <c r="D115" s="61"/>
      <c r="E115" s="26"/>
      <c r="F115" s="24"/>
      <c r="G115" s="104"/>
      <c r="H115" s="236"/>
      <c r="I115" s="237"/>
      <c r="J115" s="238"/>
      <c r="K115" s="236"/>
      <c r="L115" s="237"/>
      <c r="M115" s="238"/>
      <c r="N115" s="23" t="str">
        <f>IF((((B115+E115)*10)-(H115+K115))/10=0," ",(((B115+E115)*10)-(H115+K115))/10)</f>
        <v xml:space="preserve"> </v>
      </c>
      <c r="O115" s="24"/>
      <c r="P115" s="25"/>
      <c r="Q115" s="204"/>
    </row>
    <row r="116" spans="1:17" ht="18" customHeight="1">
      <c r="A116" s="200"/>
      <c r="B116" s="92"/>
      <c r="C116" s="92"/>
      <c r="D116" s="94"/>
      <c r="E116" s="95"/>
      <c r="F116" s="96"/>
      <c r="G116" s="105"/>
      <c r="H116" s="210"/>
      <c r="I116" s="211"/>
      <c r="J116" s="212"/>
      <c r="K116" s="210"/>
      <c r="L116" s="211"/>
      <c r="M116" s="212"/>
      <c r="N116" s="106" t="str">
        <f t="shared" ref="N116:N123" si="12">IF((((B116+E116)*10)-(H116+K116))/10=0," ",(((B116+E116)*10)-(H116+K116))/10)</f>
        <v xml:space="preserve"> </v>
      </c>
      <c r="O116" s="96"/>
      <c r="P116" s="97"/>
      <c r="Q116" s="205"/>
    </row>
    <row r="117" spans="1:17" ht="18" customHeight="1">
      <c r="A117" s="200"/>
      <c r="B117" s="65"/>
      <c r="C117" s="65"/>
      <c r="D117" s="90"/>
      <c r="E117" s="34"/>
      <c r="F117" s="32"/>
      <c r="G117" s="133"/>
      <c r="H117" s="210"/>
      <c r="I117" s="211"/>
      <c r="J117" s="212"/>
      <c r="K117" s="119"/>
      <c r="L117" s="120"/>
      <c r="M117" s="121"/>
      <c r="N117" s="106" t="str">
        <f t="shared" si="12"/>
        <v xml:space="preserve"> </v>
      </c>
      <c r="O117" s="32"/>
      <c r="P117" s="33"/>
      <c r="Q117" s="205"/>
    </row>
    <row r="118" spans="1:17" ht="18" customHeight="1">
      <c r="A118" s="200"/>
      <c r="B118" s="65"/>
      <c r="C118" s="65"/>
      <c r="D118" s="90"/>
      <c r="E118" s="34"/>
      <c r="F118" s="32"/>
      <c r="G118" s="133"/>
      <c r="H118" s="210"/>
      <c r="I118" s="211"/>
      <c r="J118" s="212"/>
      <c r="K118" s="119"/>
      <c r="L118" s="120"/>
      <c r="M118" s="121"/>
      <c r="N118" s="106" t="str">
        <f t="shared" si="12"/>
        <v xml:space="preserve"> </v>
      </c>
      <c r="O118" s="32"/>
      <c r="P118" s="33"/>
      <c r="Q118" s="205"/>
    </row>
    <row r="119" spans="1:17" ht="18" customHeight="1" thickBot="1">
      <c r="A119" s="200"/>
      <c r="B119" s="107"/>
      <c r="C119" s="107"/>
      <c r="D119" s="132"/>
      <c r="E119" s="108"/>
      <c r="F119" s="109"/>
      <c r="G119" s="110"/>
      <c r="H119" s="230"/>
      <c r="I119" s="231"/>
      <c r="J119" s="232"/>
      <c r="K119" s="230"/>
      <c r="L119" s="231"/>
      <c r="M119" s="232"/>
      <c r="N119" s="111" t="str">
        <f t="shared" si="12"/>
        <v xml:space="preserve"> </v>
      </c>
      <c r="O119" s="109"/>
      <c r="P119" s="112"/>
      <c r="Q119" s="205"/>
    </row>
    <row r="120" spans="1:17" ht="20.100000000000001" customHeight="1">
      <c r="A120" s="213" t="s">
        <v>25</v>
      </c>
      <c r="B120" s="128"/>
      <c r="C120" s="118"/>
      <c r="D120" s="118"/>
      <c r="E120" s="118"/>
      <c r="F120" s="117"/>
      <c r="G120" s="270"/>
      <c r="H120" s="215"/>
      <c r="I120" s="216"/>
      <c r="J120" s="217"/>
      <c r="K120" s="215"/>
      <c r="L120" s="216"/>
      <c r="M120" s="217"/>
      <c r="N120" s="118" t="str">
        <f t="shared" si="12"/>
        <v xml:space="preserve"> </v>
      </c>
      <c r="O120" s="128"/>
      <c r="P120" s="130"/>
      <c r="Q120" s="205"/>
    </row>
    <row r="121" spans="1:17" ht="20.100000000000001" customHeight="1">
      <c r="A121" s="222"/>
      <c r="B121" s="122"/>
      <c r="C121" s="125"/>
      <c r="D121" s="125"/>
      <c r="E121" s="125"/>
      <c r="F121" s="258"/>
      <c r="G121" s="266"/>
      <c r="H121" s="126"/>
      <c r="I121" s="258"/>
      <c r="J121" s="125"/>
      <c r="K121" s="126"/>
      <c r="L121" s="258"/>
      <c r="M121" s="125"/>
      <c r="N121" s="125" t="str">
        <f t="shared" si="12"/>
        <v xml:space="preserve"> </v>
      </c>
      <c r="O121" s="122"/>
      <c r="P121" s="127"/>
      <c r="Q121" s="205"/>
    </row>
    <row r="122" spans="1:17" ht="20.100000000000001" customHeight="1">
      <c r="A122" s="222"/>
      <c r="B122" s="147"/>
      <c r="C122" s="153"/>
      <c r="D122" s="153"/>
      <c r="E122" s="153"/>
      <c r="F122" s="151"/>
      <c r="G122" s="271"/>
      <c r="H122" s="154"/>
      <c r="I122" s="151"/>
      <c r="J122" s="153"/>
      <c r="K122" s="154"/>
      <c r="L122" s="151"/>
      <c r="M122" s="153"/>
      <c r="N122" s="153" t="str">
        <f t="shared" si="12"/>
        <v xml:space="preserve"> </v>
      </c>
      <c r="O122" s="147"/>
      <c r="P122" s="155"/>
      <c r="Q122" s="205"/>
    </row>
    <row r="123" spans="1:17" ht="20.100000000000001" customHeight="1" thickBot="1">
      <c r="A123" s="214"/>
      <c r="B123" s="49"/>
      <c r="C123" s="52"/>
      <c r="D123" s="52"/>
      <c r="E123" s="52"/>
      <c r="F123" s="50"/>
      <c r="G123" s="85"/>
      <c r="H123" s="233"/>
      <c r="I123" s="234"/>
      <c r="J123" s="235"/>
      <c r="K123" s="233"/>
      <c r="L123" s="234"/>
      <c r="M123" s="235"/>
      <c r="N123" s="52" t="str">
        <f t="shared" si="12"/>
        <v xml:space="preserve"> </v>
      </c>
      <c r="O123" s="49"/>
      <c r="P123" s="53"/>
      <c r="Q123" s="205"/>
    </row>
    <row r="124" spans="1:17" ht="15.75" customHeight="1" thickBot="1">
      <c r="A124" s="115" t="s">
        <v>26</v>
      </c>
      <c r="B124" s="56" t="str">
        <f>IF(SUM(B115:B123)=0," ",SUM(B115:B123))</f>
        <v xml:space="preserve"> </v>
      </c>
      <c r="C124" s="192"/>
      <c r="D124" s="193"/>
      <c r="E124" s="58" t="str">
        <f>IF(SUM(E115:E123)=0," ",SUM(E115:E123))</f>
        <v xml:space="preserve"> </v>
      </c>
      <c r="F124" s="192"/>
      <c r="G124" s="193"/>
      <c r="H124" s="194" t="str">
        <f>IF(SUM(H115:J123)=0," ",SUM(H115:J123))</f>
        <v xml:space="preserve"> </v>
      </c>
      <c r="I124" s="195"/>
      <c r="J124" s="196"/>
      <c r="K124" s="197" t="str">
        <f>IF(SUM(K115:M123)=0," ",SUM(K115:M123))</f>
        <v xml:space="preserve"> </v>
      </c>
      <c r="L124" s="197"/>
      <c r="M124" s="198"/>
      <c r="N124" s="56" t="str">
        <f>IF(SUM(N115:N123)=0," ",SUM(N115:N123))</f>
        <v xml:space="preserve"> </v>
      </c>
      <c r="O124" s="192"/>
      <c r="P124" s="193"/>
      <c r="Q124" s="206"/>
    </row>
    <row r="125" spans="1:17" ht="15" customHeight="1">
      <c r="A125" s="199" t="s">
        <v>38</v>
      </c>
      <c r="B125" s="20"/>
      <c r="C125" s="21"/>
      <c r="D125" s="22"/>
      <c r="E125" s="23"/>
      <c r="F125" s="24"/>
      <c r="G125" s="25"/>
      <c r="H125" s="201"/>
      <c r="I125" s="202"/>
      <c r="J125" s="203"/>
      <c r="K125" s="201"/>
      <c r="L125" s="202"/>
      <c r="M125" s="203"/>
      <c r="N125" s="26" t="str">
        <f>IF(((B125+E125)-(H125+K125))=0," ",((B125+E125)-(H125+K125)))</f>
        <v xml:space="preserve"> </v>
      </c>
      <c r="O125" s="26"/>
      <c r="P125" s="27"/>
      <c r="Q125" s="204"/>
    </row>
    <row r="126" spans="1:17" ht="15" customHeight="1">
      <c r="A126" s="200"/>
      <c r="B126" s="255"/>
      <c r="C126" s="256"/>
      <c r="D126" s="257"/>
      <c r="E126" s="106"/>
      <c r="F126" s="96"/>
      <c r="G126" s="97"/>
      <c r="H126" s="210"/>
      <c r="I126" s="211"/>
      <c r="J126" s="212"/>
      <c r="K126" s="210"/>
      <c r="L126" s="211"/>
      <c r="M126" s="212"/>
      <c r="N126" s="95" t="str">
        <f t="shared" ref="N126:N133" si="13">IF(((B126+E126)-(H126+K126))=0," ",((B126+E126)-(H126+K126)))</f>
        <v xml:space="preserve"> </v>
      </c>
      <c r="O126" s="95"/>
      <c r="P126" s="114"/>
      <c r="Q126" s="205"/>
    </row>
    <row r="127" spans="1:17" ht="15" customHeight="1">
      <c r="A127" s="200"/>
      <c r="B127" s="255"/>
      <c r="C127" s="256"/>
      <c r="D127" s="257"/>
      <c r="E127" s="106"/>
      <c r="F127" s="96"/>
      <c r="G127" s="97"/>
      <c r="H127" s="210"/>
      <c r="I127" s="211"/>
      <c r="J127" s="212"/>
      <c r="K127" s="210"/>
      <c r="L127" s="211"/>
      <c r="M127" s="212"/>
      <c r="N127" s="95" t="str">
        <f t="shared" si="13"/>
        <v xml:space="preserve"> </v>
      </c>
      <c r="O127" s="95"/>
      <c r="P127" s="114"/>
      <c r="Q127" s="205"/>
    </row>
    <row r="128" spans="1:17" ht="15" customHeight="1">
      <c r="A128" s="200"/>
      <c r="B128" s="28"/>
      <c r="C128" s="29"/>
      <c r="D128" s="30"/>
      <c r="E128" s="31"/>
      <c r="F128" s="32"/>
      <c r="G128" s="33"/>
      <c r="H128" s="207"/>
      <c r="I128" s="208"/>
      <c r="J128" s="209"/>
      <c r="K128" s="207"/>
      <c r="L128" s="208"/>
      <c r="M128" s="209"/>
      <c r="N128" s="34" t="str">
        <f t="shared" si="13"/>
        <v xml:space="preserve"> </v>
      </c>
      <c r="O128" s="34"/>
      <c r="P128" s="35"/>
      <c r="Q128" s="205"/>
    </row>
    <row r="129" spans="1:17" ht="15" customHeight="1" thickBot="1">
      <c r="A129" s="200"/>
      <c r="B129" s="36"/>
      <c r="C129" s="37"/>
      <c r="D129" s="38"/>
      <c r="E129" s="39"/>
      <c r="F129" s="40"/>
      <c r="G129" s="41"/>
      <c r="H129" s="210"/>
      <c r="I129" s="211"/>
      <c r="J129" s="212"/>
      <c r="K129" s="210"/>
      <c r="L129" s="211"/>
      <c r="M129" s="212"/>
      <c r="N129" s="42" t="str">
        <f t="shared" si="13"/>
        <v xml:space="preserve"> </v>
      </c>
      <c r="O129" s="42"/>
      <c r="P129" s="43"/>
      <c r="Q129" s="205"/>
    </row>
    <row r="130" spans="1:17" ht="20.100000000000001" customHeight="1">
      <c r="A130" s="213" t="s">
        <v>25</v>
      </c>
      <c r="B130" s="44"/>
      <c r="C130" s="45"/>
      <c r="D130" s="46"/>
      <c r="E130" s="47"/>
      <c r="F130" s="45"/>
      <c r="G130" s="46"/>
      <c r="H130" s="259"/>
      <c r="I130" s="260"/>
      <c r="J130" s="261"/>
      <c r="K130" s="259"/>
      <c r="L130" s="260"/>
      <c r="M130" s="261"/>
      <c r="N130" s="44" t="str">
        <f t="shared" si="13"/>
        <v xml:space="preserve"> </v>
      </c>
      <c r="O130" s="44"/>
      <c r="P130" s="48"/>
      <c r="Q130" s="205"/>
    </row>
    <row r="131" spans="1:17" ht="20.100000000000001" customHeight="1">
      <c r="A131" s="222"/>
      <c r="B131" s="147"/>
      <c r="C131" s="151"/>
      <c r="D131" s="152"/>
      <c r="E131" s="153"/>
      <c r="F131" s="151"/>
      <c r="G131" s="152"/>
      <c r="H131" s="154"/>
      <c r="I131" s="151"/>
      <c r="J131" s="153"/>
      <c r="K131" s="154"/>
      <c r="L131" s="151"/>
      <c r="M131" s="153"/>
      <c r="N131" s="147" t="str">
        <f t="shared" si="13"/>
        <v xml:space="preserve"> </v>
      </c>
      <c r="O131" s="147"/>
      <c r="P131" s="155"/>
      <c r="Q131" s="205"/>
    </row>
    <row r="132" spans="1:17" ht="20.100000000000001" customHeight="1">
      <c r="A132" s="222"/>
      <c r="B132" s="122"/>
      <c r="C132" s="258"/>
      <c r="D132" s="124"/>
      <c r="E132" s="125"/>
      <c r="F132" s="258"/>
      <c r="G132" s="124"/>
      <c r="H132" s="126"/>
      <c r="I132" s="258"/>
      <c r="J132" s="125"/>
      <c r="K132" s="126"/>
      <c r="L132" s="258"/>
      <c r="M132" s="125"/>
      <c r="N132" s="122" t="str">
        <f t="shared" si="13"/>
        <v xml:space="preserve"> </v>
      </c>
      <c r="O132" s="122"/>
      <c r="P132" s="127"/>
      <c r="Q132" s="205"/>
    </row>
    <row r="133" spans="1:17" ht="20.100000000000001" customHeight="1" thickBot="1">
      <c r="A133" s="214"/>
      <c r="B133" s="49"/>
      <c r="C133" s="50"/>
      <c r="D133" s="51"/>
      <c r="E133" s="52"/>
      <c r="F133" s="50"/>
      <c r="G133" s="51"/>
      <c r="H133" s="218"/>
      <c r="I133" s="219"/>
      <c r="J133" s="220"/>
      <c r="K133" s="218"/>
      <c r="L133" s="219"/>
      <c r="M133" s="220"/>
      <c r="N133" s="49" t="str">
        <f t="shared" si="13"/>
        <v xml:space="preserve"> </v>
      </c>
      <c r="O133" s="49"/>
      <c r="P133" s="53"/>
      <c r="Q133" s="205"/>
    </row>
    <row r="134" spans="1:17" ht="15.75" customHeight="1" thickBot="1">
      <c r="A134" s="115" t="s">
        <v>26</v>
      </c>
      <c r="B134" s="56" t="str">
        <f>IF(SUM(B125:B133)=0," ",SUM(B125:B133))</f>
        <v xml:space="preserve"> </v>
      </c>
      <c r="C134" s="192"/>
      <c r="D134" s="193"/>
      <c r="E134" s="58" t="str">
        <f>IF(SUM(E125:E133)=0," ",SUM(E125:E133))</f>
        <v xml:space="preserve"> </v>
      </c>
      <c r="F134" s="192"/>
      <c r="G134" s="193"/>
      <c r="H134" s="194" t="str">
        <f>IF(SUM(H125:J133)=0," ",SUM(H125:J133))</f>
        <v xml:space="preserve"> </v>
      </c>
      <c r="I134" s="195"/>
      <c r="J134" s="196"/>
      <c r="K134" s="197" t="str">
        <f>IF(SUM(K125:M133)=0," ",SUM(K125:M133))</f>
        <v xml:space="preserve"> </v>
      </c>
      <c r="L134" s="197"/>
      <c r="M134" s="198"/>
      <c r="N134" s="56" t="str">
        <f>IF(SUM(N125:N133)=0," ",SUM(N125:N133))</f>
        <v xml:space="preserve"> </v>
      </c>
      <c r="O134" s="192"/>
      <c r="P134" s="193"/>
      <c r="Q134" s="206"/>
    </row>
    <row r="135" spans="1:17" ht="15" customHeight="1">
      <c r="A135" s="199" t="s">
        <v>39</v>
      </c>
      <c r="B135" s="59"/>
      <c r="C135" s="59"/>
      <c r="D135" s="61"/>
      <c r="E135" s="26"/>
      <c r="F135" s="24"/>
      <c r="G135" s="104"/>
      <c r="H135" s="236"/>
      <c r="I135" s="237"/>
      <c r="J135" s="238"/>
      <c r="K135" s="236"/>
      <c r="L135" s="237"/>
      <c r="M135" s="238"/>
      <c r="N135" s="23" t="str">
        <f>IF((((B135+E135)*10)-(H135+K135))/10=0," ",(((B135+E135)*10)-(H135+K135))/10)</f>
        <v xml:space="preserve"> </v>
      </c>
      <c r="O135" s="24"/>
      <c r="P135" s="25"/>
      <c r="Q135" s="239"/>
    </row>
    <row r="136" spans="1:17" ht="15" customHeight="1">
      <c r="A136" s="200"/>
      <c r="B136" s="92"/>
      <c r="C136" s="92"/>
      <c r="D136" s="94"/>
      <c r="E136" s="95"/>
      <c r="F136" s="96"/>
      <c r="G136" s="105"/>
      <c r="H136" s="210"/>
      <c r="I136" s="211"/>
      <c r="J136" s="212"/>
      <c r="K136" s="210"/>
      <c r="L136" s="211"/>
      <c r="M136" s="212"/>
      <c r="N136" s="106" t="str">
        <f t="shared" ref="N136:N143" si="14">IF((((B136+E136)*10)-(H136+K136))/10=0," ",(((B136+E136)*10)-(H136+K136))/10)</f>
        <v xml:space="preserve"> </v>
      </c>
      <c r="O136" s="96"/>
      <c r="P136" s="97"/>
      <c r="Q136" s="240"/>
    </row>
    <row r="137" spans="1:17" ht="15" customHeight="1">
      <c r="A137" s="200"/>
      <c r="B137" s="65"/>
      <c r="C137" s="65"/>
      <c r="D137" s="90"/>
      <c r="E137" s="34"/>
      <c r="F137" s="32"/>
      <c r="G137" s="133"/>
      <c r="H137" s="210"/>
      <c r="I137" s="211"/>
      <c r="J137" s="212"/>
      <c r="K137" s="119"/>
      <c r="L137" s="120"/>
      <c r="M137" s="121"/>
      <c r="N137" s="106" t="str">
        <f t="shared" si="14"/>
        <v xml:space="preserve"> </v>
      </c>
      <c r="O137" s="32"/>
      <c r="P137" s="33"/>
      <c r="Q137" s="240"/>
    </row>
    <row r="138" spans="1:17" ht="15" customHeight="1">
      <c r="A138" s="200"/>
      <c r="B138" s="65"/>
      <c r="C138" s="65"/>
      <c r="D138" s="90"/>
      <c r="E138" s="34"/>
      <c r="F138" s="32"/>
      <c r="G138" s="133"/>
      <c r="H138" s="210"/>
      <c r="I138" s="211"/>
      <c r="J138" s="212"/>
      <c r="K138" s="119"/>
      <c r="L138" s="120"/>
      <c r="M138" s="121"/>
      <c r="N138" s="106" t="str">
        <f t="shared" si="14"/>
        <v xml:space="preserve"> </v>
      </c>
      <c r="O138" s="32"/>
      <c r="P138" s="33"/>
      <c r="Q138" s="240"/>
    </row>
    <row r="139" spans="1:17" ht="15" customHeight="1" thickBot="1">
      <c r="A139" s="200"/>
      <c r="B139" s="107"/>
      <c r="C139" s="107"/>
      <c r="D139" s="132"/>
      <c r="E139" s="108"/>
      <c r="F139" s="109"/>
      <c r="G139" s="110"/>
      <c r="H139" s="230"/>
      <c r="I139" s="231"/>
      <c r="J139" s="232"/>
      <c r="K139" s="230"/>
      <c r="L139" s="231"/>
      <c r="M139" s="232"/>
      <c r="N139" s="111" t="str">
        <f t="shared" si="14"/>
        <v xml:space="preserve"> </v>
      </c>
      <c r="O139" s="109"/>
      <c r="P139" s="112"/>
      <c r="Q139" s="240"/>
    </row>
    <row r="140" spans="1:17" ht="20.100000000000001" customHeight="1">
      <c r="A140" s="213" t="s">
        <v>25</v>
      </c>
      <c r="B140" s="128"/>
      <c r="C140" s="118"/>
      <c r="D140" s="118"/>
      <c r="E140" s="118"/>
      <c r="F140" s="117"/>
      <c r="G140" s="270"/>
      <c r="H140" s="215"/>
      <c r="I140" s="216"/>
      <c r="J140" s="217"/>
      <c r="K140" s="215"/>
      <c r="L140" s="216"/>
      <c r="M140" s="217"/>
      <c r="N140" s="118" t="str">
        <f t="shared" si="14"/>
        <v xml:space="preserve"> </v>
      </c>
      <c r="O140" s="128"/>
      <c r="P140" s="130"/>
      <c r="Q140" s="240"/>
    </row>
    <row r="141" spans="1:17" ht="20.100000000000001" customHeight="1">
      <c r="A141" s="222"/>
      <c r="B141" s="122"/>
      <c r="C141" s="125"/>
      <c r="D141" s="125"/>
      <c r="E141" s="125"/>
      <c r="F141" s="258"/>
      <c r="G141" s="266"/>
      <c r="H141" s="126"/>
      <c r="I141" s="258"/>
      <c r="J141" s="125"/>
      <c r="K141" s="126"/>
      <c r="L141" s="258"/>
      <c r="M141" s="125"/>
      <c r="N141" s="125" t="str">
        <f t="shared" si="14"/>
        <v xml:space="preserve"> </v>
      </c>
      <c r="O141" s="122"/>
      <c r="P141" s="127"/>
      <c r="Q141" s="240"/>
    </row>
    <row r="142" spans="1:17" ht="20.100000000000001" customHeight="1">
      <c r="A142" s="222"/>
      <c r="B142" s="147"/>
      <c r="C142" s="153"/>
      <c r="D142" s="153"/>
      <c r="E142" s="153"/>
      <c r="F142" s="151"/>
      <c r="G142" s="271"/>
      <c r="H142" s="154"/>
      <c r="I142" s="151"/>
      <c r="J142" s="153"/>
      <c r="K142" s="154"/>
      <c r="L142" s="151"/>
      <c r="M142" s="153"/>
      <c r="N142" s="153" t="str">
        <f t="shared" si="14"/>
        <v xml:space="preserve"> </v>
      </c>
      <c r="O142" s="147"/>
      <c r="P142" s="155"/>
      <c r="Q142" s="240"/>
    </row>
    <row r="143" spans="1:17" ht="20.100000000000001" customHeight="1" thickBot="1">
      <c r="A143" s="214"/>
      <c r="B143" s="49"/>
      <c r="C143" s="52"/>
      <c r="D143" s="52"/>
      <c r="E143" s="52"/>
      <c r="F143" s="50"/>
      <c r="G143" s="85"/>
      <c r="H143" s="233"/>
      <c r="I143" s="234"/>
      <c r="J143" s="235"/>
      <c r="K143" s="233"/>
      <c r="L143" s="234"/>
      <c r="M143" s="235"/>
      <c r="N143" s="52" t="str">
        <f t="shared" si="14"/>
        <v xml:space="preserve"> </v>
      </c>
      <c r="O143" s="49"/>
      <c r="P143" s="53"/>
      <c r="Q143" s="240"/>
    </row>
    <row r="144" spans="1:17" ht="15.75" customHeight="1" thickBot="1">
      <c r="A144" s="54" t="s">
        <v>26</v>
      </c>
      <c r="B144" s="56" t="str">
        <f>IF(SUM(B135:B143)=0," ",SUM(B135:B143))</f>
        <v xml:space="preserve"> </v>
      </c>
      <c r="C144" s="192"/>
      <c r="D144" s="193"/>
      <c r="E144" s="58" t="str">
        <f>IF(SUM(E135:E143)=0," ",SUM(E135:E143))</f>
        <v xml:space="preserve"> </v>
      </c>
      <c r="F144" s="192"/>
      <c r="G144" s="193"/>
      <c r="H144" s="194" t="str">
        <f>IF(SUM(H135:J143)=0," ",SUM(H135:J143))</f>
        <v xml:space="preserve"> </v>
      </c>
      <c r="I144" s="195"/>
      <c r="J144" s="196"/>
      <c r="K144" s="197" t="str">
        <f>IF(SUM(K135:M143)=0," ",SUM(K135:M143))</f>
        <v xml:space="preserve"> </v>
      </c>
      <c r="L144" s="197"/>
      <c r="M144" s="198"/>
      <c r="N144" s="56" t="str">
        <f>IF(SUM(N135:N143)=0," ",SUM(N135:N143))</f>
        <v xml:space="preserve"> </v>
      </c>
      <c r="O144" s="192"/>
      <c r="P144" s="193"/>
      <c r="Q144" s="241"/>
    </row>
    <row r="145" spans="1:17" ht="15" customHeight="1">
      <c r="A145" s="199" t="s">
        <v>40</v>
      </c>
      <c r="B145" s="20"/>
      <c r="C145" s="21"/>
      <c r="D145" s="22"/>
      <c r="E145" s="23"/>
      <c r="F145" s="24"/>
      <c r="G145" s="25"/>
      <c r="H145" s="201"/>
      <c r="I145" s="202"/>
      <c r="J145" s="203"/>
      <c r="K145" s="201"/>
      <c r="L145" s="202"/>
      <c r="M145" s="203"/>
      <c r="N145" s="26" t="str">
        <f t="shared" ref="N145:N153" si="15">IF(((B145+E145)-(H145+K145))=0," ",((B145+E145)-(H145+K145)))</f>
        <v xml:space="preserve"> </v>
      </c>
      <c r="O145" s="26"/>
      <c r="P145" s="27"/>
      <c r="Q145" s="199"/>
    </row>
    <row r="146" spans="1:17" ht="15" customHeight="1">
      <c r="A146" s="200"/>
      <c r="B146" s="255"/>
      <c r="C146" s="256"/>
      <c r="D146" s="257"/>
      <c r="E146" s="106"/>
      <c r="F146" s="96"/>
      <c r="G146" s="97"/>
      <c r="H146" s="210"/>
      <c r="I146" s="211"/>
      <c r="J146" s="212"/>
      <c r="K146" s="210"/>
      <c r="L146" s="211"/>
      <c r="M146" s="212"/>
      <c r="N146" s="95" t="str">
        <f t="shared" si="15"/>
        <v xml:space="preserve"> </v>
      </c>
      <c r="O146" s="95"/>
      <c r="P146" s="114"/>
      <c r="Q146" s="200"/>
    </row>
    <row r="147" spans="1:17" ht="15" customHeight="1">
      <c r="A147" s="200"/>
      <c r="B147" s="255"/>
      <c r="C147" s="256"/>
      <c r="D147" s="257"/>
      <c r="E147" s="106"/>
      <c r="F147" s="96"/>
      <c r="G147" s="97"/>
      <c r="H147" s="210"/>
      <c r="I147" s="211"/>
      <c r="J147" s="212"/>
      <c r="K147" s="210"/>
      <c r="L147" s="211"/>
      <c r="M147" s="212"/>
      <c r="N147" s="95" t="str">
        <f t="shared" si="15"/>
        <v xml:space="preserve"> </v>
      </c>
      <c r="O147" s="95"/>
      <c r="P147" s="114"/>
      <c r="Q147" s="200"/>
    </row>
    <row r="148" spans="1:17" ht="15" customHeight="1">
      <c r="A148" s="200"/>
      <c r="B148" s="28"/>
      <c r="C148" s="29"/>
      <c r="D148" s="30"/>
      <c r="E148" s="31"/>
      <c r="F148" s="32"/>
      <c r="G148" s="33"/>
      <c r="H148" s="207"/>
      <c r="I148" s="208"/>
      <c r="J148" s="209"/>
      <c r="K148" s="207"/>
      <c r="L148" s="208"/>
      <c r="M148" s="209"/>
      <c r="N148" s="34" t="str">
        <f t="shared" si="15"/>
        <v xml:space="preserve"> </v>
      </c>
      <c r="O148" s="34"/>
      <c r="P148" s="35"/>
      <c r="Q148" s="200"/>
    </row>
    <row r="149" spans="1:17" ht="15" customHeight="1" thickBot="1">
      <c r="A149" s="200"/>
      <c r="B149" s="36"/>
      <c r="C149" s="37"/>
      <c r="D149" s="38"/>
      <c r="E149" s="39"/>
      <c r="F149" s="40"/>
      <c r="G149" s="41"/>
      <c r="H149" s="210"/>
      <c r="I149" s="211"/>
      <c r="J149" s="212"/>
      <c r="K149" s="210"/>
      <c r="L149" s="211"/>
      <c r="M149" s="212"/>
      <c r="N149" s="42" t="str">
        <f t="shared" si="15"/>
        <v xml:space="preserve"> </v>
      </c>
      <c r="O149" s="42"/>
      <c r="P149" s="43"/>
      <c r="Q149" s="200"/>
    </row>
    <row r="150" spans="1:17" ht="20.100000000000001" customHeight="1">
      <c r="A150" s="213" t="s">
        <v>25</v>
      </c>
      <c r="B150" s="44"/>
      <c r="C150" s="45"/>
      <c r="D150" s="46"/>
      <c r="E150" s="47"/>
      <c r="F150" s="45"/>
      <c r="G150" s="46"/>
      <c r="H150" s="259"/>
      <c r="I150" s="260"/>
      <c r="J150" s="261"/>
      <c r="K150" s="259"/>
      <c r="L150" s="260"/>
      <c r="M150" s="261"/>
      <c r="N150" s="44" t="str">
        <f t="shared" si="15"/>
        <v xml:space="preserve"> </v>
      </c>
      <c r="O150" s="44"/>
      <c r="P150" s="48"/>
      <c r="Q150" s="200"/>
    </row>
    <row r="151" spans="1:17" ht="20.100000000000001" customHeight="1">
      <c r="A151" s="222"/>
      <c r="B151" s="147"/>
      <c r="C151" s="151"/>
      <c r="D151" s="152"/>
      <c r="E151" s="153"/>
      <c r="F151" s="151"/>
      <c r="G151" s="152"/>
      <c r="H151" s="154"/>
      <c r="I151" s="151"/>
      <c r="J151" s="153"/>
      <c r="K151" s="154"/>
      <c r="L151" s="151"/>
      <c r="M151" s="153"/>
      <c r="N151" s="147" t="str">
        <f t="shared" si="15"/>
        <v xml:space="preserve"> </v>
      </c>
      <c r="O151" s="147"/>
      <c r="P151" s="155"/>
      <c r="Q151" s="200"/>
    </row>
    <row r="152" spans="1:17" ht="20.100000000000001" customHeight="1">
      <c r="A152" s="222"/>
      <c r="B152" s="122"/>
      <c r="C152" s="258"/>
      <c r="D152" s="124"/>
      <c r="E152" s="125"/>
      <c r="F152" s="258"/>
      <c r="G152" s="124"/>
      <c r="H152" s="126"/>
      <c r="I152" s="258"/>
      <c r="J152" s="125"/>
      <c r="K152" s="126"/>
      <c r="L152" s="258"/>
      <c r="M152" s="125"/>
      <c r="N152" s="122" t="str">
        <f t="shared" si="15"/>
        <v xml:space="preserve"> </v>
      </c>
      <c r="O152" s="122"/>
      <c r="P152" s="127"/>
      <c r="Q152" s="200"/>
    </row>
    <row r="153" spans="1:17" ht="20.100000000000001" customHeight="1" thickBot="1">
      <c r="A153" s="222"/>
      <c r="B153" s="49"/>
      <c r="C153" s="50"/>
      <c r="D153" s="51"/>
      <c r="E153" s="52"/>
      <c r="F153" s="50"/>
      <c r="G153" s="51"/>
      <c r="H153" s="218"/>
      <c r="I153" s="219"/>
      <c r="J153" s="220"/>
      <c r="K153" s="218"/>
      <c r="L153" s="219"/>
      <c r="M153" s="220"/>
      <c r="N153" s="49" t="str">
        <f t="shared" si="15"/>
        <v xml:space="preserve"> </v>
      </c>
      <c r="O153" s="49"/>
      <c r="P153" s="53"/>
      <c r="Q153" s="200"/>
    </row>
    <row r="154" spans="1:17" ht="15.75" customHeight="1" thickBot="1">
      <c r="A154" s="54" t="s">
        <v>26</v>
      </c>
      <c r="B154" s="56" t="str">
        <f>IF(SUM(B145:B153)=0," ",SUM(B145:B153))</f>
        <v xml:space="preserve"> </v>
      </c>
      <c r="C154" s="192"/>
      <c r="D154" s="193"/>
      <c r="E154" s="58" t="str">
        <f>IF(SUM(E145:E153)=0," ",SUM(E145:E153))</f>
        <v xml:space="preserve"> </v>
      </c>
      <c r="F154" s="192"/>
      <c r="G154" s="193"/>
      <c r="H154" s="194" t="str">
        <f>IF(SUM(H145:J153)=0," ",SUM(H145:J153))</f>
        <v xml:space="preserve"> </v>
      </c>
      <c r="I154" s="195"/>
      <c r="J154" s="196"/>
      <c r="K154" s="197" t="str">
        <f>IF(SUM(K145:M153)=0," ",SUM(K145:M153))</f>
        <v xml:space="preserve"> </v>
      </c>
      <c r="L154" s="197"/>
      <c r="M154" s="198"/>
      <c r="N154" s="56" t="str">
        <f>IF(SUM(N145:N153)=0," ",SUM(N145:N153))</f>
        <v xml:space="preserve"> </v>
      </c>
      <c r="O154" s="192"/>
      <c r="P154" s="193"/>
      <c r="Q154" s="223"/>
    </row>
    <row r="155" spans="1:17" ht="15" customHeight="1">
      <c r="A155" s="199" t="s">
        <v>92</v>
      </c>
      <c r="B155" s="59"/>
      <c r="C155" s="60"/>
      <c r="D155" s="61"/>
      <c r="E155" s="24"/>
      <c r="F155" s="26"/>
      <c r="G155" s="27"/>
      <c r="H155" s="62"/>
      <c r="I155" s="63"/>
      <c r="J155" s="64">
        <f>(((H155/2)+(I155)))</f>
        <v>0</v>
      </c>
      <c r="K155" s="62"/>
      <c r="L155" s="63"/>
      <c r="M155" s="64">
        <f>(((K155/2)+(L155)))</f>
        <v>0</v>
      </c>
      <c r="N155" s="26" t="str">
        <f>IFERROR(IF((((B155+E155)*5)-(J155+M155))/5=0," ",(((B155+E155)*5)-(J155+M155))/5)," ")</f>
        <v xml:space="preserve"> </v>
      </c>
      <c r="O155" s="24"/>
      <c r="P155" s="25"/>
      <c r="Q155" s="239"/>
    </row>
    <row r="156" spans="1:17" ht="15" customHeight="1">
      <c r="A156" s="200"/>
      <c r="B156" s="92"/>
      <c r="C156" s="93"/>
      <c r="D156" s="94"/>
      <c r="E156" s="96"/>
      <c r="F156" s="95"/>
      <c r="G156" s="114"/>
      <c r="H156" s="262"/>
      <c r="I156" s="265"/>
      <c r="J156" s="264">
        <f t="shared" ref="J156:J159" si="16">(((H156/2)+(I156)))</f>
        <v>0</v>
      </c>
      <c r="K156" s="262"/>
      <c r="L156" s="265"/>
      <c r="M156" s="264">
        <f t="shared" ref="M156:M159" si="17">(((K156/2)+(L156)))</f>
        <v>0</v>
      </c>
      <c r="N156" s="95" t="str">
        <f t="shared" ref="N156:N159" si="18">IFERROR(IF((((B156+E156)*5)-(J156+M156))/5=0," ",(((B156+E156)*5)-(J156+M156))/5)," ")</f>
        <v xml:space="preserve"> </v>
      </c>
      <c r="O156" s="96"/>
      <c r="P156" s="97"/>
      <c r="Q156" s="240"/>
    </row>
    <row r="157" spans="1:17" ht="15" customHeight="1">
      <c r="A157" s="200"/>
      <c r="B157" s="92"/>
      <c r="C157" s="93"/>
      <c r="D157" s="94"/>
      <c r="E157" s="96"/>
      <c r="F157" s="95"/>
      <c r="G157" s="114"/>
      <c r="H157" s="262"/>
      <c r="I157" s="265"/>
      <c r="J157" s="264">
        <f t="shared" si="16"/>
        <v>0</v>
      </c>
      <c r="K157" s="262"/>
      <c r="L157" s="265"/>
      <c r="M157" s="264">
        <f t="shared" si="17"/>
        <v>0</v>
      </c>
      <c r="N157" s="95" t="str">
        <f t="shared" si="18"/>
        <v xml:space="preserve"> </v>
      </c>
      <c r="O157" s="96"/>
      <c r="P157" s="97"/>
      <c r="Q157" s="240"/>
    </row>
    <row r="158" spans="1:17" ht="15" customHeight="1">
      <c r="A158" s="200"/>
      <c r="B158" s="92"/>
      <c r="C158" s="93"/>
      <c r="D158" s="94"/>
      <c r="E158" s="96"/>
      <c r="F158" s="95"/>
      <c r="G158" s="114"/>
      <c r="H158" s="69"/>
      <c r="I158" s="70"/>
      <c r="J158" s="71">
        <f t="shared" si="16"/>
        <v>0</v>
      </c>
      <c r="K158" s="69"/>
      <c r="L158" s="70"/>
      <c r="M158" s="71">
        <f t="shared" si="17"/>
        <v>0</v>
      </c>
      <c r="N158" s="95" t="str">
        <f t="shared" si="18"/>
        <v xml:space="preserve"> </v>
      </c>
      <c r="O158" s="96"/>
      <c r="P158" s="97"/>
      <c r="Q158" s="240"/>
    </row>
    <row r="159" spans="1:17" ht="15" customHeight="1" thickBot="1">
      <c r="A159" s="200"/>
      <c r="B159" s="107"/>
      <c r="C159" s="134"/>
      <c r="D159" s="107"/>
      <c r="E159" s="109"/>
      <c r="F159" s="108"/>
      <c r="G159" s="135"/>
      <c r="H159" s="76"/>
      <c r="I159" s="77"/>
      <c r="J159" s="78">
        <f t="shared" si="16"/>
        <v>0</v>
      </c>
      <c r="K159" s="79"/>
      <c r="L159" s="80"/>
      <c r="M159" s="78">
        <f t="shared" si="17"/>
        <v>0</v>
      </c>
      <c r="N159" s="108" t="str">
        <f t="shared" si="18"/>
        <v xml:space="preserve"> </v>
      </c>
      <c r="O159" s="109"/>
      <c r="P159" s="112"/>
      <c r="Q159" s="240"/>
    </row>
    <row r="160" spans="1:17" ht="15" customHeight="1">
      <c r="A160" s="199" t="s">
        <v>93</v>
      </c>
      <c r="B160" s="59"/>
      <c r="C160" s="60"/>
      <c r="D160" s="61"/>
      <c r="E160" s="24"/>
      <c r="F160" s="26"/>
      <c r="G160" s="27"/>
      <c r="H160" s="236"/>
      <c r="I160" s="237"/>
      <c r="J160" s="238"/>
      <c r="K160" s="236"/>
      <c r="L160" s="237"/>
      <c r="M160" s="238"/>
      <c r="N160" s="26" t="str">
        <f t="shared" ref="N160:N164" si="19">IF((((B160+E160)*10)-(H160+K160))/10=0," ",(((B160+E160)*10)-(H160+K160))/10)</f>
        <v xml:space="preserve"> </v>
      </c>
      <c r="O160" s="24"/>
      <c r="P160" s="25"/>
      <c r="Q160" s="240"/>
    </row>
    <row r="161" spans="1:17" ht="15" customHeight="1">
      <c r="A161" s="200"/>
      <c r="B161" s="92"/>
      <c r="C161" s="93"/>
      <c r="D161" s="94"/>
      <c r="E161" s="96"/>
      <c r="F161" s="95"/>
      <c r="G161" s="114"/>
      <c r="H161" s="164"/>
      <c r="I161" s="165"/>
      <c r="J161" s="166"/>
      <c r="K161" s="164"/>
      <c r="L161" s="165"/>
      <c r="M161" s="166"/>
      <c r="N161" s="95" t="str">
        <f t="shared" si="19"/>
        <v xml:space="preserve"> </v>
      </c>
      <c r="O161" s="96"/>
      <c r="P161" s="97"/>
      <c r="Q161" s="240"/>
    </row>
    <row r="162" spans="1:17" ht="15" customHeight="1">
      <c r="A162" s="200"/>
      <c r="B162" s="92"/>
      <c r="C162" s="93"/>
      <c r="D162" s="94"/>
      <c r="E162" s="96"/>
      <c r="F162" s="95"/>
      <c r="G162" s="114"/>
      <c r="H162" s="164"/>
      <c r="I162" s="165"/>
      <c r="J162" s="166"/>
      <c r="K162" s="164"/>
      <c r="L162" s="165"/>
      <c r="M162" s="166"/>
      <c r="N162" s="95" t="str">
        <f t="shared" si="19"/>
        <v xml:space="preserve"> </v>
      </c>
      <c r="O162" s="96"/>
      <c r="P162" s="97"/>
      <c r="Q162" s="240"/>
    </row>
    <row r="163" spans="1:17" ht="15" customHeight="1">
      <c r="A163" s="200"/>
      <c r="B163" s="92"/>
      <c r="C163" s="93"/>
      <c r="D163" s="92"/>
      <c r="E163" s="96"/>
      <c r="F163" s="95"/>
      <c r="G163" s="114"/>
      <c r="H163" s="210"/>
      <c r="I163" s="211"/>
      <c r="J163" s="212"/>
      <c r="K163" s="210"/>
      <c r="L163" s="211"/>
      <c r="M163" s="212"/>
      <c r="N163" s="95" t="str">
        <f t="shared" si="19"/>
        <v xml:space="preserve"> </v>
      </c>
      <c r="O163" s="96"/>
      <c r="P163" s="97"/>
      <c r="Q163" s="240"/>
    </row>
    <row r="164" spans="1:17" ht="15" customHeight="1" thickBot="1">
      <c r="A164" s="223"/>
      <c r="B164" s="136"/>
      <c r="C164" s="137"/>
      <c r="D164" s="136"/>
      <c r="E164" s="138"/>
      <c r="F164" s="139"/>
      <c r="G164" s="140"/>
      <c r="H164" s="230"/>
      <c r="I164" s="231"/>
      <c r="J164" s="232"/>
      <c r="K164" s="230"/>
      <c r="L164" s="231"/>
      <c r="M164" s="232"/>
      <c r="N164" s="139" t="str">
        <f t="shared" si="19"/>
        <v xml:space="preserve"> </v>
      </c>
      <c r="O164" s="138"/>
      <c r="P164" s="141"/>
      <c r="Q164" s="240"/>
    </row>
    <row r="165" spans="1:17" ht="20.100000000000001" customHeight="1">
      <c r="A165" s="213" t="s">
        <v>25</v>
      </c>
      <c r="B165" s="44"/>
      <c r="C165" s="45"/>
      <c r="D165" s="44"/>
      <c r="E165" s="47"/>
      <c r="F165" s="45"/>
      <c r="G165" s="46"/>
      <c r="H165" s="259"/>
      <c r="I165" s="260"/>
      <c r="J165" s="261"/>
      <c r="K165" s="259"/>
      <c r="L165" s="260"/>
      <c r="M165" s="261"/>
      <c r="N165" s="44" t="str">
        <f>IF((((B165+E165)*5)-(H165+K165))/5=0," ",(((B165+E165)*5)-(H165+K165))/5)</f>
        <v xml:space="preserve"> </v>
      </c>
      <c r="O165" s="44"/>
      <c r="P165" s="48"/>
      <c r="Q165" s="240"/>
    </row>
    <row r="166" spans="1:17" ht="20.100000000000001" customHeight="1">
      <c r="A166" s="222"/>
      <c r="B166" s="147"/>
      <c r="C166" s="151"/>
      <c r="D166" s="147"/>
      <c r="E166" s="153"/>
      <c r="F166" s="151"/>
      <c r="G166" s="152"/>
      <c r="H166" s="154"/>
      <c r="I166" s="151"/>
      <c r="J166" s="153"/>
      <c r="K166" s="154"/>
      <c r="L166" s="151"/>
      <c r="M166" s="153"/>
      <c r="N166" s="147" t="str">
        <f>IF((((B166+E166)*5)-(H166+K166))/5=0," ",(((B166+E166)*5)-(H166+K166))/5)</f>
        <v xml:space="preserve"> </v>
      </c>
      <c r="O166" s="147"/>
      <c r="P166" s="155"/>
      <c r="Q166" s="240"/>
    </row>
    <row r="167" spans="1:17" ht="20.100000000000001" customHeight="1">
      <c r="A167" s="222"/>
      <c r="B167" s="122"/>
      <c r="C167" s="258"/>
      <c r="D167" s="122"/>
      <c r="E167" s="125"/>
      <c r="F167" s="258"/>
      <c r="G167" s="124"/>
      <c r="H167" s="126"/>
      <c r="I167" s="258"/>
      <c r="J167" s="125"/>
      <c r="K167" s="126"/>
      <c r="L167" s="258"/>
      <c r="M167" s="125"/>
      <c r="N167" s="122" t="str">
        <f>IF((((B167+E167)*6)-(H167+K167))/6=0," ",(((B167+E167)*6)-(H167+K167))/6)</f>
        <v xml:space="preserve"> </v>
      </c>
      <c r="O167" s="122"/>
      <c r="P167" s="127"/>
      <c r="Q167" s="240"/>
    </row>
    <row r="168" spans="1:17" ht="20.100000000000001" customHeight="1" thickBot="1">
      <c r="A168" s="214"/>
      <c r="B168" s="49"/>
      <c r="C168" s="50"/>
      <c r="D168" s="49"/>
      <c r="E168" s="52"/>
      <c r="F168" s="50"/>
      <c r="G168" s="51"/>
      <c r="H168" s="218"/>
      <c r="I168" s="219"/>
      <c r="J168" s="220"/>
      <c r="K168" s="218"/>
      <c r="L168" s="219"/>
      <c r="M168" s="220"/>
      <c r="N168" s="49" t="str">
        <f>IF((((B168+E168)*6)-(H168+K168))/6=0," ",(((B168+E168)*6)-(H168+K168))/6)</f>
        <v xml:space="preserve"> </v>
      </c>
      <c r="O168" s="49"/>
      <c r="P168" s="53"/>
      <c r="Q168" s="240"/>
    </row>
    <row r="169" spans="1:17" ht="15.75" customHeight="1" thickBot="1">
      <c r="A169" s="54" t="s">
        <v>26</v>
      </c>
      <c r="B169" s="56"/>
      <c r="C169" s="192"/>
      <c r="D169" s="193"/>
      <c r="E169" s="58"/>
      <c r="F169" s="192"/>
      <c r="G169" s="193"/>
      <c r="H169" s="275">
        <f>SUM(J155:J159,H160:J168)</f>
        <v>0</v>
      </c>
      <c r="I169" s="195"/>
      <c r="J169" s="196"/>
      <c r="K169" s="276">
        <f>SUM(M155:M159,K160:M168)</f>
        <v>0</v>
      </c>
      <c r="L169" s="197"/>
      <c r="M169" s="198"/>
      <c r="N169" s="56" t="str">
        <f>IF(SUM(N155:N168)=0," ",SUM(N155:N168))</f>
        <v xml:space="preserve"> </v>
      </c>
      <c r="O169" s="192"/>
      <c r="P169" s="193"/>
      <c r="Q169" s="241"/>
    </row>
    <row r="170" spans="1:17" ht="15" customHeight="1">
      <c r="A170" s="199" t="s">
        <v>75</v>
      </c>
      <c r="B170" s="20"/>
      <c r="C170" s="21"/>
      <c r="D170" s="22"/>
      <c r="E170" s="23"/>
      <c r="F170" s="24"/>
      <c r="G170" s="25"/>
      <c r="H170" s="201"/>
      <c r="I170" s="202"/>
      <c r="J170" s="203"/>
      <c r="K170" s="201"/>
      <c r="L170" s="202"/>
      <c r="M170" s="203"/>
      <c r="N170" s="26" t="str">
        <f>IF(((B170+E170)-(H170+K170))=0," ",((B170+E170)-(H170+K170)))</f>
        <v xml:space="preserve"> </v>
      </c>
      <c r="O170" s="26"/>
      <c r="P170" s="27"/>
      <c r="Q170" s="239"/>
    </row>
    <row r="171" spans="1:17" ht="15" customHeight="1">
      <c r="A171" s="200"/>
      <c r="B171" s="255"/>
      <c r="C171" s="256"/>
      <c r="D171" s="257"/>
      <c r="E171" s="106"/>
      <c r="F171" s="96"/>
      <c r="G171" s="97"/>
      <c r="H171" s="210"/>
      <c r="I171" s="211"/>
      <c r="J171" s="212"/>
      <c r="K171" s="210"/>
      <c r="L171" s="211"/>
      <c r="M171" s="212"/>
      <c r="N171" s="95" t="str">
        <f t="shared" ref="N171:N178" si="20">IF(((B171+E171)-(H171+K171))=0," ",((B171+E171)-(H171+K171)))</f>
        <v xml:space="preserve"> </v>
      </c>
      <c r="O171" s="95"/>
      <c r="P171" s="114"/>
      <c r="Q171" s="240"/>
    </row>
    <row r="172" spans="1:17" ht="15" customHeight="1">
      <c r="A172" s="200"/>
      <c r="B172" s="255"/>
      <c r="C172" s="256"/>
      <c r="D172" s="257"/>
      <c r="E172" s="106"/>
      <c r="F172" s="96"/>
      <c r="G172" s="97"/>
      <c r="H172" s="210"/>
      <c r="I172" s="211"/>
      <c r="J172" s="212"/>
      <c r="K172" s="210"/>
      <c r="L172" s="211"/>
      <c r="M172" s="212"/>
      <c r="N172" s="95" t="str">
        <f t="shared" si="20"/>
        <v xml:space="preserve"> </v>
      </c>
      <c r="O172" s="95"/>
      <c r="P172" s="114"/>
      <c r="Q172" s="240"/>
    </row>
    <row r="173" spans="1:17" ht="15" customHeight="1">
      <c r="A173" s="200"/>
      <c r="B173" s="28"/>
      <c r="C173" s="29"/>
      <c r="D173" s="30"/>
      <c r="E173" s="31"/>
      <c r="F173" s="32"/>
      <c r="G173" s="33"/>
      <c r="H173" s="207"/>
      <c r="I173" s="208"/>
      <c r="J173" s="209"/>
      <c r="K173" s="207"/>
      <c r="L173" s="208"/>
      <c r="M173" s="209"/>
      <c r="N173" s="34" t="str">
        <f t="shared" si="20"/>
        <v xml:space="preserve"> </v>
      </c>
      <c r="O173" s="34"/>
      <c r="P173" s="35"/>
      <c r="Q173" s="240"/>
    </row>
    <row r="174" spans="1:17" ht="15" customHeight="1" thickBot="1">
      <c r="A174" s="200"/>
      <c r="B174" s="36"/>
      <c r="C174" s="37"/>
      <c r="D174" s="38"/>
      <c r="E174" s="39"/>
      <c r="F174" s="40"/>
      <c r="G174" s="41"/>
      <c r="H174" s="210"/>
      <c r="I174" s="211"/>
      <c r="J174" s="212"/>
      <c r="K174" s="210"/>
      <c r="L174" s="211"/>
      <c r="M174" s="212"/>
      <c r="N174" s="42" t="str">
        <f t="shared" si="20"/>
        <v xml:space="preserve"> </v>
      </c>
      <c r="O174" s="42"/>
      <c r="P174" s="43"/>
      <c r="Q174" s="240"/>
    </row>
    <row r="175" spans="1:17" ht="20.100000000000001" customHeight="1">
      <c r="A175" s="213" t="s">
        <v>25</v>
      </c>
      <c r="B175" s="44"/>
      <c r="C175" s="45"/>
      <c r="D175" s="46"/>
      <c r="E175" s="47"/>
      <c r="F175" s="45"/>
      <c r="G175" s="46"/>
      <c r="H175" s="259"/>
      <c r="I175" s="260"/>
      <c r="J175" s="261"/>
      <c r="K175" s="259"/>
      <c r="L175" s="260"/>
      <c r="M175" s="261"/>
      <c r="N175" s="44" t="str">
        <f t="shared" si="20"/>
        <v xml:space="preserve"> </v>
      </c>
      <c r="O175" s="44"/>
      <c r="P175" s="48"/>
      <c r="Q175" s="240"/>
    </row>
    <row r="176" spans="1:17" ht="20.100000000000001" customHeight="1">
      <c r="A176" s="222"/>
      <c r="B176" s="147"/>
      <c r="C176" s="151"/>
      <c r="D176" s="152"/>
      <c r="E176" s="153"/>
      <c r="F176" s="151"/>
      <c r="G176" s="152"/>
      <c r="H176" s="154"/>
      <c r="I176" s="151"/>
      <c r="J176" s="153"/>
      <c r="K176" s="154"/>
      <c r="L176" s="151"/>
      <c r="M176" s="153"/>
      <c r="N176" s="147" t="str">
        <f t="shared" si="20"/>
        <v xml:space="preserve"> </v>
      </c>
      <c r="O176" s="147"/>
      <c r="P176" s="155"/>
      <c r="Q176" s="240"/>
    </row>
    <row r="177" spans="1:17" ht="20.100000000000001" customHeight="1">
      <c r="A177" s="222"/>
      <c r="B177" s="122"/>
      <c r="C177" s="258"/>
      <c r="D177" s="124"/>
      <c r="E177" s="125"/>
      <c r="F177" s="258"/>
      <c r="G177" s="124"/>
      <c r="H177" s="126"/>
      <c r="I177" s="258"/>
      <c r="J177" s="125"/>
      <c r="K177" s="126"/>
      <c r="L177" s="258"/>
      <c r="M177" s="125"/>
      <c r="N177" s="122" t="str">
        <f t="shared" si="20"/>
        <v xml:space="preserve"> </v>
      </c>
      <c r="O177" s="122"/>
      <c r="P177" s="127"/>
      <c r="Q177" s="240"/>
    </row>
    <row r="178" spans="1:17" ht="20.100000000000001" customHeight="1" thickBot="1">
      <c r="A178" s="214"/>
      <c r="B178" s="49"/>
      <c r="C178" s="50"/>
      <c r="D178" s="51"/>
      <c r="E178" s="52"/>
      <c r="F178" s="50"/>
      <c r="G178" s="51"/>
      <c r="H178" s="218"/>
      <c r="I178" s="219"/>
      <c r="J178" s="220"/>
      <c r="K178" s="218"/>
      <c r="L178" s="219"/>
      <c r="M178" s="220"/>
      <c r="N178" s="49" t="str">
        <f t="shared" si="20"/>
        <v xml:space="preserve"> </v>
      </c>
      <c r="O178" s="49"/>
      <c r="P178" s="53"/>
      <c r="Q178" s="240"/>
    </row>
    <row r="179" spans="1:17" ht="15.75" customHeight="1" thickBot="1">
      <c r="A179" s="54" t="s">
        <v>26</v>
      </c>
      <c r="B179" s="56" t="str">
        <f>IF(SUM(B170:B178)=0," ",SUM(B170:B178))</f>
        <v xml:space="preserve"> </v>
      </c>
      <c r="C179" s="192"/>
      <c r="D179" s="193"/>
      <c r="E179" s="58" t="str">
        <f>IF(SUM(E170:E178)=0," ",SUM(E170:E178))</f>
        <v xml:space="preserve"> </v>
      </c>
      <c r="F179" s="192"/>
      <c r="G179" s="193"/>
      <c r="H179" s="194" t="str">
        <f>IF(SUM(H170:J178)=0," ",SUM(H170:J178))</f>
        <v xml:space="preserve"> </v>
      </c>
      <c r="I179" s="195"/>
      <c r="J179" s="196"/>
      <c r="K179" s="197" t="str">
        <f>IF(SUM(K170:M178)=0," ",SUM(K170:M178))</f>
        <v xml:space="preserve"> </v>
      </c>
      <c r="L179" s="197"/>
      <c r="M179" s="198"/>
      <c r="N179" s="56" t="str">
        <f>IF(SUM(N170:N178)=0," ",SUM(N170:N178))</f>
        <v xml:space="preserve"> </v>
      </c>
      <c r="O179" s="192"/>
      <c r="P179" s="193"/>
      <c r="Q179" s="241"/>
    </row>
    <row r="180" spans="1:17" ht="15" customHeight="1">
      <c r="A180" s="199" t="s">
        <v>76</v>
      </c>
      <c r="B180" s="20"/>
      <c r="C180" s="21"/>
      <c r="D180" s="22"/>
      <c r="E180" s="23"/>
      <c r="F180" s="24"/>
      <c r="G180" s="25"/>
      <c r="H180" s="201"/>
      <c r="I180" s="202"/>
      <c r="J180" s="203"/>
      <c r="K180" s="201"/>
      <c r="L180" s="202"/>
      <c r="M180" s="203"/>
      <c r="N180" s="26" t="str">
        <f>IF(((B180+E180)-(H180+K180))=0," ",((B180+E180)-(H180+K180)))</f>
        <v xml:space="preserve"> </v>
      </c>
      <c r="O180" s="26"/>
      <c r="P180" s="27"/>
      <c r="Q180" s="239"/>
    </row>
    <row r="181" spans="1:17" ht="15" customHeight="1">
      <c r="A181" s="200"/>
      <c r="B181" s="255"/>
      <c r="C181" s="256"/>
      <c r="D181" s="257"/>
      <c r="E181" s="106"/>
      <c r="F181" s="96"/>
      <c r="G181" s="97"/>
      <c r="H181" s="210"/>
      <c r="I181" s="211"/>
      <c r="J181" s="212"/>
      <c r="K181" s="210"/>
      <c r="L181" s="211"/>
      <c r="M181" s="212"/>
      <c r="N181" s="95" t="str">
        <f t="shared" ref="N181:N188" si="21">IF(((B181+E181)-(H181+K181))=0," ",((B181+E181)-(H181+K181)))</f>
        <v xml:space="preserve"> </v>
      </c>
      <c r="O181" s="95"/>
      <c r="P181" s="114"/>
      <c r="Q181" s="240"/>
    </row>
    <row r="182" spans="1:17" ht="15" customHeight="1">
      <c r="A182" s="200"/>
      <c r="B182" s="255"/>
      <c r="C182" s="256"/>
      <c r="D182" s="257"/>
      <c r="E182" s="106"/>
      <c r="F182" s="96"/>
      <c r="G182" s="97"/>
      <c r="H182" s="210"/>
      <c r="I182" s="211"/>
      <c r="J182" s="212"/>
      <c r="K182" s="210"/>
      <c r="L182" s="211"/>
      <c r="M182" s="212"/>
      <c r="N182" s="95" t="str">
        <f t="shared" si="21"/>
        <v xml:space="preserve"> </v>
      </c>
      <c r="O182" s="95"/>
      <c r="P182" s="114"/>
      <c r="Q182" s="240"/>
    </row>
    <row r="183" spans="1:17" ht="15" customHeight="1">
      <c r="A183" s="200"/>
      <c r="B183" s="28"/>
      <c r="C183" s="29"/>
      <c r="D183" s="30"/>
      <c r="E183" s="31"/>
      <c r="F183" s="32"/>
      <c r="G183" s="33"/>
      <c r="H183" s="207"/>
      <c r="I183" s="208"/>
      <c r="J183" s="209"/>
      <c r="K183" s="207"/>
      <c r="L183" s="208"/>
      <c r="M183" s="209"/>
      <c r="N183" s="34" t="str">
        <f t="shared" si="21"/>
        <v xml:space="preserve"> </v>
      </c>
      <c r="O183" s="34"/>
      <c r="P183" s="35"/>
      <c r="Q183" s="240"/>
    </row>
    <row r="184" spans="1:17" ht="15" customHeight="1" thickBot="1">
      <c r="A184" s="200"/>
      <c r="B184" s="36"/>
      <c r="C184" s="37"/>
      <c r="D184" s="38"/>
      <c r="E184" s="39"/>
      <c r="F184" s="40"/>
      <c r="G184" s="41"/>
      <c r="H184" s="210"/>
      <c r="I184" s="211"/>
      <c r="J184" s="212"/>
      <c r="K184" s="210"/>
      <c r="L184" s="211"/>
      <c r="M184" s="212"/>
      <c r="N184" s="42" t="str">
        <f t="shared" si="21"/>
        <v xml:space="preserve"> </v>
      </c>
      <c r="O184" s="42"/>
      <c r="P184" s="43"/>
      <c r="Q184" s="240"/>
    </row>
    <row r="185" spans="1:17" ht="20.100000000000001" customHeight="1">
      <c r="A185" s="213" t="s">
        <v>25</v>
      </c>
      <c r="B185" s="44"/>
      <c r="C185" s="45"/>
      <c r="D185" s="46"/>
      <c r="E185" s="47"/>
      <c r="F185" s="45"/>
      <c r="G185" s="46"/>
      <c r="H185" s="259"/>
      <c r="I185" s="260"/>
      <c r="J185" s="261"/>
      <c r="K185" s="259"/>
      <c r="L185" s="260"/>
      <c r="M185" s="261"/>
      <c r="N185" s="44" t="str">
        <f t="shared" si="21"/>
        <v xml:space="preserve"> </v>
      </c>
      <c r="O185" s="44"/>
      <c r="P185" s="48"/>
      <c r="Q185" s="240"/>
    </row>
    <row r="186" spans="1:17" ht="20.100000000000001" customHeight="1">
      <c r="A186" s="222"/>
      <c r="B186" s="147"/>
      <c r="C186" s="151"/>
      <c r="D186" s="152"/>
      <c r="E186" s="153"/>
      <c r="F186" s="151"/>
      <c r="G186" s="152"/>
      <c r="H186" s="154"/>
      <c r="I186" s="151"/>
      <c r="J186" s="153"/>
      <c r="K186" s="154"/>
      <c r="L186" s="151"/>
      <c r="M186" s="153"/>
      <c r="N186" s="147" t="str">
        <f t="shared" si="21"/>
        <v xml:space="preserve"> </v>
      </c>
      <c r="O186" s="147"/>
      <c r="P186" s="155"/>
      <c r="Q186" s="240"/>
    </row>
    <row r="187" spans="1:17" ht="20.100000000000001" customHeight="1">
      <c r="A187" s="222"/>
      <c r="B187" s="122"/>
      <c r="C187" s="258"/>
      <c r="D187" s="124"/>
      <c r="E187" s="125"/>
      <c r="F187" s="258"/>
      <c r="G187" s="124"/>
      <c r="H187" s="126"/>
      <c r="I187" s="258"/>
      <c r="J187" s="125"/>
      <c r="K187" s="126"/>
      <c r="L187" s="258"/>
      <c r="M187" s="125"/>
      <c r="N187" s="122" t="str">
        <f t="shared" si="21"/>
        <v xml:space="preserve"> </v>
      </c>
      <c r="O187" s="122"/>
      <c r="P187" s="127"/>
      <c r="Q187" s="240"/>
    </row>
    <row r="188" spans="1:17" ht="20.100000000000001" customHeight="1" thickBot="1">
      <c r="A188" s="214"/>
      <c r="B188" s="49"/>
      <c r="C188" s="50"/>
      <c r="D188" s="51"/>
      <c r="E188" s="52"/>
      <c r="F188" s="50"/>
      <c r="G188" s="51"/>
      <c r="H188" s="218"/>
      <c r="I188" s="219"/>
      <c r="J188" s="220"/>
      <c r="K188" s="218"/>
      <c r="L188" s="219"/>
      <c r="M188" s="220"/>
      <c r="N188" s="49" t="str">
        <f t="shared" si="21"/>
        <v xml:space="preserve"> </v>
      </c>
      <c r="O188" s="49"/>
      <c r="P188" s="53"/>
      <c r="Q188" s="240"/>
    </row>
    <row r="189" spans="1:17" ht="15.75" customHeight="1" thickBot="1">
      <c r="A189" s="54" t="s">
        <v>26</v>
      </c>
      <c r="B189" s="56" t="str">
        <f>IF(SUM(B180:B188)=0," ",SUM(B180:B188))</f>
        <v xml:space="preserve"> </v>
      </c>
      <c r="C189" s="192"/>
      <c r="D189" s="193"/>
      <c r="E189" s="58" t="str">
        <f>IF(SUM(E180:E188)=0," ",SUM(E180:E188))</f>
        <v xml:space="preserve"> </v>
      </c>
      <c r="F189" s="192"/>
      <c r="G189" s="193"/>
      <c r="H189" s="194" t="str">
        <f>IF(SUM(H180:J188)=0," ",SUM(H180:J188))</f>
        <v xml:space="preserve"> </v>
      </c>
      <c r="I189" s="195"/>
      <c r="J189" s="196"/>
      <c r="K189" s="197" t="str">
        <f>IF(SUM(K180:M188)=0," ",SUM(K180:M188))</f>
        <v xml:space="preserve"> </v>
      </c>
      <c r="L189" s="197"/>
      <c r="M189" s="198"/>
      <c r="N189" s="56" t="str">
        <f>IF(SUM(N180:N188)=0," ",SUM(N180:N188))</f>
        <v xml:space="preserve"> </v>
      </c>
      <c r="O189" s="192"/>
      <c r="P189" s="193"/>
      <c r="Q189" s="241"/>
    </row>
    <row r="190" spans="1:17" ht="15" customHeight="1">
      <c r="A190" s="199" t="s">
        <v>149</v>
      </c>
      <c r="B190" s="20"/>
      <c r="C190" s="21"/>
      <c r="D190" s="22"/>
      <c r="E190" s="23"/>
      <c r="F190" s="24"/>
      <c r="G190" s="25"/>
      <c r="H190" s="201"/>
      <c r="I190" s="202"/>
      <c r="J190" s="203"/>
      <c r="K190" s="201"/>
      <c r="L190" s="202"/>
      <c r="M190" s="203"/>
      <c r="N190" s="26" t="str">
        <f>IF(((B190+E190)-(H190+K190))=0," ",((B190+E190)-(H190+K190)))</f>
        <v xml:space="preserve"> </v>
      </c>
      <c r="O190" s="26"/>
      <c r="P190" s="27"/>
      <c r="Q190" s="239"/>
    </row>
    <row r="191" spans="1:17" ht="15" customHeight="1">
      <c r="A191" s="200"/>
      <c r="B191" s="255"/>
      <c r="C191" s="256"/>
      <c r="D191" s="257"/>
      <c r="E191" s="106"/>
      <c r="F191" s="96"/>
      <c r="G191" s="97"/>
      <c r="H191" s="210"/>
      <c r="I191" s="211"/>
      <c r="J191" s="212"/>
      <c r="K191" s="210"/>
      <c r="L191" s="211"/>
      <c r="M191" s="212"/>
      <c r="N191" s="95" t="str">
        <f t="shared" ref="N191:N198" si="22">IF(((B191+E191)-(H191+K191))=0," ",((B191+E191)-(H191+K191)))</f>
        <v xml:space="preserve"> </v>
      </c>
      <c r="O191" s="95"/>
      <c r="P191" s="114"/>
      <c r="Q191" s="240"/>
    </row>
    <row r="192" spans="1:17" ht="15" customHeight="1">
      <c r="A192" s="200"/>
      <c r="B192" s="255"/>
      <c r="C192" s="256"/>
      <c r="D192" s="257"/>
      <c r="E192" s="106"/>
      <c r="F192" s="96"/>
      <c r="G192" s="97"/>
      <c r="H192" s="210"/>
      <c r="I192" s="211"/>
      <c r="J192" s="212"/>
      <c r="K192" s="210"/>
      <c r="L192" s="211"/>
      <c r="M192" s="212"/>
      <c r="N192" s="95" t="str">
        <f t="shared" si="22"/>
        <v xml:space="preserve"> </v>
      </c>
      <c r="O192" s="95"/>
      <c r="P192" s="114"/>
      <c r="Q192" s="240"/>
    </row>
    <row r="193" spans="1:17" ht="15" customHeight="1">
      <c r="A193" s="200"/>
      <c r="B193" s="28"/>
      <c r="C193" s="29"/>
      <c r="D193" s="30"/>
      <c r="E193" s="31"/>
      <c r="F193" s="32"/>
      <c r="G193" s="33"/>
      <c r="H193" s="207"/>
      <c r="I193" s="208"/>
      <c r="J193" s="209"/>
      <c r="K193" s="207"/>
      <c r="L193" s="208"/>
      <c r="M193" s="209"/>
      <c r="N193" s="34" t="str">
        <f t="shared" si="22"/>
        <v xml:space="preserve"> </v>
      </c>
      <c r="O193" s="34"/>
      <c r="P193" s="35"/>
      <c r="Q193" s="240"/>
    </row>
    <row r="194" spans="1:17" ht="15" customHeight="1" thickBot="1">
      <c r="A194" s="200"/>
      <c r="B194" s="36"/>
      <c r="C194" s="37"/>
      <c r="D194" s="38"/>
      <c r="E194" s="39"/>
      <c r="F194" s="40"/>
      <c r="G194" s="41"/>
      <c r="H194" s="210"/>
      <c r="I194" s="211"/>
      <c r="J194" s="212"/>
      <c r="K194" s="210"/>
      <c r="L194" s="211"/>
      <c r="M194" s="212"/>
      <c r="N194" s="42" t="str">
        <f t="shared" si="22"/>
        <v xml:space="preserve"> </v>
      </c>
      <c r="O194" s="42"/>
      <c r="P194" s="43"/>
      <c r="Q194" s="240"/>
    </row>
    <row r="195" spans="1:17" ht="20.100000000000001" customHeight="1">
      <c r="A195" s="213" t="s">
        <v>25</v>
      </c>
      <c r="B195" s="44"/>
      <c r="C195" s="45"/>
      <c r="D195" s="46"/>
      <c r="E195" s="47"/>
      <c r="F195" s="45"/>
      <c r="G195" s="46"/>
      <c r="H195" s="259"/>
      <c r="I195" s="260"/>
      <c r="J195" s="261"/>
      <c r="K195" s="259"/>
      <c r="L195" s="260"/>
      <c r="M195" s="261"/>
      <c r="N195" s="44" t="str">
        <f t="shared" si="22"/>
        <v xml:space="preserve"> </v>
      </c>
      <c r="O195" s="44"/>
      <c r="P195" s="48"/>
      <c r="Q195" s="240"/>
    </row>
    <row r="196" spans="1:17" ht="20.100000000000001" customHeight="1">
      <c r="A196" s="222"/>
      <c r="B196" s="147"/>
      <c r="C196" s="151"/>
      <c r="D196" s="152"/>
      <c r="E196" s="153"/>
      <c r="F196" s="151"/>
      <c r="G196" s="152"/>
      <c r="H196" s="154"/>
      <c r="I196" s="151"/>
      <c r="J196" s="153"/>
      <c r="K196" s="154"/>
      <c r="L196" s="151"/>
      <c r="M196" s="153"/>
      <c r="N196" s="147" t="str">
        <f t="shared" si="22"/>
        <v xml:space="preserve"> </v>
      </c>
      <c r="O196" s="147"/>
      <c r="P196" s="155"/>
      <c r="Q196" s="240"/>
    </row>
    <row r="197" spans="1:17" ht="20.100000000000001" customHeight="1">
      <c r="A197" s="222"/>
      <c r="B197" s="122"/>
      <c r="C197" s="258"/>
      <c r="D197" s="124"/>
      <c r="E197" s="125"/>
      <c r="F197" s="258"/>
      <c r="G197" s="124"/>
      <c r="H197" s="126"/>
      <c r="I197" s="258"/>
      <c r="J197" s="125"/>
      <c r="K197" s="126"/>
      <c r="L197" s="258"/>
      <c r="M197" s="125"/>
      <c r="N197" s="122" t="str">
        <f t="shared" si="22"/>
        <v xml:space="preserve"> </v>
      </c>
      <c r="O197" s="122"/>
      <c r="P197" s="127"/>
      <c r="Q197" s="240"/>
    </row>
    <row r="198" spans="1:17" ht="20.100000000000001" customHeight="1" thickBot="1">
      <c r="A198" s="214"/>
      <c r="B198" s="49"/>
      <c r="C198" s="50"/>
      <c r="D198" s="51"/>
      <c r="E198" s="52"/>
      <c r="F198" s="50"/>
      <c r="G198" s="51"/>
      <c r="H198" s="218"/>
      <c r="I198" s="219"/>
      <c r="J198" s="220"/>
      <c r="K198" s="218"/>
      <c r="L198" s="219"/>
      <c r="M198" s="220"/>
      <c r="N198" s="49" t="str">
        <f t="shared" si="22"/>
        <v xml:space="preserve"> </v>
      </c>
      <c r="O198" s="49"/>
      <c r="P198" s="53"/>
      <c r="Q198" s="240"/>
    </row>
    <row r="199" spans="1:17" ht="15.75" customHeight="1" thickBot="1">
      <c r="A199" s="54" t="s">
        <v>26</v>
      </c>
      <c r="B199" s="56" t="str">
        <f>IF(SUM(B190:B198)=0," ",SUM(B190:B198))</f>
        <v xml:space="preserve"> </v>
      </c>
      <c r="C199" s="192"/>
      <c r="D199" s="193"/>
      <c r="E199" s="58" t="str">
        <f>IF(SUM(E190:E198)=0," ",SUM(E190:E198))</f>
        <v xml:space="preserve"> </v>
      </c>
      <c r="F199" s="192"/>
      <c r="G199" s="193"/>
      <c r="H199" s="194" t="str">
        <f>IF(SUM(H190:J198)=0," ",SUM(H190:J198))</f>
        <v xml:space="preserve"> </v>
      </c>
      <c r="I199" s="195"/>
      <c r="J199" s="196"/>
      <c r="K199" s="197" t="str">
        <f>IF(SUM(K190:M198)=0," ",SUM(K190:M198))</f>
        <v xml:space="preserve"> </v>
      </c>
      <c r="L199" s="197"/>
      <c r="M199" s="198"/>
      <c r="N199" s="56" t="str">
        <f>IF(SUM(N190:N198)=0," ",SUM(N190:N198))</f>
        <v xml:space="preserve"> </v>
      </c>
      <c r="O199" s="192"/>
      <c r="P199" s="193"/>
      <c r="Q199" s="241"/>
    </row>
  </sheetData>
  <protectedRanges>
    <protectedRange sqref="I7" name="año"/>
    <protectedRange sqref="O7" name="Unidad de salud"/>
    <protectedRange sqref="D8:K8" name="Nombre"/>
    <protectedRange sqref="B83:M91 B135:M143 B125:M133 B115:M123 B105:M113 B145:M153" name="APLICACIONES 2"/>
    <protectedRange sqref="K105:L113" name="INFLUENZA DESPERDICIO"/>
    <protectedRange sqref="H105:I113" name="INFLUENZA DÓSIS APLICADAS"/>
    <protectedRange sqref="K23:L31 B76:M81 B53:M61 B43:M51 B23:I31 B13:M21 B73:B75 E73:M75 B33:M41 O63:P67 B63:M71" name="APLICACIONES 1"/>
    <protectedRange sqref="Q23:Q31 Q43:Q51 Q53:Q61 Q63:Q71 Q73:Q81 Q83:Q91 Q105:Q113 Q115:Q123 Q125:Q133 Q135:Q143 Q13:Q21 Q33:Q41 Q145:Q153" name="PEDIDO DE BIOLÓGICO"/>
    <protectedRange sqref="O23:P31 O43:P51 O53:P61 O68:P71 O73:P81 O83:P91 O105:P113 O115:P123 O125:P133 O135:P143 O33:P41 O13:P21 O145:P153" name="LOTE Y CADUCIDAD CORTE FINAL"/>
    <protectedRange sqref="Q169 Q13:Q92 Q105:Q154" name="Pedido mensual"/>
    <protectedRange sqref="C73:D75" name="LOTE Y CADUCIDAD CORTE FINAL_1"/>
    <protectedRange sqref="B160:M168 B155:G159" name="APLICACIONES 2_1"/>
    <protectedRange sqref="K155:L159 H155:I159" name="APLICACIONES 1_1"/>
    <protectedRange sqref="Q155:Q168" name="PEDIDO DE BIOLÓGICO_1"/>
    <protectedRange sqref="O155:P168" name="LOTE Y CADUCIDAD CORTE FINAL_2"/>
    <protectedRange sqref="Q155:Q168" name="Pedido mensual_1"/>
  </protectedRanges>
  <mergeCells count="389">
    <mergeCell ref="C199:D199"/>
    <mergeCell ref="F199:G199"/>
    <mergeCell ref="H199:J199"/>
    <mergeCell ref="K199:M199"/>
    <mergeCell ref="O199:P199"/>
    <mergeCell ref="H194:J194"/>
    <mergeCell ref="K194:M194"/>
    <mergeCell ref="A195:A198"/>
    <mergeCell ref="H195:J195"/>
    <mergeCell ref="K195:M195"/>
    <mergeCell ref="H198:J198"/>
    <mergeCell ref="K198:M198"/>
    <mergeCell ref="A190:A194"/>
    <mergeCell ref="H190:J190"/>
    <mergeCell ref="K190:M190"/>
    <mergeCell ref="Q190:Q199"/>
    <mergeCell ref="H191:J191"/>
    <mergeCell ref="K191:M191"/>
    <mergeCell ref="H192:J192"/>
    <mergeCell ref="K192:M192"/>
    <mergeCell ref="H193:J193"/>
    <mergeCell ref="K193:M193"/>
    <mergeCell ref="A185:A188"/>
    <mergeCell ref="H185:J185"/>
    <mergeCell ref="K185:M185"/>
    <mergeCell ref="H188:J188"/>
    <mergeCell ref="K188:M188"/>
    <mergeCell ref="C189:D189"/>
    <mergeCell ref="F189:G189"/>
    <mergeCell ref="H189:J189"/>
    <mergeCell ref="K189:M189"/>
    <mergeCell ref="Q180:Q189"/>
    <mergeCell ref="H181:J181"/>
    <mergeCell ref="K181:M181"/>
    <mergeCell ref="H182:J182"/>
    <mergeCell ref="K182:M182"/>
    <mergeCell ref="H183:J183"/>
    <mergeCell ref="K183:M183"/>
    <mergeCell ref="H184:J184"/>
    <mergeCell ref="K184:M184"/>
    <mergeCell ref="O189:P189"/>
    <mergeCell ref="C179:D179"/>
    <mergeCell ref="F179:G179"/>
    <mergeCell ref="H179:J179"/>
    <mergeCell ref="K179:M179"/>
    <mergeCell ref="O179:P179"/>
    <mergeCell ref="A180:A184"/>
    <mergeCell ref="H180:J180"/>
    <mergeCell ref="K180:M180"/>
    <mergeCell ref="K173:M173"/>
    <mergeCell ref="H174:J174"/>
    <mergeCell ref="K174:M174"/>
    <mergeCell ref="A175:A178"/>
    <mergeCell ref="H175:J175"/>
    <mergeCell ref="K175:M175"/>
    <mergeCell ref="H178:J178"/>
    <mergeCell ref="K178:M178"/>
    <mergeCell ref="O169:P169"/>
    <mergeCell ref="A170:A174"/>
    <mergeCell ref="H170:J170"/>
    <mergeCell ref="K170:M170"/>
    <mergeCell ref="Q170:Q179"/>
    <mergeCell ref="H171:J171"/>
    <mergeCell ref="K171:M171"/>
    <mergeCell ref="H172:J172"/>
    <mergeCell ref="K172:M172"/>
    <mergeCell ref="H173:J173"/>
    <mergeCell ref="K165:M165"/>
    <mergeCell ref="H168:J168"/>
    <mergeCell ref="K168:M168"/>
    <mergeCell ref="C169:D169"/>
    <mergeCell ref="F169:G169"/>
    <mergeCell ref="H169:J169"/>
    <mergeCell ref="K169:M169"/>
    <mergeCell ref="Q155:Q169"/>
    <mergeCell ref="A160:A164"/>
    <mergeCell ref="H160:J160"/>
    <mergeCell ref="K160:M160"/>
    <mergeCell ref="H163:J163"/>
    <mergeCell ref="K163:M163"/>
    <mergeCell ref="H164:J164"/>
    <mergeCell ref="K164:M164"/>
    <mergeCell ref="A165:A168"/>
    <mergeCell ref="H165:J165"/>
    <mergeCell ref="C154:D154"/>
    <mergeCell ref="F154:G154"/>
    <mergeCell ref="H154:J154"/>
    <mergeCell ref="K154:M154"/>
    <mergeCell ref="O154:P154"/>
    <mergeCell ref="A155:A159"/>
    <mergeCell ref="H149:J149"/>
    <mergeCell ref="K149:M149"/>
    <mergeCell ref="A150:A153"/>
    <mergeCell ref="H150:J150"/>
    <mergeCell ref="K150:M150"/>
    <mergeCell ref="H153:J153"/>
    <mergeCell ref="K153:M153"/>
    <mergeCell ref="A145:A149"/>
    <mergeCell ref="H145:J145"/>
    <mergeCell ref="K145:M145"/>
    <mergeCell ref="Q145:Q154"/>
    <mergeCell ref="H146:J146"/>
    <mergeCell ref="K146:M146"/>
    <mergeCell ref="H147:J147"/>
    <mergeCell ref="K147:M147"/>
    <mergeCell ref="H148:J148"/>
    <mergeCell ref="K148:M148"/>
    <mergeCell ref="A140:A143"/>
    <mergeCell ref="H140:J140"/>
    <mergeCell ref="K140:M140"/>
    <mergeCell ref="H143:J143"/>
    <mergeCell ref="K143:M143"/>
    <mergeCell ref="C144:D144"/>
    <mergeCell ref="F144:G144"/>
    <mergeCell ref="H144:J144"/>
    <mergeCell ref="K144:M144"/>
    <mergeCell ref="Q135:Q144"/>
    <mergeCell ref="H136:J136"/>
    <mergeCell ref="K136:M136"/>
    <mergeCell ref="H137:J137"/>
    <mergeCell ref="H138:J138"/>
    <mergeCell ref="H139:J139"/>
    <mergeCell ref="K139:M139"/>
    <mergeCell ref="O144:P144"/>
    <mergeCell ref="C134:D134"/>
    <mergeCell ref="F134:G134"/>
    <mergeCell ref="H134:J134"/>
    <mergeCell ref="K134:M134"/>
    <mergeCell ref="O134:P134"/>
    <mergeCell ref="A135:A139"/>
    <mergeCell ref="H135:J135"/>
    <mergeCell ref="K135:M135"/>
    <mergeCell ref="H129:J129"/>
    <mergeCell ref="K129:M129"/>
    <mergeCell ref="A130:A133"/>
    <mergeCell ref="H130:J130"/>
    <mergeCell ref="K130:M130"/>
    <mergeCell ref="H133:J133"/>
    <mergeCell ref="K133:M133"/>
    <mergeCell ref="A125:A129"/>
    <mergeCell ref="H125:J125"/>
    <mergeCell ref="K125:M125"/>
    <mergeCell ref="Q125:Q134"/>
    <mergeCell ref="H126:J126"/>
    <mergeCell ref="K126:M126"/>
    <mergeCell ref="H127:J127"/>
    <mergeCell ref="K127:M127"/>
    <mergeCell ref="H128:J128"/>
    <mergeCell ref="K128:M128"/>
    <mergeCell ref="A120:A123"/>
    <mergeCell ref="H120:J120"/>
    <mergeCell ref="K120:M120"/>
    <mergeCell ref="H123:J123"/>
    <mergeCell ref="K123:M123"/>
    <mergeCell ref="C124:D124"/>
    <mergeCell ref="F124:G124"/>
    <mergeCell ref="H124:J124"/>
    <mergeCell ref="K124:M124"/>
    <mergeCell ref="Q115:Q124"/>
    <mergeCell ref="H116:J116"/>
    <mergeCell ref="K116:M116"/>
    <mergeCell ref="H117:J117"/>
    <mergeCell ref="H118:J118"/>
    <mergeCell ref="H119:J119"/>
    <mergeCell ref="K119:M119"/>
    <mergeCell ref="O124:P124"/>
    <mergeCell ref="C114:D114"/>
    <mergeCell ref="F114:G114"/>
    <mergeCell ref="H114:J114"/>
    <mergeCell ref="K114:M114"/>
    <mergeCell ref="O114:P114"/>
    <mergeCell ref="A115:A119"/>
    <mergeCell ref="H115:J115"/>
    <mergeCell ref="K115:M115"/>
    <mergeCell ref="K109:M109"/>
    <mergeCell ref="A110:A113"/>
    <mergeCell ref="H110:J110"/>
    <mergeCell ref="K110:M110"/>
    <mergeCell ref="H113:J113"/>
    <mergeCell ref="K113:M113"/>
    <mergeCell ref="Q102:Q104"/>
    <mergeCell ref="A105:A109"/>
    <mergeCell ref="H105:J105"/>
    <mergeCell ref="K105:M105"/>
    <mergeCell ref="Q105:Q114"/>
    <mergeCell ref="H106:J106"/>
    <mergeCell ref="K106:M106"/>
    <mergeCell ref="H107:J107"/>
    <mergeCell ref="H108:J108"/>
    <mergeCell ref="H109:J109"/>
    <mergeCell ref="A102:A104"/>
    <mergeCell ref="B102:D103"/>
    <mergeCell ref="E102:G103"/>
    <mergeCell ref="H102:J104"/>
    <mergeCell ref="K102:M104"/>
    <mergeCell ref="N102:P103"/>
    <mergeCell ref="A98:E98"/>
    <mergeCell ref="I99:J99"/>
    <mergeCell ref="M99:N99"/>
    <mergeCell ref="O99:P99"/>
    <mergeCell ref="A100:C100"/>
    <mergeCell ref="D100:L100"/>
    <mergeCell ref="A93:Q93"/>
    <mergeCell ref="A94:Q94"/>
    <mergeCell ref="A95:Q95"/>
    <mergeCell ref="A96:Q96"/>
    <mergeCell ref="L97:N97"/>
    <mergeCell ref="O97:P97"/>
    <mergeCell ref="A88:A91"/>
    <mergeCell ref="H88:J88"/>
    <mergeCell ref="K88:M88"/>
    <mergeCell ref="H91:J91"/>
    <mergeCell ref="K91:M91"/>
    <mergeCell ref="C92:D92"/>
    <mergeCell ref="F92:G92"/>
    <mergeCell ref="H92:J92"/>
    <mergeCell ref="K92:M92"/>
    <mergeCell ref="Q83:Q92"/>
    <mergeCell ref="H84:J84"/>
    <mergeCell ref="K84:M84"/>
    <mergeCell ref="H85:J85"/>
    <mergeCell ref="K85:M85"/>
    <mergeCell ref="H86:J86"/>
    <mergeCell ref="K86:M86"/>
    <mergeCell ref="H87:J87"/>
    <mergeCell ref="K87:M87"/>
    <mergeCell ref="O92:P92"/>
    <mergeCell ref="C82:D82"/>
    <mergeCell ref="F82:G82"/>
    <mergeCell ref="H82:J82"/>
    <mergeCell ref="K82:M82"/>
    <mergeCell ref="O82:P82"/>
    <mergeCell ref="A83:A87"/>
    <mergeCell ref="H83:J83"/>
    <mergeCell ref="K83:M83"/>
    <mergeCell ref="H77:J77"/>
    <mergeCell ref="K77:M77"/>
    <mergeCell ref="A78:A81"/>
    <mergeCell ref="H78:J78"/>
    <mergeCell ref="K78:M78"/>
    <mergeCell ref="H81:J81"/>
    <mergeCell ref="K81:M81"/>
    <mergeCell ref="A73:A77"/>
    <mergeCell ref="H73:J73"/>
    <mergeCell ref="K73:M73"/>
    <mergeCell ref="Q73:Q82"/>
    <mergeCell ref="H74:J74"/>
    <mergeCell ref="K74:M74"/>
    <mergeCell ref="H75:J75"/>
    <mergeCell ref="K75:M75"/>
    <mergeCell ref="H76:J76"/>
    <mergeCell ref="K76:M76"/>
    <mergeCell ref="A68:A71"/>
    <mergeCell ref="H68:J68"/>
    <mergeCell ref="K68:M68"/>
    <mergeCell ref="H71:J71"/>
    <mergeCell ref="K71:M71"/>
    <mergeCell ref="C72:D72"/>
    <mergeCell ref="F72:G72"/>
    <mergeCell ref="H72:J72"/>
    <mergeCell ref="K72:M72"/>
    <mergeCell ref="Q63:Q72"/>
    <mergeCell ref="H64:J64"/>
    <mergeCell ref="K64:M64"/>
    <mergeCell ref="H65:J65"/>
    <mergeCell ref="K65:M65"/>
    <mergeCell ref="H66:J66"/>
    <mergeCell ref="K66:M66"/>
    <mergeCell ref="H67:J67"/>
    <mergeCell ref="K67:M67"/>
    <mergeCell ref="O72:P72"/>
    <mergeCell ref="C62:D62"/>
    <mergeCell ref="F62:G62"/>
    <mergeCell ref="H62:J62"/>
    <mergeCell ref="K62:M62"/>
    <mergeCell ref="O62:P62"/>
    <mergeCell ref="A63:A67"/>
    <mergeCell ref="H63:J63"/>
    <mergeCell ref="K63:M63"/>
    <mergeCell ref="H57:J57"/>
    <mergeCell ref="K57:M57"/>
    <mergeCell ref="A58:A61"/>
    <mergeCell ref="H58:J58"/>
    <mergeCell ref="K58:M58"/>
    <mergeCell ref="H61:J61"/>
    <mergeCell ref="K61:M61"/>
    <mergeCell ref="A53:A57"/>
    <mergeCell ref="H53:J53"/>
    <mergeCell ref="K53:M53"/>
    <mergeCell ref="Q53:Q62"/>
    <mergeCell ref="H54:J54"/>
    <mergeCell ref="K54:M54"/>
    <mergeCell ref="H55:J55"/>
    <mergeCell ref="K55:M55"/>
    <mergeCell ref="H56:J56"/>
    <mergeCell ref="K56:M56"/>
    <mergeCell ref="A48:A51"/>
    <mergeCell ref="H48:J48"/>
    <mergeCell ref="K48:M48"/>
    <mergeCell ref="H51:J51"/>
    <mergeCell ref="K51:M51"/>
    <mergeCell ref="C52:D52"/>
    <mergeCell ref="F52:G52"/>
    <mergeCell ref="H52:J52"/>
    <mergeCell ref="K52:M52"/>
    <mergeCell ref="Q43:Q52"/>
    <mergeCell ref="H44:J44"/>
    <mergeCell ref="K44:M44"/>
    <mergeCell ref="H45:J45"/>
    <mergeCell ref="K45:M45"/>
    <mergeCell ref="H46:J46"/>
    <mergeCell ref="K46:M46"/>
    <mergeCell ref="H47:J47"/>
    <mergeCell ref="K47:M47"/>
    <mergeCell ref="O52:P52"/>
    <mergeCell ref="C42:D42"/>
    <mergeCell ref="F42:G42"/>
    <mergeCell ref="H42:J42"/>
    <mergeCell ref="K42:M42"/>
    <mergeCell ref="O42:P42"/>
    <mergeCell ref="A43:A47"/>
    <mergeCell ref="H43:J43"/>
    <mergeCell ref="K43:M43"/>
    <mergeCell ref="H37:J37"/>
    <mergeCell ref="K37:M37"/>
    <mergeCell ref="A38:A41"/>
    <mergeCell ref="H38:J38"/>
    <mergeCell ref="K38:M38"/>
    <mergeCell ref="H41:J41"/>
    <mergeCell ref="K41:M41"/>
    <mergeCell ref="A33:A37"/>
    <mergeCell ref="H33:J33"/>
    <mergeCell ref="K33:M33"/>
    <mergeCell ref="Q33:Q42"/>
    <mergeCell ref="H34:J34"/>
    <mergeCell ref="K34:M34"/>
    <mergeCell ref="H35:J35"/>
    <mergeCell ref="K35:M35"/>
    <mergeCell ref="H36:J36"/>
    <mergeCell ref="K36:M36"/>
    <mergeCell ref="Q23:Q32"/>
    <mergeCell ref="A28:A31"/>
    <mergeCell ref="C32:D32"/>
    <mergeCell ref="F32:G32"/>
    <mergeCell ref="H32:J32"/>
    <mergeCell ref="K32:M32"/>
    <mergeCell ref="O32:P32"/>
    <mergeCell ref="C22:D22"/>
    <mergeCell ref="F22:G22"/>
    <mergeCell ref="H22:J22"/>
    <mergeCell ref="K22:M22"/>
    <mergeCell ref="O22:P22"/>
    <mergeCell ref="A23:A27"/>
    <mergeCell ref="K16:M16"/>
    <mergeCell ref="H17:J17"/>
    <mergeCell ref="K17:M17"/>
    <mergeCell ref="A18:A21"/>
    <mergeCell ref="H18:J18"/>
    <mergeCell ref="K18:M18"/>
    <mergeCell ref="H21:J21"/>
    <mergeCell ref="K21:M21"/>
    <mergeCell ref="Q10:Q12"/>
    <mergeCell ref="A13:A17"/>
    <mergeCell ref="H13:J13"/>
    <mergeCell ref="K13:M13"/>
    <mergeCell ref="Q13:Q22"/>
    <mergeCell ref="H14:J14"/>
    <mergeCell ref="K14:M14"/>
    <mergeCell ref="H15:J15"/>
    <mergeCell ref="K15:M15"/>
    <mergeCell ref="H16:J16"/>
    <mergeCell ref="A10:A12"/>
    <mergeCell ref="B10:D11"/>
    <mergeCell ref="E10:G11"/>
    <mergeCell ref="H10:J12"/>
    <mergeCell ref="K10:M12"/>
    <mergeCell ref="N10:P11"/>
    <mergeCell ref="A6:E6"/>
    <mergeCell ref="I7:J7"/>
    <mergeCell ref="M7:N7"/>
    <mergeCell ref="O7:P7"/>
    <mergeCell ref="A8:C8"/>
    <mergeCell ref="D8:K8"/>
    <mergeCell ref="A1:Q1"/>
    <mergeCell ref="A2:Q2"/>
    <mergeCell ref="A3:Q3"/>
    <mergeCell ref="A4:Q4"/>
    <mergeCell ref="L5:N5"/>
    <mergeCell ref="O5:P5"/>
  </mergeCells>
  <dataValidations count="1">
    <dataValidation allowBlank="1" showErrorMessage="1" sqref="H105:H113 K105:M113 I105:J106 I109:J113" xr:uid="{44EE62EE-BD8A-4566-BC9B-17B0E415D864}"/>
  </dataValidations>
  <printOptions horizontalCentered="1" verticalCentered="1"/>
  <pageMargins left="0.19685039370078741" right="0.19685039370078741" top="0.19685039370078741" bottom="0.19685039370078741" header="0" footer="0"/>
  <pageSetup scale="51" fitToHeight="2" orientation="landscape" horizontalDpi="1200" verticalDpi="1200" r:id="rId1"/>
  <rowBreaks count="1" manualBreakCount="1">
    <brk id="92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A326-C774-40AC-9078-3DB28DC91B0E}">
  <dimension ref="A1:D12"/>
  <sheetViews>
    <sheetView workbookViewId="0">
      <selection activeCell="D5" sqref="D5"/>
    </sheetView>
  </sheetViews>
  <sheetFormatPr baseColWidth="10" defaultRowHeight="15"/>
  <sheetData>
    <row r="1" spans="1:4">
      <c r="A1" t="s">
        <v>41</v>
      </c>
      <c r="B1">
        <v>31</v>
      </c>
      <c r="D1" t="s">
        <v>53</v>
      </c>
    </row>
    <row r="2" spans="1:4">
      <c r="A2" t="s">
        <v>42</v>
      </c>
      <c r="B2">
        <v>28</v>
      </c>
      <c r="D2" t="s">
        <v>54</v>
      </c>
    </row>
    <row r="3" spans="1:4">
      <c r="A3" t="s">
        <v>43</v>
      </c>
      <c r="B3">
        <v>31</v>
      </c>
      <c r="D3" t="s">
        <v>55</v>
      </c>
    </row>
    <row r="4" spans="1:4">
      <c r="A4" t="s">
        <v>44</v>
      </c>
      <c r="B4">
        <v>30</v>
      </c>
      <c r="D4" t="s">
        <v>56</v>
      </c>
    </row>
    <row r="5" spans="1:4">
      <c r="A5" t="s">
        <v>45</v>
      </c>
      <c r="B5">
        <v>31</v>
      </c>
    </row>
    <row r="6" spans="1:4">
      <c r="A6" t="s">
        <v>46</v>
      </c>
      <c r="B6">
        <v>30</v>
      </c>
    </row>
    <row r="7" spans="1:4">
      <c r="A7" t="s">
        <v>47</v>
      </c>
      <c r="B7">
        <v>31</v>
      </c>
    </row>
    <row r="8" spans="1:4">
      <c r="A8" t="s">
        <v>48</v>
      </c>
      <c r="B8">
        <v>31</v>
      </c>
    </row>
    <row r="9" spans="1:4">
      <c r="A9" t="s">
        <v>49</v>
      </c>
      <c r="B9">
        <v>30</v>
      </c>
    </row>
    <row r="10" spans="1:4">
      <c r="A10" t="s">
        <v>50</v>
      </c>
      <c r="B10">
        <v>31</v>
      </c>
    </row>
    <row r="11" spans="1:4">
      <c r="A11" t="s">
        <v>51</v>
      </c>
      <c r="B11">
        <v>30</v>
      </c>
    </row>
    <row r="12" spans="1:4">
      <c r="A12" t="s">
        <v>52</v>
      </c>
      <c r="B12">
        <v>31</v>
      </c>
    </row>
  </sheetData>
  <sheetProtection sheet="1" objects="1" scenarios="1"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DATOS</vt:lpstr>
      <vt:lpstr>ABR!Print_Area</vt:lpstr>
      <vt:lpstr>AGO!Print_Area</vt:lpstr>
      <vt:lpstr>DIC!Print_Area</vt:lpstr>
      <vt:lpstr>ENE!Print_Area</vt:lpstr>
      <vt:lpstr>FEB!Print_Area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Becerra</dc:creator>
  <cp:lastModifiedBy>Carlos Becerra</cp:lastModifiedBy>
  <cp:lastPrinted>2026-05-13T19:56:20Z</cp:lastPrinted>
  <dcterms:created xsi:type="dcterms:W3CDTF">2025-01-31T15:03:24Z</dcterms:created>
  <dcterms:modified xsi:type="dcterms:W3CDTF">2026-05-27T15:12:52Z</dcterms:modified>
</cp:coreProperties>
</file>