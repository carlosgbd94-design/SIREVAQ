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 firstSheet="2" activeTab="7"/>
  </bookViews>
  <sheets>
    <sheet sheetId="5" name="PALOTEO" state="visible" r:id="rId4"/>
    <sheet sheetId="9" name="SEGUIMIENTO DE BIOLOGICO" state="visible" r:id="rId5"/>
  </sheets>
  <definedNames>
    <definedName name="_xlnm.Print_Area" localSheetId="0">'PALOTEO'!$A1:$AU396</definedName>
    <definedName name="_xlnm.Print_Area" localSheetId="1">'SEGUIMIENTO DE BIOLOGICO'!$A1:$AP97</definedName>
  </definedNames>
  <calcPr calcId="171027"/>
</workbook>
</file>

<file path=xl/sharedStrings.xml><?xml version="1.0" encoding="utf-8"?>
<sst xmlns="http://schemas.openxmlformats.org/spreadsheetml/2006/main" count="1284" uniqueCount="658">
  <si>
    <t>UMME UMQ</t>
  </si>
  <si>
    <t>JURICA</t>
  </si>
  <si>
    <t>MENCHACA</t>
  </si>
  <si>
    <t>SAN ANTONIO DE LA PUNTA</t>
  </si>
  <si>
    <t>SAN PABLO</t>
  </si>
  <si>
    <t>FELIPE CARRILLO PUERTO</t>
  </si>
  <si>
    <t>LOMA BONITA</t>
  </si>
  <si>
    <t>PEDRO ESCOBEDO</t>
  </si>
  <si>
    <t>JOFRITO</t>
  </si>
  <si>
    <t>MONTENEGRO</t>
  </si>
  <si>
    <t>PIE DE GALLO</t>
  </si>
  <si>
    <t>SAN JOSÉ BUENAVISTA</t>
  </si>
  <si>
    <t>SAN MIGUELITO</t>
  </si>
  <si>
    <t>SANTA MARÍA MAGTDALENA</t>
  </si>
  <si>
    <t>LA SOLANA</t>
  </si>
  <si>
    <t>TINAJA DE LA ESTANCIA</t>
  </si>
  <si>
    <t>LÁZARO CÁRDENAS</t>
  </si>
  <si>
    <t>SAN PEDRITO PEÑUELAS</t>
  </si>
  <si>
    <t>MENCHACA NORTE</t>
  </si>
  <si>
    <t>UMME LA BARRETA</t>
  </si>
  <si>
    <t>UMME CERRO DE LA CRUZ</t>
  </si>
  <si>
    <t>UMME LA LUZ</t>
  </si>
  <si>
    <t>UMME SAN PEDRITO</t>
  </si>
  <si>
    <t>UMME RANCHO LARGO</t>
  </si>
  <si>
    <t>LA GOTERA</t>
  </si>
  <si>
    <t>SAN JOSÉ EL ALTO</t>
  </si>
  <si>
    <t>FAM SAN JOSÉ BUENAVISTA</t>
  </si>
  <si>
    <t>FAM PEDRO ESCOBEDO</t>
  </si>
  <si>
    <t>FAM PALO ALTO</t>
  </si>
  <si>
    <t>UMME MF1</t>
  </si>
  <si>
    <t>UMME AMB1</t>
  </si>
  <si>
    <t>UMME AMB2</t>
  </si>
  <si>
    <t>UMME UMD</t>
  </si>
  <si>
    <t>SANTA ROSA</t>
  </si>
  <si>
    <t>SATÉLITE</t>
  </si>
  <si>
    <t>SAN PEDRO MARTIR</t>
  </si>
  <si>
    <t xml:space="preserve">LOMAS DE CASABLANCA  </t>
  </si>
  <si>
    <t>TLACOTE EL BAJO</t>
  </si>
  <si>
    <t>Total Municipal</t>
  </si>
  <si>
    <t>Aplicación de biológicos</t>
  </si>
  <si>
    <t>Biológico</t>
  </si>
  <si>
    <t>Clave</t>
  </si>
  <si>
    <t>Variable</t>
  </si>
  <si>
    <t>QTSSA001764</t>
  </si>
  <si>
    <t>QTSSA001793</t>
  </si>
  <si>
    <t>QTSSA001810</t>
  </si>
  <si>
    <t>QTSSA001822</t>
  </si>
  <si>
    <t>QTSSA001834</t>
  </si>
  <si>
    <t>QTSSA001846</t>
  </si>
  <si>
    <t>QTSSA001851</t>
  </si>
  <si>
    <t>QTSSA001863</t>
  </si>
  <si>
    <t>QTSSA001904</t>
  </si>
  <si>
    <t>QTSSA001916</t>
  </si>
  <si>
    <t>QTSSA001921</t>
  </si>
  <si>
    <t>QTSSA001945</t>
  </si>
  <si>
    <t>QTSSA001962</t>
  </si>
  <si>
    <t>QTSSA001974</t>
  </si>
  <si>
    <t>QTSSA002003</t>
  </si>
  <si>
    <t>QTSSA002015</t>
  </si>
  <si>
    <t>QTSSA002522</t>
  </si>
  <si>
    <t>QTSSA002534</t>
  </si>
  <si>
    <t>QTSSA002703</t>
  </si>
  <si>
    <t>QTSSA003544</t>
  </si>
  <si>
    <t>QTSSA003553</t>
  </si>
  <si>
    <t>QTSSA003562</t>
  </si>
  <si>
    <t>QTSSA003595</t>
  </si>
  <si>
    <t>QTSSA003604</t>
  </si>
  <si>
    <t>QTSSA003715</t>
  </si>
  <si>
    <t>QTSSA012240</t>
  </si>
  <si>
    <t>QTSSA012276</t>
  </si>
  <si>
    <t>QTSSA012281</t>
  </si>
  <si>
    <t>QTSSA012544</t>
  </si>
  <si>
    <t>QTSSA012556</t>
  </si>
  <si>
    <t>QTSSA012561</t>
  </si>
  <si>
    <t>QTSSA012585</t>
  </si>
  <si>
    <t>QTSSA012631</t>
  </si>
  <si>
    <t>QTSSA012655</t>
  </si>
  <si>
    <t>QTSSA012923</t>
  </si>
  <si>
    <t>QTSSA012976</t>
  </si>
  <si>
    <t>QTSSA012982</t>
  </si>
  <si>
    <t>QTSSA013034</t>
  </si>
  <si>
    <t>BCG</t>
  </si>
  <si>
    <t>VBC01</t>
  </si>
  <si>
    <t>TOTAL</t>
  </si>
  <si>
    <t>Recién nacido (primeras 24 horas)</t>
  </si>
  <si>
    <t>VBC02</t>
  </si>
  <si>
    <t>Recién nacido (de 2 a 28 días)</t>
  </si>
  <si>
    <t>BIO50</t>
  </si>
  <si>
    <t>29 días a 11 meses</t>
  </si>
  <si>
    <t>BIO03</t>
  </si>
  <si>
    <t>1 a 4 años</t>
  </si>
  <si>
    <t>VBC03</t>
  </si>
  <si>
    <t>5 a 13 años</t>
  </si>
  <si>
    <t>VBC51</t>
  </si>
  <si>
    <t>MIGRANTES</t>
  </si>
  <si>
    <t>VBC52</t>
  </si>
  <si>
    <t>VBC53</t>
  </si>
  <si>
    <t>VBC54</t>
  </si>
  <si>
    <t>VBC55</t>
  </si>
  <si>
    <t>VBF51</t>
  </si>
  <si>
    <t>AFROMEXICANOS</t>
  </si>
  <si>
    <t>VBF52</t>
  </si>
  <si>
    <t>VBF53</t>
  </si>
  <si>
    <t>VBF54</t>
  </si>
  <si>
    <t>VBF55</t>
  </si>
  <si>
    <t>VBI51</t>
  </si>
  <si>
    <t>INDÍGENAS</t>
  </si>
  <si>
    <t>VBI52</t>
  </si>
  <si>
    <t>VBI53</t>
  </si>
  <si>
    <t>VBI54</t>
  </si>
  <si>
    <t>VBI55</t>
  </si>
  <si>
    <t>TOTAL BCG</t>
  </si>
  <si>
    <t>Hepatitis B</t>
  </si>
  <si>
    <t>VAC06</t>
  </si>
  <si>
    <t>Única recién nacido (0 a 7 días)</t>
  </si>
  <si>
    <t>VHB01</t>
  </si>
  <si>
    <t>Mayores de 11 años (sin antecedente vacunal)</t>
  </si>
  <si>
    <t>Primera</t>
  </si>
  <si>
    <t>VHB02</t>
  </si>
  <si>
    <t>Segunda</t>
  </si>
  <si>
    <t>VHB03</t>
  </si>
  <si>
    <t>Población en riesgo</t>
  </si>
  <si>
    <t>VHB04</t>
  </si>
  <si>
    <t>VHB05</t>
  </si>
  <si>
    <t>Personal de salud</t>
  </si>
  <si>
    <t>VHB06</t>
  </si>
  <si>
    <t>VHB51</t>
  </si>
  <si>
    <t>VHB52</t>
  </si>
  <si>
    <t>VHB53</t>
  </si>
  <si>
    <t>VHB54</t>
  </si>
  <si>
    <t>VHB55</t>
  </si>
  <si>
    <t>VHB56</t>
  </si>
  <si>
    <t>VHB57</t>
  </si>
  <si>
    <t>VHF51</t>
  </si>
  <si>
    <t>VHF52</t>
  </si>
  <si>
    <t>VHF53</t>
  </si>
  <si>
    <t>VHF54</t>
  </si>
  <si>
    <t>VHF55</t>
  </si>
  <si>
    <t>VHF56</t>
  </si>
  <si>
    <t>VHF57</t>
  </si>
  <si>
    <t>VHI51</t>
  </si>
  <si>
    <t>VHI52</t>
  </si>
  <si>
    <t>VHI53</t>
  </si>
  <si>
    <t>VHI54</t>
  </si>
  <si>
    <t>VHI55</t>
  </si>
  <si>
    <t>VHI56</t>
  </si>
  <si>
    <t>VHI57</t>
  </si>
  <si>
    <t>TOTAL HEPATITIS</t>
  </si>
  <si>
    <t xml:space="preserve">Hexavalente acelular
DPaT + IPV + Hib + HB</t>
  </si>
  <si>
    <t>VAC67</t>
  </si>
  <si>
    <t>Primera 2 a 11 meses</t>
  </si>
  <si>
    <t>VAC68</t>
  </si>
  <si>
    <t>Segunda 4 a 11 meses</t>
  </si>
  <si>
    <t>VAC69</t>
  </si>
  <si>
    <t>Tercera 6 a 11 meses</t>
  </si>
  <si>
    <t>VAC70</t>
  </si>
  <si>
    <t>Refuerzo 18 a 23 meses</t>
  </si>
  <si>
    <t>VHX01</t>
  </si>
  <si>
    <t xml:space="preserve">Para iniciar o completar esquema 
1 a 4 años</t>
  </si>
  <si>
    <t>VHX02</t>
  </si>
  <si>
    <t>VHX03</t>
  </si>
  <si>
    <t>Tercera</t>
  </si>
  <si>
    <t>VHX04</t>
  </si>
  <si>
    <t>Refuerzo</t>
  </si>
  <si>
    <t>VHX51</t>
  </si>
  <si>
    <t>VHX52</t>
  </si>
  <si>
    <t>VHX53</t>
  </si>
  <si>
    <t>VHX54</t>
  </si>
  <si>
    <t>VHX55</t>
  </si>
  <si>
    <t>VHX56</t>
  </si>
  <si>
    <t>VHX57</t>
  </si>
  <si>
    <t>VHX58</t>
  </si>
  <si>
    <t>VXF51</t>
  </si>
  <si>
    <t>VXF52</t>
  </si>
  <si>
    <t>VXF53</t>
  </si>
  <si>
    <t>VXF54</t>
  </si>
  <si>
    <t>VXF55</t>
  </si>
  <si>
    <t>VXF56</t>
  </si>
  <si>
    <t>VXF57</t>
  </si>
  <si>
    <t>VXF58</t>
  </si>
  <si>
    <t>VXI51</t>
  </si>
  <si>
    <t>VXI52</t>
  </si>
  <si>
    <t>VXI53</t>
  </si>
  <si>
    <t>VXI54</t>
  </si>
  <si>
    <t>VXI55</t>
  </si>
  <si>
    <t>VXI56</t>
  </si>
  <si>
    <t>VXI57</t>
  </si>
  <si>
    <t>VXI58</t>
  </si>
  <si>
    <t>TOTAL HEXAVALENTE</t>
  </si>
  <si>
    <t>DPT</t>
  </si>
  <si>
    <t>VAC12</t>
  </si>
  <si>
    <t xml:space="preserve">Única 4 años </t>
  </si>
  <si>
    <t>VAC13</t>
  </si>
  <si>
    <t>Para iniciar o completar esquema 5 a 6 años única</t>
  </si>
  <si>
    <t>VPD51</t>
  </si>
  <si>
    <t>VPD52</t>
  </si>
  <si>
    <t>VPD53</t>
  </si>
  <si>
    <t>VPD54</t>
  </si>
  <si>
    <t>VPD55</t>
  </si>
  <si>
    <t>VPD56</t>
  </si>
  <si>
    <t>TOTAL DPT</t>
  </si>
  <si>
    <t>Rotavirus     RV1</t>
  </si>
  <si>
    <t>VRV01</t>
  </si>
  <si>
    <t>Primera 2 meses</t>
  </si>
  <si>
    <t>VRV02</t>
  </si>
  <si>
    <t xml:space="preserve">Segunda 4 meses </t>
  </si>
  <si>
    <t>VRV03</t>
  </si>
  <si>
    <t>Para iniciar o completar esquema</t>
  </si>
  <si>
    <t>Primera 3 a 7 meses</t>
  </si>
  <si>
    <t>VRV04</t>
  </si>
  <si>
    <t>Segunda 5 a 7 meses</t>
  </si>
  <si>
    <t>VRV51</t>
  </si>
  <si>
    <t>VRV52</t>
  </si>
  <si>
    <t>VRV53</t>
  </si>
  <si>
    <t>VRV54</t>
  </si>
  <si>
    <t>VRF51</t>
  </si>
  <si>
    <t>VRF52</t>
  </si>
  <si>
    <t>VRF53</t>
  </si>
  <si>
    <t>VRF54</t>
  </si>
  <si>
    <t>VRI51</t>
  </si>
  <si>
    <t>VRI52</t>
  </si>
  <si>
    <t>VRI53</t>
  </si>
  <si>
    <t>VRI54</t>
  </si>
  <si>
    <t>TOTAL ROTAVIRUS</t>
  </si>
  <si>
    <t>Neumocócica Conjugada 13 valente</t>
  </si>
  <si>
    <t>VAC17</t>
  </si>
  <si>
    <t>VAC18</t>
  </si>
  <si>
    <t xml:space="preserve">Segunda 4 a 11 meses </t>
  </si>
  <si>
    <t>VAC19</t>
  </si>
  <si>
    <t>Tercera 12 a 23 meses</t>
  </si>
  <si>
    <t>VNC01</t>
  </si>
  <si>
    <t xml:space="preserve">Para iniciar o completar esquema
1 a 4 años</t>
  </si>
  <si>
    <t>VNC02</t>
  </si>
  <si>
    <t>VNC03</t>
  </si>
  <si>
    <t>VNC04</t>
  </si>
  <si>
    <t>Personas de 60 años y más</t>
  </si>
  <si>
    <t>Única</t>
  </si>
  <si>
    <t>VNC51</t>
  </si>
  <si>
    <t>VNC52</t>
  </si>
  <si>
    <t>VNC53</t>
  </si>
  <si>
    <t>VNC54</t>
  </si>
  <si>
    <t>VNC55</t>
  </si>
  <si>
    <t>VNC56</t>
  </si>
  <si>
    <t>VNC59</t>
  </si>
  <si>
    <t>VNF51</t>
  </si>
  <si>
    <t>VNF52</t>
  </si>
  <si>
    <t>VNF53</t>
  </si>
  <si>
    <t>VNF54</t>
  </si>
  <si>
    <t>VNF55</t>
  </si>
  <si>
    <t>VNF56</t>
  </si>
  <si>
    <t>VNF57</t>
  </si>
  <si>
    <t>VNI51</t>
  </si>
  <si>
    <t>VNI52</t>
  </si>
  <si>
    <t>VNI53</t>
  </si>
  <si>
    <t>VNI54</t>
  </si>
  <si>
    <t>VNI55</t>
  </si>
  <si>
    <t>VNI56</t>
  </si>
  <si>
    <t>VNI57</t>
  </si>
  <si>
    <t>TOTAL NEUMO 13</t>
  </si>
  <si>
    <t>Neumocócica Conjugada 20 valente</t>
  </si>
  <si>
    <t>VCC01</t>
  </si>
  <si>
    <t>VCC02</t>
  </si>
  <si>
    <t>VCC03</t>
  </si>
  <si>
    <t>VCC04</t>
  </si>
  <si>
    <t>VCC05</t>
  </si>
  <si>
    <t>VCC06</t>
  </si>
  <si>
    <t>VCC07</t>
  </si>
  <si>
    <t>VCC51</t>
  </si>
  <si>
    <t>VCC52</t>
  </si>
  <si>
    <t>VCC53</t>
  </si>
  <si>
    <t>VCC54</t>
  </si>
  <si>
    <t>VCC55</t>
  </si>
  <si>
    <t>VCC56</t>
  </si>
  <si>
    <t>VCC57</t>
  </si>
  <si>
    <t>VCF01</t>
  </si>
  <si>
    <t>VCF02</t>
  </si>
  <si>
    <t>VCF03</t>
  </si>
  <si>
    <t>VCF04</t>
  </si>
  <si>
    <t>VCF05</t>
  </si>
  <si>
    <t>VCF06</t>
  </si>
  <si>
    <t>VCF07</t>
  </si>
  <si>
    <t>VCI01</t>
  </si>
  <si>
    <t>VCI02</t>
  </si>
  <si>
    <t>VCI03</t>
  </si>
  <si>
    <t>VCI04</t>
  </si>
  <si>
    <t>VCI05</t>
  </si>
  <si>
    <t>VCI06</t>
  </si>
  <si>
    <t>VCI07</t>
  </si>
  <si>
    <t>TOTAL NEUMO 20</t>
  </si>
  <si>
    <t xml:space="preserve">S R P
Triple viral</t>
  </si>
  <si>
    <t>VAC23</t>
  </si>
  <si>
    <t>Primera 12 meses</t>
  </si>
  <si>
    <t>VTV01</t>
  </si>
  <si>
    <t>Segunda 18 meses</t>
  </si>
  <si>
    <t>VTV02</t>
  </si>
  <si>
    <t>Primera 17 meses a 9 años</t>
  </si>
  <si>
    <t>VTV03</t>
  </si>
  <si>
    <t>Segunda 2 a 9 años</t>
  </si>
  <si>
    <t>VTV51</t>
  </si>
  <si>
    <t>VTV52</t>
  </si>
  <si>
    <t>VTV54</t>
  </si>
  <si>
    <t>VTV55</t>
  </si>
  <si>
    <t>VLF01</t>
  </si>
  <si>
    <t>VLF02</t>
  </si>
  <si>
    <t>VLF03</t>
  </si>
  <si>
    <t>VLF04</t>
  </si>
  <si>
    <t>VLI01</t>
  </si>
  <si>
    <t>VLI02</t>
  </si>
  <si>
    <t>VLI03</t>
  </si>
  <si>
    <t>VLI04</t>
  </si>
  <si>
    <t>TOTAL SRP</t>
  </si>
  <si>
    <t xml:space="preserve">S R
Doble viral</t>
  </si>
  <si>
    <t>VAC82</t>
  </si>
  <si>
    <t>Adicional 6 a 11 meses</t>
  </si>
  <si>
    <t>VAC91</t>
  </si>
  <si>
    <t>Adicional 1 a 4 Años</t>
  </si>
  <si>
    <t>VDV01</t>
  </si>
  <si>
    <t>10 a 19 años</t>
  </si>
  <si>
    <t>VDV02</t>
  </si>
  <si>
    <t>20 a 39 años</t>
  </si>
  <si>
    <t>VDV03</t>
  </si>
  <si>
    <t>40 a 49 años</t>
  </si>
  <si>
    <t>VDV04</t>
  </si>
  <si>
    <t>VDV05</t>
  </si>
  <si>
    <t>Personal educativo</t>
  </si>
  <si>
    <t>VDV06</t>
  </si>
  <si>
    <t>Jornaleros agrícolas</t>
  </si>
  <si>
    <t>VDV51</t>
  </si>
  <si>
    <t>VDV52</t>
  </si>
  <si>
    <t>VDV54</t>
  </si>
  <si>
    <t>VDV55</t>
  </si>
  <si>
    <t>VDV56</t>
  </si>
  <si>
    <t>VDV57</t>
  </si>
  <si>
    <t>VDV58</t>
  </si>
  <si>
    <t>VDV59</t>
  </si>
  <si>
    <t>VDF01</t>
  </si>
  <si>
    <t>VDF02</t>
  </si>
  <si>
    <t>VDF03</t>
  </si>
  <si>
    <t>VDF04</t>
  </si>
  <si>
    <t>VDF05</t>
  </si>
  <si>
    <t>VDF06</t>
  </si>
  <si>
    <t>VDF07</t>
  </si>
  <si>
    <t>VDF08</t>
  </si>
  <si>
    <t>VDI01</t>
  </si>
  <si>
    <t>VDI02</t>
  </si>
  <si>
    <t>VDI03</t>
  </si>
  <si>
    <t>VDI04</t>
  </si>
  <si>
    <t>VDI05</t>
  </si>
  <si>
    <t>VDI06</t>
  </si>
  <si>
    <t>VDI07</t>
  </si>
  <si>
    <t>VDI08</t>
  </si>
  <si>
    <t>TOTAL SR</t>
  </si>
  <si>
    <t>VPH</t>
  </si>
  <si>
    <t>VPH05</t>
  </si>
  <si>
    <t>Personas de quinto año de primaria o de 11 años no escolarizadas</t>
  </si>
  <si>
    <t>VPH06</t>
  </si>
  <si>
    <t>Niñas y/o adolescentes de 12 a 16 años (rezagadas)</t>
  </si>
  <si>
    <t>VPH07</t>
  </si>
  <si>
    <t xml:space="preserve"> Niñas y/o adolescentes víctimas de violación sexual de 9 a 14 años</t>
  </si>
  <si>
    <t>VPH08</t>
  </si>
  <si>
    <t>Niñas y/o adolescentes víctimas de violación sexual de 15 a 19 años</t>
  </si>
  <si>
    <t>VPH12</t>
  </si>
  <si>
    <t>Personas de 11 a 49 años que viven con VIH</t>
  </si>
  <si>
    <t>VPH13</t>
  </si>
  <si>
    <t>VPH14</t>
  </si>
  <si>
    <t>VPH51</t>
  </si>
  <si>
    <t>VPH52</t>
  </si>
  <si>
    <t>VPH53</t>
  </si>
  <si>
    <t>VPH54</t>
  </si>
  <si>
    <t>VPH61</t>
  </si>
  <si>
    <t>VPH62</t>
  </si>
  <si>
    <t>VPH63</t>
  </si>
  <si>
    <t>VPF01</t>
  </si>
  <si>
    <t>VPF02</t>
  </si>
  <si>
    <t>VPF03</t>
  </si>
  <si>
    <t>VPF04</t>
  </si>
  <si>
    <t>VPF05</t>
  </si>
  <si>
    <t>VPF06</t>
  </si>
  <si>
    <t>VPF07</t>
  </si>
  <si>
    <t>VPI01</t>
  </si>
  <si>
    <t>VPI02</t>
  </si>
  <si>
    <t>VPI03</t>
  </si>
  <si>
    <t>VPI04</t>
  </si>
  <si>
    <t>VPI05</t>
  </si>
  <si>
    <t>VPI06</t>
  </si>
  <si>
    <t>VPI07</t>
  </si>
  <si>
    <t>TOTAL VPH</t>
  </si>
  <si>
    <t>VARICELA</t>
  </si>
  <si>
    <t>VAR02</t>
  </si>
  <si>
    <t>Única 1 año</t>
  </si>
  <si>
    <t>VAR03</t>
  </si>
  <si>
    <t>Rezagos de 2 a 4 años</t>
  </si>
  <si>
    <t>VAR54</t>
  </si>
  <si>
    <t>VAR55</t>
  </si>
  <si>
    <t>VAR61</t>
  </si>
  <si>
    <t>VAR62</t>
  </si>
  <si>
    <t>VAR71</t>
  </si>
  <si>
    <t>VAR72</t>
  </si>
  <si>
    <t>TOTAL VARICELA</t>
  </si>
  <si>
    <t>Hepatitis A</t>
  </si>
  <si>
    <t>VHA01</t>
  </si>
  <si>
    <t>Única 18 meses</t>
  </si>
  <si>
    <t>VHA02</t>
  </si>
  <si>
    <t>BIO88</t>
  </si>
  <si>
    <t>VHA53</t>
  </si>
  <si>
    <t>VHA54</t>
  </si>
  <si>
    <t>VHA52</t>
  </si>
  <si>
    <t>VAF01</t>
  </si>
  <si>
    <t>VAF02</t>
  </si>
  <si>
    <t>VAF03</t>
  </si>
  <si>
    <t>VAI01</t>
  </si>
  <si>
    <t>VAI02</t>
  </si>
  <si>
    <t>VAI03</t>
  </si>
  <si>
    <t>TOTAL Hepatitis A</t>
  </si>
  <si>
    <t>Td</t>
  </si>
  <si>
    <t>VAC39</t>
  </si>
  <si>
    <t>EMBARAZADAS</t>
  </si>
  <si>
    <t>PRIMERA</t>
  </si>
  <si>
    <t>VAC40</t>
  </si>
  <si>
    <t>20 y más años</t>
  </si>
  <si>
    <t>VAC47</t>
  </si>
  <si>
    <t>SEGUNDA</t>
  </si>
  <si>
    <t>VAC48</t>
  </si>
  <si>
    <t>VTD01</t>
  </si>
  <si>
    <t>TERCERA</t>
  </si>
  <si>
    <t>VTD02</t>
  </si>
  <si>
    <t>VAC55</t>
  </si>
  <si>
    <t>REFUERZO</t>
  </si>
  <si>
    <t>VAC56</t>
  </si>
  <si>
    <t>VTT01</t>
  </si>
  <si>
    <t>POBLACIÓN</t>
  </si>
  <si>
    <t>15 a 19 años</t>
  </si>
  <si>
    <t>VTT02</t>
  </si>
  <si>
    <t>20 a 59 años</t>
  </si>
  <si>
    <t>VTT03</t>
  </si>
  <si>
    <t>60 y más años</t>
  </si>
  <si>
    <t>VTT04</t>
  </si>
  <si>
    <t xml:space="preserve">SEGUNDA
(1 a 2 meses después de la 1er dosis)</t>
  </si>
  <si>
    <t>VTT05</t>
  </si>
  <si>
    <t>VTT06</t>
  </si>
  <si>
    <t>VTT07</t>
  </si>
  <si>
    <t xml:space="preserve">TERCERA
(1 año después de la 2da dosis)</t>
  </si>
  <si>
    <t>VTT08</t>
  </si>
  <si>
    <t>VTT09</t>
  </si>
  <si>
    <t>VTT10</t>
  </si>
  <si>
    <t xml:space="preserve">Refuerzo
(Cada 10 años, hasta completar 5 dosis)</t>
  </si>
  <si>
    <t>VTT11</t>
  </si>
  <si>
    <t>VTT12</t>
  </si>
  <si>
    <t>VTD51</t>
  </si>
  <si>
    <t>VTD52</t>
  </si>
  <si>
    <t>VTD53</t>
  </si>
  <si>
    <t>VTD54</t>
  </si>
  <si>
    <t>VTD55</t>
  </si>
  <si>
    <t>VTD56</t>
  </si>
  <si>
    <t>VTD57</t>
  </si>
  <si>
    <t>VTD58</t>
  </si>
  <si>
    <t>VTM01</t>
  </si>
  <si>
    <t>VTM02</t>
  </si>
  <si>
    <t>VTM03</t>
  </si>
  <si>
    <t>VTM04</t>
  </si>
  <si>
    <t>VTM05</t>
  </si>
  <si>
    <t>VTM06</t>
  </si>
  <si>
    <t>VTM07</t>
  </si>
  <si>
    <t>VTM08</t>
  </si>
  <si>
    <t>VTM09</t>
  </si>
  <si>
    <t>VTM10</t>
  </si>
  <si>
    <t>VTM11</t>
  </si>
  <si>
    <t>VTM12</t>
  </si>
  <si>
    <t>VTF01</t>
  </si>
  <si>
    <t>VTF02</t>
  </si>
  <si>
    <t>VTF03</t>
  </si>
  <si>
    <t>VTF04</t>
  </si>
  <si>
    <t>VTF05</t>
  </si>
  <si>
    <t>VTF06</t>
  </si>
  <si>
    <t>VTF07</t>
  </si>
  <si>
    <t>VTF08</t>
  </si>
  <si>
    <t>VTF09</t>
  </si>
  <si>
    <t>VTF10</t>
  </si>
  <si>
    <t>VTF11</t>
  </si>
  <si>
    <t>VTF12</t>
  </si>
  <si>
    <t>VTF13</t>
  </si>
  <si>
    <t>VTF14</t>
  </si>
  <si>
    <t>VTF15</t>
  </si>
  <si>
    <t>VTF16</t>
  </si>
  <si>
    <t>VTF17</t>
  </si>
  <si>
    <t>VTF18</t>
  </si>
  <si>
    <t>VTF19</t>
  </si>
  <si>
    <t>VTF20</t>
  </si>
  <si>
    <t>VTI01</t>
  </si>
  <si>
    <t>VTI02</t>
  </si>
  <si>
    <t>VTI03</t>
  </si>
  <si>
    <t>VTI04</t>
  </si>
  <si>
    <t>VTI05</t>
  </si>
  <si>
    <t>VTI06</t>
  </si>
  <si>
    <t>VTI07</t>
  </si>
  <si>
    <t>VTI08</t>
  </si>
  <si>
    <t>VTI09</t>
  </si>
  <si>
    <t>VTI10</t>
  </si>
  <si>
    <t>VTI11</t>
  </si>
  <si>
    <t>VTI12</t>
  </si>
  <si>
    <t>VTI13</t>
  </si>
  <si>
    <t>VTI14</t>
  </si>
  <si>
    <t>VTI15</t>
  </si>
  <si>
    <t>VTI16</t>
  </si>
  <si>
    <t>VTI17</t>
  </si>
  <si>
    <t>VTI18</t>
  </si>
  <si>
    <t>VTI19</t>
  </si>
  <si>
    <t>VTI20</t>
  </si>
  <si>
    <t>TOTAL TD</t>
  </si>
  <si>
    <t>TDPa Embarazadas</t>
  </si>
  <si>
    <t>VAC63</t>
  </si>
  <si>
    <t>A partir de la semana 20 de gestaciòn</t>
  </si>
  <si>
    <t>VDP01</t>
  </si>
  <si>
    <t>Personal en riesgo</t>
  </si>
  <si>
    <t>VDP51</t>
  </si>
  <si>
    <t>VDP56</t>
  </si>
  <si>
    <t>VDP52</t>
  </si>
  <si>
    <t>VDP53</t>
  </si>
  <si>
    <t>VDP54</t>
  </si>
  <si>
    <t>VDP55</t>
  </si>
  <si>
    <t>TOTAL TDPA</t>
  </si>
  <si>
    <t>VSR</t>
  </si>
  <si>
    <t>VS001</t>
  </si>
  <si>
    <t>Embarazadas entre las semanas 28 y 36 de gestación</t>
  </si>
  <si>
    <t>VSM01</t>
  </si>
  <si>
    <t>VSF01</t>
  </si>
  <si>
    <t>VSI01</t>
  </si>
  <si>
    <t>TOTAL VSR</t>
  </si>
  <si>
    <t>344 COVID-19</t>
  </si>
  <si>
    <t>COVID-19</t>
  </si>
  <si>
    <t>VCV38</t>
  </si>
  <si>
    <t>6 A 59 MESES</t>
  </si>
  <si>
    <t>VCV39</t>
  </si>
  <si>
    <t>VCV40</t>
  </si>
  <si>
    <t>VCV28</t>
  </si>
  <si>
    <t>5 a 59 años con factores de riesgo</t>
  </si>
  <si>
    <t>VCV16</t>
  </si>
  <si>
    <t>60 años y más</t>
  </si>
  <si>
    <t>VCV20</t>
  </si>
  <si>
    <t>Embarazadas</t>
  </si>
  <si>
    <t>VCV21</t>
  </si>
  <si>
    <t>VCV78</t>
  </si>
  <si>
    <t>VCV79</t>
  </si>
  <si>
    <t>VCV80</t>
  </si>
  <si>
    <t>VCV77</t>
  </si>
  <si>
    <t>VCV66</t>
  </si>
  <si>
    <t>VCV70</t>
  </si>
  <si>
    <t>VCV82</t>
  </si>
  <si>
    <t>VOF01</t>
  </si>
  <si>
    <t>VOF02</t>
  </si>
  <si>
    <t>VOF03</t>
  </si>
  <si>
    <t>VOF04</t>
  </si>
  <si>
    <t>VOF05</t>
  </si>
  <si>
    <t>VOF06</t>
  </si>
  <si>
    <t>VOF07</t>
  </si>
  <si>
    <t>VOI01</t>
  </si>
  <si>
    <t>VOI02</t>
  </si>
  <si>
    <t>VOI03</t>
  </si>
  <si>
    <t>VOI04</t>
  </si>
  <si>
    <t>VOI05</t>
  </si>
  <si>
    <t>VOI06</t>
  </si>
  <si>
    <t>VOI07</t>
  </si>
  <si>
    <t>TOTAL COVID-19</t>
  </si>
  <si>
    <t>225 Aplicación de Antiinfluenza Estacional</t>
  </si>
  <si>
    <t>Primera dosis</t>
  </si>
  <si>
    <t>BIE01</t>
  </si>
  <si>
    <t>6 a 11 meses</t>
  </si>
  <si>
    <t>BIE28</t>
  </si>
  <si>
    <t>12 a 23 meses</t>
  </si>
  <si>
    <t>BIE29</t>
  </si>
  <si>
    <t>24 a 35 meses</t>
  </si>
  <si>
    <t>BIE30</t>
  </si>
  <si>
    <t>36 a 47 meses</t>
  </si>
  <si>
    <t>BIE31</t>
  </si>
  <si>
    <t>48 a 59 meses</t>
  </si>
  <si>
    <t>Segunda dosis</t>
  </si>
  <si>
    <t>BIE04</t>
  </si>
  <si>
    <t>7 a 11 meses</t>
  </si>
  <si>
    <t>BIE32</t>
  </si>
  <si>
    <t>BIE33</t>
  </si>
  <si>
    <t>BIE34</t>
  </si>
  <si>
    <t>BIE35</t>
  </si>
  <si>
    <t>Revacunación</t>
  </si>
  <si>
    <t>BIE36</t>
  </si>
  <si>
    <t>18 a 23 meses</t>
  </si>
  <si>
    <t>BIE37</t>
  </si>
  <si>
    <t>BIE38</t>
  </si>
  <si>
    <t>BIE39</t>
  </si>
  <si>
    <t>BIE40</t>
  </si>
  <si>
    <t>60  años y más</t>
  </si>
  <si>
    <t>Grupos Riesgo</t>
  </si>
  <si>
    <t>BIO96</t>
  </si>
  <si>
    <t>BIO97</t>
  </si>
  <si>
    <t>Personal de salud UM</t>
  </si>
  <si>
    <t>Personas que viven con VIH/sida</t>
  </si>
  <si>
    <t>BIE09</t>
  </si>
  <si>
    <t>5 a 9 años</t>
  </si>
  <si>
    <t>BIE10</t>
  </si>
  <si>
    <t>BIE41</t>
  </si>
  <si>
    <t>Personas que viven con Diabetes Mellitus</t>
  </si>
  <si>
    <t>BIE12</t>
  </si>
  <si>
    <t>BIE13</t>
  </si>
  <si>
    <t>BIE42</t>
  </si>
  <si>
    <t>Personas que viven con obesidad mórbida</t>
  </si>
  <si>
    <t>BIE15</t>
  </si>
  <si>
    <t>BIE16</t>
  </si>
  <si>
    <t>BIE43</t>
  </si>
  <si>
    <t>Personas que viven con cardiopatías agudas o crónicas excepto hipertensión arterial esencial</t>
  </si>
  <si>
    <t>BIE18</t>
  </si>
  <si>
    <t>BIE19</t>
  </si>
  <si>
    <t>BIE44</t>
  </si>
  <si>
    <t>Personas que viven con enfermedad pulmonar crónica, incluye EPOC y asma</t>
  </si>
  <si>
    <t>BIE48</t>
  </si>
  <si>
    <t>BIE49</t>
  </si>
  <si>
    <t>BIE50</t>
  </si>
  <si>
    <t>Personas que viven con cáncer</t>
  </si>
  <si>
    <t>BIE24</t>
  </si>
  <si>
    <t>BIE25</t>
  </si>
  <si>
    <t>BIE46</t>
  </si>
  <si>
    <t>Personas que viven con enfermedades  cardiacas o pulmonares congénitas, u otros padecimientos crónicos que requieran consumo prolongado de salicilatos*</t>
  </si>
  <si>
    <t>BIE51</t>
  </si>
  <si>
    <t>BIE52</t>
  </si>
  <si>
    <t>Personas que viven con insuficiencia renal</t>
  </si>
  <si>
    <t>BIE53</t>
  </si>
  <si>
    <t>BIE54</t>
  </si>
  <si>
    <t>BIE55</t>
  </si>
  <si>
    <t>Personas que viven con inmunosupresión adquirida por enfermedad o tratamiento, excepto VIH/sida</t>
  </si>
  <si>
    <t>BIE56</t>
  </si>
  <si>
    <t>BIE57</t>
  </si>
  <si>
    <t>BIE58</t>
  </si>
  <si>
    <t>Otros grupos de riesgo</t>
  </si>
  <si>
    <t>BIE59</t>
  </si>
  <si>
    <t>BIE60</t>
  </si>
  <si>
    <t>BIE61</t>
  </si>
  <si>
    <t>Total de aplicaciones</t>
  </si>
  <si>
    <t>MUNICIPIO QUERÉTARO</t>
  </si>
  <si>
    <t>BIOLÓGICO</t>
  </si>
  <si>
    <t>Total</t>
  </si>
  <si>
    <t>VALIDACIÓN</t>
  </si>
  <si>
    <t>EXISTENCIA ANTERIOR (FRASCOS)</t>
  </si>
  <si>
    <t xml:space="preserve">HEPATITIS 10 </t>
  </si>
  <si>
    <t>HEXAVALENTE</t>
  </si>
  <si>
    <t>ROTAVIRUS</t>
  </si>
  <si>
    <t>NEUMOCOCICA 13</t>
  </si>
  <si>
    <t>NEUMOCOCICA 20</t>
  </si>
  <si>
    <t>SRP (UNIDOSIS)</t>
  </si>
  <si>
    <t>INFLUENZA 10</t>
  </si>
  <si>
    <t>SR (MULTIDOSIS)</t>
  </si>
  <si>
    <t>VPH BIVALENTE</t>
  </si>
  <si>
    <t>TD</t>
  </si>
  <si>
    <t>TDPA</t>
  </si>
  <si>
    <t>COVID-19 MODERNA</t>
  </si>
  <si>
    <t>COVID-19 PFIZER</t>
  </si>
  <si>
    <t>HEPATITIS A</t>
  </si>
  <si>
    <t>RECIBIDO (FRASCOS)</t>
  </si>
  <si>
    <t>APLICADO (DOSIS)</t>
  </si>
  <si>
    <t>DESPERDICIO (DOSIS)</t>
  </si>
  <si>
    <t>EXISTENCIA AL CORTE (FRASCOS)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</si>
</sst>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"/>
  </numFmts>
  <fonts count="29" x14ac:knownFonts="1">
    <font>
      <color theme="1"/>
      <family val="2"/>
      <scheme val="minor"/>
      <sz val="11"/>
      <name val="Calibri"/>
    </font>
    <font>
      <b/>
      <color theme="0"/>
      <family val="2"/>
      <sz val="28"/>
      <name val="Arial Nova"/>
    </font>
    <font>
      <color theme="0"/>
      <family val="2"/>
      <scheme val="minor"/>
      <sz val="11"/>
      <name val="Calibri"/>
    </font>
    <font>
      <b/>
      <color theme="0"/>
      <family val="2"/>
      <sz val="24"/>
      <name val="Arial Nova"/>
    </font>
    <font>
      <b/>
      <color rgb="FFE3D7BF"/>
      <family val="2"/>
      <sz val="24"/>
      <name val="Arial Nova"/>
    </font>
    <font>
      <family val="2"/>
      <sz val="10"/>
      <name val="Arial Nova"/>
    </font>
    <font>
      <color theme="1"/>
      <family val="2"/>
      <sz val="11"/>
      <name val="Arial Nova"/>
    </font>
    <font>
      <b/>
      <color rgb="FFF1F3F5"/>
      <family val="2"/>
      <sz val="36"/>
      <name val="Arial Nova"/>
    </font>
    <font>
      <color rgb="FFF1F3F5"/>
      <family val="2"/>
      <scheme val="minor"/>
      <sz val="36"/>
      <name val="Calibri"/>
    </font>
    <font>
      <b/>
      <color rgb="FFF1F3F5"/>
      <family val="2"/>
      <sz val="12"/>
      <name val="Arial Nova"/>
    </font>
    <font>
      <b/>
      <color theme="0"/>
      <family val="2"/>
      <sz val="11"/>
      <name val="Arial Nova"/>
    </font>
    <font>
      <b/>
      <color rgb="FF1F2937"/>
      <family val="2"/>
      <sz val="12"/>
      <name val="Arial Nova"/>
    </font>
    <font>
      <color rgb="FF1F2937"/>
      <family val="2"/>
      <scheme val="minor"/>
      <sz val="11"/>
      <name val="Calibri"/>
    </font>
    <font>
      <b/>
      <color rgb="FF1F2937"/>
      <family val="2"/>
      <sz val="10"/>
      <name val="Arial Nova"/>
    </font>
    <font>
      <color rgb="FF1F2937"/>
      <family val="2"/>
      <sz val="10"/>
      <name val="Arial Nova"/>
    </font>
    <font>
      <b/>
      <color theme="0"/>
      <family val="2"/>
      <sz val="12"/>
      <name val="Arial Nova"/>
    </font>
    <font>
      <b/>
      <color theme="1"/>
      <family val="2"/>
      <sz val="11"/>
      <name val="Arial Nova"/>
    </font>
    <font>
      <b/>
      <color rgb="FF1F2937"/>
      <family val="2"/>
      <sz val="11"/>
      <name val="Arial Nova"/>
    </font>
    <font>
      <b/>
      <color rgb="FFF7F9FB"/>
      <family val="2"/>
      <sz val="11"/>
      <name val="Arial Nova"/>
    </font>
    <font>
      <b/>
      <color rgb="FF10312B"/>
      <family val="2"/>
      <sz val="18"/>
      <name val="Arial"/>
    </font>
    <font>
      <b/>
      <color theme="0"/>
      <family val="2"/>
      <sz val="18"/>
      <name val="Arial Nova"/>
    </font>
    <font>
      <b/>
      <color rgb="FFE5E7EB"/>
      <family val="2"/>
      <sz val="16"/>
      <name val="Arial Nova"/>
    </font>
    <font>
      <b/>
      <color theme="0"/>
      <family val="2"/>
      <sz val="14"/>
      <name val="Arial Nova"/>
    </font>
    <font>
      <b/>
      <color rgb="FF2B2B2B"/>
      <family val="2"/>
      <sz val="11"/>
      <name val="Arial Nova"/>
    </font>
    <font>
      <b/>
      <color theme="0"/>
      <family val="2"/>
      <sz val="10"/>
      <name val="Arial Nova"/>
    </font>
    <font>
      <family val="2"/>
      <scheme val="minor"/>
      <sz val="11"/>
      <name val="Calibri"/>
    </font>
    <font>
      <b/>
      <color rgb="FF2B2B2B"/>
      <family val="2"/>
      <sz val="12"/>
      <name val="Arial Nova"/>
    </font>
    <font>
      <b/>
      <family val="2"/>
      <sz val="8"/>
      <name val="Arial"/>
    </font>
    <font>
      <b/>
      <family val="2"/>
      <sz val="10"/>
      <name val="Arial"/>
    </font>
  </fonts>
  <fills count="54">
    <fill>
      <patternFill patternType="none"/>
    </fill>
    <fill>
      <patternFill patternType="gray125"/>
    </fill>
    <fill>
      <patternFill patternType="solid">
        <fgColor rgb="FF2B2F3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F3A4A"/>
        <bgColor rgb="FF000000"/>
      </patternFill>
    </fill>
    <fill>
      <patternFill patternType="solid">
        <fgColor rgb="FF2F3A4A"/>
        <bgColor indexed="64"/>
      </patternFill>
    </fill>
    <fill>
      <patternFill patternType="solid">
        <fgColor rgb="FFE6EDF5"/>
        <bgColor indexed="64"/>
      </patternFill>
    </fill>
    <fill>
      <patternFill patternType="solid">
        <fgColor rgb="FFE6EDF5"/>
        <bgColor rgb="FF000000"/>
      </patternFill>
    </fill>
    <fill>
      <patternFill patternType="solid">
        <fgColor rgb="FFE9EEF3"/>
        <bgColor indexed="64"/>
      </patternFill>
    </fill>
    <fill>
      <patternFill patternType="solid">
        <fgColor rgb="FF2B2F3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5B708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1BDAD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49555F"/>
        <bgColor indexed="64"/>
      </patternFill>
    </fill>
    <fill>
      <patternFill patternType="solid">
        <fgColor rgb="FF5C6574"/>
        <bgColor indexed="64"/>
      </patternFill>
    </fill>
    <fill>
      <patternFill patternType="solid">
        <fgColor rgb="FF3A78C2"/>
        <bgColor indexed="64"/>
      </patternFill>
    </fill>
    <fill>
      <patternFill patternType="solid">
        <fgColor rgb="FFE7EEF6"/>
        <bgColor indexed="64"/>
      </patternFill>
    </fill>
    <fill>
      <patternFill patternType="solid">
        <fgColor rgb="FF2B3238"/>
        <bgColor indexed="64"/>
      </patternFill>
    </fill>
    <fill>
      <patternFill patternType="solid">
        <fgColor rgb="FF2E4C66"/>
        <bgColor indexed="64"/>
      </patternFill>
    </fill>
    <fill>
      <patternFill patternType="solid">
        <fgColor rgb="FFE4EEF6"/>
        <bgColor indexed="64"/>
      </patternFill>
    </fill>
    <fill>
      <patternFill patternType="solid">
        <fgColor rgb="FF95B800"/>
        <bgColor indexed="64"/>
      </patternFill>
    </fill>
    <fill>
      <patternFill patternType="solid">
        <fgColor rgb="FFF0F3E6"/>
        <bgColor indexed="64"/>
      </patternFill>
    </fill>
    <fill>
      <patternFill patternType="solid">
        <fgColor rgb="FFD6B800"/>
        <bgColor indexed="64"/>
      </patternFill>
    </fill>
    <fill>
      <patternFill patternType="solid">
        <fgColor rgb="FFF3F3E6"/>
        <bgColor indexed="64"/>
      </patternFill>
    </fill>
    <fill>
      <patternFill patternType="solid">
        <fgColor rgb="FF233F4B"/>
        <bgColor indexed="64"/>
      </patternFill>
    </fill>
    <fill>
      <patternFill patternType="solid">
        <fgColor rgb="FFEAEEEF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882643"/>
        <bgColor indexed="64"/>
      </patternFill>
    </fill>
    <fill>
      <patternFill patternType="solid">
        <fgColor rgb="FFF1E8EB"/>
        <bgColor indexed="64"/>
      </patternFill>
    </fill>
    <fill>
      <patternFill patternType="solid">
        <fgColor rgb="FFDC9883"/>
        <bgColor indexed="64"/>
      </patternFill>
    </fill>
    <fill>
      <patternFill patternType="solid">
        <fgColor rgb="FFF1EAE8"/>
        <bgColor indexed="64"/>
      </patternFill>
    </fill>
    <fill>
      <patternFill patternType="solid">
        <fgColor rgb="FF5B2C7A"/>
        <bgColor indexed="64"/>
      </patternFill>
    </fill>
    <fill>
      <patternFill patternType="solid">
        <fgColor rgb="FFEDE9F0"/>
        <bgColor indexed="64"/>
      </patternFill>
    </fill>
    <fill>
      <patternFill patternType="solid">
        <fgColor rgb="FF4FA886"/>
        <bgColor indexed="64"/>
      </patternFill>
    </fill>
    <fill>
      <patternFill patternType="solid">
        <fgColor rgb="FFEAF0E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AF6114"/>
        <bgColor indexed="64"/>
      </patternFill>
    </fill>
    <fill>
      <patternFill patternType="solid">
        <fgColor rgb="FFF3EDE6"/>
        <bgColor indexed="64"/>
      </patternFill>
    </fill>
    <fill>
      <patternFill patternType="solid">
        <fgColor rgb="FF144A81"/>
        <bgColor indexed="64"/>
      </patternFill>
    </fill>
    <fill>
      <patternFill patternType="solid">
        <fgColor rgb="FFE7EDF2"/>
        <bgColor indexed="64"/>
      </patternFill>
    </fill>
    <fill>
      <patternFill patternType="solid">
        <fgColor rgb="FF4A545C"/>
        <bgColor indexed="64"/>
      </patternFill>
    </fill>
    <fill>
      <patternFill patternType="solid">
        <fgColor rgb="FFECEDED"/>
        <bgColor indexed="64"/>
      </patternFill>
    </fill>
    <fill>
      <patternFill patternType="solid">
        <fgColor rgb="FF58B4C1"/>
        <bgColor indexed="64"/>
      </patternFill>
    </fill>
    <fill>
      <patternFill patternType="solid">
        <fgColor rgb="FFE6F1F3"/>
        <bgColor indexed="64"/>
      </patternFill>
    </fill>
    <fill>
      <patternFill patternType="solid">
        <fgColor rgb="FFD7C9A3"/>
        <bgColor indexed="64"/>
      </patternFill>
    </fill>
    <fill>
      <patternFill patternType="solid">
        <fgColor rgb="FFF6F2E8"/>
        <bgColor indexed="64"/>
      </patternFill>
    </fill>
    <fill>
      <patternFill patternType="solid">
        <fgColor rgb="FF8C6B0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indexed="9"/>
        <bgColor indexed="64"/>
      </patternFill>
    </fill>
  </fills>
  <borders count="169">
    <border>
      <left/>
      <right/>
      <top/>
      <bottom/>
      <diagonal/>
    </border>
    <border>
      <left style="thick">
        <color rgb="FF1F2937"/>
      </left>
      <right/>
      <top style="thick">
        <color rgb="FF1F2937"/>
      </top>
      <bottom style="thick">
        <color rgb="FF1F2937"/>
      </bottom>
      <diagonal/>
    </border>
    <border>
      <left/>
      <right/>
      <top style="thick">
        <color rgb="FF1F2937"/>
      </top>
      <bottom style="thick">
        <color rgb="FF1F2937"/>
      </bottom>
      <diagonal/>
    </border>
    <border>
      <left/>
      <right style="thick">
        <color rgb="FF1F2937"/>
      </right>
      <top style="thick">
        <color rgb="FF1F2937"/>
      </top>
      <bottom style="thick">
        <color rgb="FF1F2937"/>
      </bottom>
      <diagonal/>
    </border>
    <border>
      <left style="thick">
        <color rgb="FF8495A4"/>
      </left>
      <right/>
      <top style="thick">
        <color rgb="FF8495A4"/>
      </top>
      <bottom style="thick">
        <color rgb="FF8495A4"/>
      </bottom>
      <diagonal/>
    </border>
    <border>
      <left/>
      <right/>
      <top style="thick">
        <color rgb="FF8495A4"/>
      </top>
      <bottom style="thick">
        <color rgb="FF8495A4"/>
      </bottom>
      <diagonal/>
    </border>
    <border>
      <left style="medium">
        <color rgb="FF8495A4"/>
      </left>
      <right style="thin">
        <color rgb="FF8495A4"/>
      </right>
      <top style="thick">
        <color rgb="FF8495A4"/>
      </top>
      <bottom style="thick">
        <color rgb="FF8495A4"/>
      </bottom>
      <diagonal/>
    </border>
    <border>
      <left style="thin">
        <color rgb="FF8495A4"/>
      </left>
      <right style="thin">
        <color rgb="FF8495A4"/>
      </right>
      <top style="thick">
        <color rgb="FF8495A4"/>
      </top>
      <bottom style="thick">
        <color rgb="FF8495A4"/>
      </bottom>
      <diagonal/>
    </border>
    <border>
      <left style="thin">
        <color rgb="FF8495A4"/>
      </left>
      <right style="medium">
        <color rgb="FF8495A4"/>
      </right>
      <top style="thick">
        <color rgb="FF8495A4"/>
      </top>
      <bottom style="thick">
        <color rgb="FF8495A4"/>
      </bottom>
      <diagonal/>
    </border>
    <border>
      <left/>
      <right style="thick">
        <color rgb="FF8495A4"/>
      </right>
      <top style="thick">
        <color rgb="FF8495A4"/>
      </top>
      <bottom/>
      <diagonal/>
    </border>
    <border>
      <left style="thick">
        <color rgb="FF8495A4"/>
      </left>
      <right style="thick">
        <color rgb="FF8495A4"/>
      </right>
      <top style="thick">
        <color rgb="FF8495A4"/>
      </top>
      <bottom/>
      <diagonal/>
    </border>
    <border>
      <left style="thick">
        <color rgb="FF8495A4"/>
      </left>
      <right style="medium">
        <color rgb="FFC5CED6"/>
      </right>
      <top style="thick">
        <color rgb="FF8495A4"/>
      </top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thick">
        <color rgb="FF8495A4"/>
      </top>
      <bottom style="thick">
        <color rgb="FF8495A4"/>
      </bottom>
      <diagonal/>
    </border>
    <border>
      <left/>
      <right style="thick">
        <color rgb="FF8495A4"/>
      </right>
      <top/>
      <bottom style="thick">
        <color rgb="FF8495A4"/>
      </bottom>
      <diagonal/>
    </border>
    <border>
      <left style="thick">
        <color rgb="FF8495A4"/>
      </left>
      <right style="thick">
        <color rgb="FF8495A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8495A4"/>
      </left>
      <right style="medium">
        <color rgb="FF8495A4"/>
      </right>
      <top/>
      <bottom style="thin">
        <color rgb="FF8495A4"/>
      </bottom>
      <diagonal/>
    </border>
    <border>
      <left style="medium">
        <color rgb="FF8495A4"/>
      </left>
      <right style="medium">
        <color indexed="64"/>
      </right>
      <top/>
      <bottom style="thin">
        <color rgb="FF8495A4"/>
      </bottom>
      <diagonal/>
    </border>
    <border>
      <left/>
      <right style="medium">
        <color rgb="FF8495A4"/>
      </right>
      <top/>
      <bottom style="thin">
        <color rgb="FF8495A4"/>
      </bottom>
      <diagonal/>
    </border>
    <border>
      <left style="medium">
        <color rgb="FF8495A4"/>
      </left>
      <right style="thin">
        <color indexed="64"/>
      </right>
      <top/>
      <bottom style="thin">
        <color rgb="FF8495A4"/>
      </bottom>
      <diagonal/>
    </border>
    <border>
      <left/>
      <right/>
      <top/>
      <bottom style="thin">
        <color rgb="FF8495A4"/>
      </bottom>
      <diagonal/>
    </border>
    <border>
      <left style="medium">
        <color rgb="FF8495A4"/>
      </left>
      <right style="medium">
        <color rgb="FFC5CED6"/>
      </right>
      <top style="thick">
        <color rgb="FF8495A4"/>
      </top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 style="thick">
        <color rgb="FF8495A4"/>
      </top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 style="thick">
        <color rgb="FF8495A4"/>
      </top>
      <bottom style="thin">
        <color rgb="FFC5CED6"/>
      </bottom>
      <diagonal/>
    </border>
    <border>
      <left/>
      <right style="thick">
        <color rgb="FF8495A4"/>
      </right>
      <top style="thick">
        <color rgb="FF8495A4"/>
      </top>
      <bottom style="thin">
        <color rgb="FFC5CED6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/>
      <top style="thin">
        <color rgb="FF8495A4"/>
      </top>
      <bottom style="thin">
        <color rgb="FF8495A4"/>
      </bottom>
      <diagonal/>
    </border>
    <border>
      <left/>
      <right style="medium">
        <color rgb="FF8495A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indexed="64"/>
      </right>
      <top style="thin">
        <color rgb="FF8495A4"/>
      </top>
      <bottom style="thin">
        <color rgb="FF8495A4"/>
      </bottom>
      <diagonal/>
    </border>
    <border>
      <left/>
      <right/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 style="thin">
        <color rgb="FFC5CED6"/>
      </bottom>
      <diagonal/>
    </border>
    <border>
      <left/>
      <right style="thick">
        <color rgb="FF8495A4"/>
      </right>
      <top style="thin">
        <color rgb="FFC5CED6"/>
      </top>
      <bottom style="thin">
        <color rgb="FFC5CED6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/>
      <top style="thin">
        <color rgb="FF8495A4"/>
      </top>
      <bottom style="medium">
        <color rgb="FF8495A4"/>
      </bottom>
      <diagonal/>
    </border>
    <border>
      <left/>
      <right style="medium">
        <color rgb="FF8495A4"/>
      </right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thin">
        <color indexed="64"/>
      </right>
      <top style="thin">
        <color rgb="FF8495A4"/>
      </top>
      <bottom style="medium">
        <color rgb="FF8495A4"/>
      </bottom>
      <diagonal/>
    </border>
    <border>
      <left/>
      <right/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 style="medium">
        <color rgb="FFC5CED6"/>
      </bottom>
      <diagonal/>
    </border>
    <border>
      <left/>
      <right style="thick">
        <color rgb="FF8495A4"/>
      </right>
      <top style="thin">
        <color rgb="FFC5CED6"/>
      </top>
      <bottom style="medium">
        <color rgb="FFC5CED6"/>
      </bottom>
      <diagonal/>
    </border>
    <border>
      <left style="medium">
        <color rgb="FF8495A4"/>
      </left>
      <right style="medium">
        <color rgb="FF8495A4"/>
      </right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indexed="64"/>
      </right>
      <top style="medium">
        <color rgb="FF8495A4"/>
      </top>
      <bottom style="thin">
        <color rgb="FF8495A4"/>
      </bottom>
      <diagonal/>
    </border>
    <border>
      <left/>
      <right style="medium">
        <color rgb="FF8495A4"/>
      </right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indexed="64"/>
      </right>
      <top style="medium">
        <color rgb="FF8495A4"/>
      </top>
      <bottom style="thin">
        <color rgb="FF8495A4"/>
      </bottom>
      <diagonal/>
    </border>
    <border>
      <left/>
      <right/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rgb="FFC5CED6"/>
      </right>
      <top style="medium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 style="medium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 style="medium">
        <color rgb="FFC5CED6"/>
      </top>
      <bottom style="thin">
        <color rgb="FFC5CED6"/>
      </bottom>
      <diagonal/>
    </border>
    <border>
      <left/>
      <right style="thick">
        <color rgb="FF8495A4"/>
      </right>
      <top style="medium">
        <color rgb="FFC5CED6"/>
      </top>
      <bottom style="thin">
        <color rgb="FFC5CED6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/>
      <diagonal/>
    </border>
    <border>
      <left style="medium">
        <color rgb="FF8495A4"/>
      </left>
      <right/>
      <top style="thin">
        <color rgb="FF8495A4"/>
      </top>
      <bottom/>
      <diagonal/>
    </border>
    <border>
      <left/>
      <right style="medium">
        <color rgb="FF8495A4"/>
      </right>
      <top style="thin">
        <color rgb="FF8495A4"/>
      </top>
      <bottom/>
      <diagonal/>
    </border>
    <border>
      <left style="medium">
        <color rgb="FF8495A4"/>
      </left>
      <right style="thin">
        <color indexed="64"/>
      </right>
      <top style="thin">
        <color rgb="FF8495A4"/>
      </top>
      <bottom/>
      <diagonal/>
    </border>
    <border>
      <left/>
      <right/>
      <top style="thin">
        <color rgb="FF8495A4"/>
      </top>
      <bottom/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 style="thick">
        <color rgb="FF8495A4"/>
      </bottom>
      <diagonal/>
    </border>
    <border>
      <left/>
      <right style="thick">
        <color rgb="FF8495A4"/>
      </right>
      <top style="thin">
        <color rgb="FFC5CED6"/>
      </top>
      <bottom style="thick">
        <color rgb="FF8495A4"/>
      </bottom>
      <diagonal/>
    </border>
    <border>
      <left/>
      <right style="thick">
        <color rgb="FF8495A4"/>
      </right>
      <top style="thick">
        <color rgb="FF8495A4"/>
      </top>
      <bottom style="thick">
        <color rgb="FF8495A4"/>
      </bottom>
      <diagonal/>
    </border>
    <border>
      <left style="medium">
        <color rgb="FF8495A4"/>
      </left>
      <right style="thin">
        <color rgb="FF8495A4"/>
      </right>
      <top/>
      <bottom style="thin">
        <color rgb="FF8495A4"/>
      </bottom>
      <diagonal/>
    </border>
    <border>
      <left style="thin">
        <color rgb="FF8495A4"/>
      </left>
      <right style="medium">
        <color rgb="FF8495A4"/>
      </right>
      <top/>
      <bottom style="thin">
        <color rgb="FF8495A4"/>
      </bottom>
      <diagonal/>
    </border>
    <border>
      <left style="thin">
        <color rgb="FF8495A4"/>
      </left>
      <right style="thin">
        <color rgb="FF8495A4"/>
      </right>
      <top/>
      <bottom style="thin">
        <color rgb="FF8495A4"/>
      </bottom>
      <diagonal/>
    </border>
    <border>
      <left style="thin">
        <color rgb="FF8495A4"/>
      </left>
      <right/>
      <top/>
      <bottom style="thin">
        <color rgb="FF8495A4"/>
      </bottom>
      <diagonal/>
    </border>
    <border>
      <left/>
      <right style="thick">
        <color rgb="FF8495A4"/>
      </right>
      <top/>
      <bottom style="thin">
        <color rgb="FFC5CED6"/>
      </bottom>
      <diagonal/>
    </border>
    <border>
      <left style="medium">
        <color rgb="FF8495A4"/>
      </left>
      <right style="thin">
        <color rgb="FF8495A4"/>
      </right>
      <top style="thin">
        <color rgb="FF8495A4"/>
      </top>
      <bottom style="thin">
        <color rgb="FF8495A4"/>
      </bottom>
      <diagonal/>
    </border>
    <border>
      <left style="thin">
        <color rgb="FF8495A4"/>
      </left>
      <right style="medium">
        <color rgb="FF8495A4"/>
      </right>
      <top style="thin">
        <color rgb="FF8495A4"/>
      </top>
      <bottom style="thin">
        <color rgb="FF8495A4"/>
      </bottom>
      <diagonal/>
    </border>
    <border>
      <left style="thin">
        <color rgb="FF8495A4"/>
      </left>
      <right style="thin">
        <color rgb="FF8495A4"/>
      </right>
      <top style="thin">
        <color rgb="FF8495A4"/>
      </top>
      <bottom style="thin">
        <color rgb="FF8495A4"/>
      </bottom>
      <diagonal/>
    </border>
    <border>
      <left style="thin">
        <color rgb="FF8495A4"/>
      </left>
      <right/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rgb="FF8495A4"/>
      </right>
      <top style="thin">
        <color rgb="FF8495A4"/>
      </top>
      <bottom style="medium">
        <color rgb="FF8495A4"/>
      </bottom>
      <diagonal/>
    </border>
    <border>
      <left style="thin">
        <color rgb="FF8495A4"/>
      </left>
      <right style="medium">
        <color rgb="FF8495A4"/>
      </right>
      <top style="thin">
        <color rgb="FF8495A4"/>
      </top>
      <bottom style="medium">
        <color rgb="FF8495A4"/>
      </bottom>
      <diagonal/>
    </border>
    <border>
      <left style="thin">
        <color rgb="FF8495A4"/>
      </left>
      <right style="thin">
        <color rgb="FF8495A4"/>
      </right>
      <top style="thin">
        <color rgb="FF8495A4"/>
      </top>
      <bottom style="medium">
        <color rgb="FF8495A4"/>
      </bottom>
      <diagonal/>
    </border>
    <border>
      <left style="thin">
        <color rgb="FF8495A4"/>
      </left>
      <right/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thin">
        <color rgb="FF8495A4"/>
      </right>
      <top style="medium">
        <color rgb="FF8495A4"/>
      </top>
      <bottom style="thin">
        <color rgb="FF8495A4"/>
      </bottom>
      <diagonal/>
    </border>
    <border>
      <left style="thin">
        <color rgb="FF8495A4"/>
      </left>
      <right style="medium">
        <color rgb="FF8495A4"/>
      </right>
      <top style="medium">
        <color rgb="FF8495A4"/>
      </top>
      <bottom style="thin">
        <color rgb="FF8495A4"/>
      </bottom>
      <diagonal/>
    </border>
    <border>
      <left style="thin">
        <color rgb="FF8495A4"/>
      </left>
      <right style="thin">
        <color rgb="FF8495A4"/>
      </right>
      <top style="medium">
        <color rgb="FF8495A4"/>
      </top>
      <bottom style="thin">
        <color rgb="FF8495A4"/>
      </bottom>
      <diagonal/>
    </border>
    <border>
      <left style="thin">
        <color rgb="FF8495A4"/>
      </left>
      <right/>
      <top style="medium">
        <color rgb="FF8495A4"/>
      </top>
      <bottom style="thin">
        <color rgb="FF8495A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 style="thick">
        <color rgb="FF8495A4"/>
      </bottom>
      <diagonal/>
    </border>
    <border>
      <left style="medium">
        <color rgb="FF8495A4"/>
      </left>
      <right/>
      <top style="medium">
        <color rgb="FF8495A4"/>
      </top>
      <bottom style="thin">
        <color rgb="FF8495A4"/>
      </bottom>
      <diagonal/>
    </border>
    <border>
      <left/>
      <right style="thin">
        <color rgb="FF8495A4"/>
      </right>
      <top style="medium">
        <color rgb="FF8495A4"/>
      </top>
      <bottom style="thin">
        <color rgb="FF8495A4"/>
      </bottom>
      <diagonal/>
    </border>
    <border>
      <left/>
      <right style="thin">
        <color rgb="FF8495A4"/>
      </right>
      <top style="thin">
        <color rgb="FF8495A4"/>
      </top>
      <bottom style="thin">
        <color rgb="FF8495A4"/>
      </bottom>
      <diagonal/>
    </border>
    <border>
      <left/>
      <right style="thin">
        <color rgb="FF8495A4"/>
      </right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/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/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/>
      <diagonal/>
    </border>
    <border>
      <left/>
      <right style="thick">
        <color rgb="FF8495A4"/>
      </right>
      <top style="thin">
        <color rgb="FFC5CED6"/>
      </top>
      <bottom/>
      <diagonal/>
    </border>
    <border>
      <left style="medium">
        <color rgb="FF8495A4"/>
      </left>
      <right style="medium">
        <color rgb="FFC5CED6"/>
      </right>
      <top style="medium">
        <color rgb="FFD8DEE4"/>
      </top>
      <bottom style="thin">
        <color rgb="FFD8DEE4"/>
      </bottom>
      <diagonal/>
    </border>
    <border>
      <left style="medium">
        <color rgb="FFC5CED6"/>
      </left>
      <right style="medium">
        <color rgb="FFC5CED6"/>
      </right>
      <top style="medium">
        <color rgb="FFD8DEE4"/>
      </top>
      <bottom style="thin">
        <color rgb="FFD8DEE4"/>
      </bottom>
      <diagonal/>
    </border>
    <border>
      <left style="medium">
        <color rgb="FFC5CED6"/>
      </left>
      <right style="medium">
        <color rgb="FF8495A4"/>
      </right>
      <top style="medium">
        <color rgb="FFD8DEE4"/>
      </top>
      <bottom style="thin">
        <color rgb="FFD8DEE4"/>
      </bottom>
      <diagonal/>
    </border>
    <border>
      <left/>
      <right style="thick">
        <color rgb="FF8495A4"/>
      </right>
      <top style="medium">
        <color rgb="FFD8DEE4"/>
      </top>
      <bottom style="thin">
        <color rgb="FFD8DEE4"/>
      </bottom>
      <diagonal/>
    </border>
    <border>
      <left style="medium">
        <color rgb="FF8495A4"/>
      </left>
      <right style="medium">
        <color rgb="FFC5CED6"/>
      </right>
      <top style="thin">
        <color rgb="FFD8DEE4"/>
      </top>
      <bottom style="medium">
        <color rgb="FFD8DEE4"/>
      </bottom>
      <diagonal/>
    </border>
    <border>
      <left style="medium">
        <color rgb="FFC5CED6"/>
      </left>
      <right style="medium">
        <color rgb="FFC5CED6"/>
      </right>
      <top style="thin">
        <color rgb="FFD8DEE4"/>
      </top>
      <bottom style="medium">
        <color rgb="FFD8DEE4"/>
      </bottom>
      <diagonal/>
    </border>
    <border>
      <left style="medium">
        <color rgb="FFC5CED6"/>
      </left>
      <right style="medium">
        <color rgb="FF8495A4"/>
      </right>
      <top style="thin">
        <color rgb="FFD8DEE4"/>
      </top>
      <bottom style="medium">
        <color rgb="FFD8DEE4"/>
      </bottom>
      <diagonal/>
    </border>
    <border>
      <left/>
      <right style="thick">
        <color rgb="FF8495A4"/>
      </right>
      <top style="thin">
        <color rgb="FFD8DEE4"/>
      </top>
      <bottom style="medium">
        <color rgb="FFD8DEE4"/>
      </bottom>
      <diagonal/>
    </border>
    <border>
      <left style="medium">
        <color rgb="FF8495A4"/>
      </left>
      <right style="medium">
        <color rgb="FFC5CED6"/>
      </right>
      <top/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/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/>
      <bottom style="thin">
        <color rgb="FFC5CED6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8495A4"/>
      </left>
      <right style="medium">
        <color rgb="FF8495A4"/>
      </right>
      <top style="medium">
        <color rgb="FF8495A4"/>
      </top>
      <bottom style="medium">
        <color rgb="FF8495A4"/>
      </bottom>
      <diagonal/>
    </border>
    <border>
      <left style="medium">
        <color rgb="FF8495A4"/>
      </left>
      <right style="thin">
        <color rgb="FF8495A4"/>
      </right>
      <top style="medium">
        <color rgb="FF8495A4"/>
      </top>
      <bottom style="medium">
        <color rgb="FF8495A4"/>
      </bottom>
      <diagonal/>
    </border>
    <border>
      <left style="thin">
        <color rgb="FF8495A4"/>
      </left>
      <right style="medium">
        <color rgb="FF8495A4"/>
      </right>
      <top style="medium">
        <color rgb="FF8495A4"/>
      </top>
      <bottom style="medium">
        <color rgb="FF8495A4"/>
      </bottom>
      <diagonal/>
    </border>
    <border>
      <left style="thin">
        <color rgb="FF8495A4"/>
      </left>
      <right style="thin">
        <color rgb="FF8495A4"/>
      </right>
      <top style="medium">
        <color rgb="FF8495A4"/>
      </top>
      <bottom style="medium">
        <color rgb="FF8495A4"/>
      </bottom>
      <diagonal/>
    </border>
    <border>
      <left style="thin">
        <color rgb="FF8495A4"/>
      </left>
      <right/>
      <top style="medium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rgb="FFC5CED6"/>
      </right>
      <top style="thick">
        <color rgb="FF8495A4"/>
      </top>
      <bottom style="medium">
        <color rgb="FFC5CED6"/>
      </bottom>
      <diagonal/>
    </border>
    <border>
      <left style="medium">
        <color rgb="FFC5CED6"/>
      </left>
      <right style="medium">
        <color rgb="FFC5CED6"/>
      </right>
      <top style="thick">
        <color rgb="FF8495A4"/>
      </top>
      <bottom style="medium">
        <color rgb="FFC5CED6"/>
      </bottom>
      <diagonal/>
    </border>
    <border>
      <left style="medium">
        <color rgb="FFC5CED6"/>
      </left>
      <right style="medium">
        <color rgb="FF8495A4"/>
      </right>
      <top style="thick">
        <color rgb="FF8495A4"/>
      </top>
      <bottom style="medium">
        <color rgb="FFC5CED6"/>
      </bottom>
      <diagonal/>
    </border>
    <border>
      <left/>
      <right style="thick">
        <color rgb="FF8495A4"/>
      </right>
      <top style="medium">
        <color rgb="FFC5CED6"/>
      </top>
      <bottom style="medium">
        <color rgb="FFC5CED6"/>
      </bottom>
      <diagonal/>
    </border>
    <border>
      <left style="thick">
        <color rgb="FF8495A4"/>
      </left>
      <right style="thick">
        <color rgb="FF8495A4"/>
      </right>
      <top/>
      <bottom style="thick">
        <color rgb="FF8495A4"/>
      </bottom>
      <diagonal/>
    </border>
    <border>
      <left style="medium">
        <color rgb="FF8495A4"/>
      </left>
      <right/>
      <top style="medium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rgb="FFC5CED6"/>
      </right>
      <top style="medium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C5CED6"/>
      </right>
      <top style="medium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8495A4"/>
      </right>
      <top style="medium">
        <color rgb="FFC5CED6"/>
      </top>
      <bottom style="medium">
        <color rgb="FFC5CED6"/>
      </bottom>
      <diagonal/>
    </border>
    <border>
      <left style="medium">
        <color rgb="FF8495A4"/>
      </left>
      <right style="medium">
        <color rgb="FFC5CED6"/>
      </right>
      <top style="medium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medium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8495A4"/>
      </right>
      <top style="medium">
        <color rgb="FFC5CED6"/>
      </top>
      <bottom style="thick">
        <color rgb="FF8495A4"/>
      </bottom>
      <diagonal/>
    </border>
    <border>
      <left/>
      <right/>
      <top style="thick">
        <color rgb="FF8495A4"/>
      </top>
      <bottom/>
      <diagonal/>
    </border>
    <border>
      <left style="thick">
        <color rgb="FF8495A4"/>
      </left>
      <right/>
      <top/>
      <bottom style="medium">
        <color indexed="64"/>
      </bottom>
      <diagonal/>
    </border>
    <border>
      <left style="medium">
        <color rgb="FF8495A4"/>
      </left>
      <right/>
      <top/>
      <bottom style="thin">
        <color rgb="FF8495A4"/>
      </bottom>
      <diagonal/>
    </border>
    <border>
      <left style="thick">
        <color rgb="FF8495A4"/>
      </left>
      <right/>
      <top/>
      <bottom/>
      <diagonal/>
    </border>
    <border>
      <left style="medium">
        <color rgb="FF8495A4"/>
      </left>
      <right style="medium">
        <color indexed="6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indexed="64"/>
      </right>
      <top style="thin">
        <color rgb="FF8495A4"/>
      </top>
      <bottom style="medium">
        <color rgb="FF8495A4"/>
      </bottom>
      <diagonal/>
    </border>
    <border>
      <left style="thick">
        <color rgb="FF8495A4"/>
      </left>
      <right/>
      <top/>
      <bottom style="thick">
        <color rgb="FF8495A4"/>
      </bottom>
      <diagonal/>
    </border>
    <border>
      <left style="thick">
        <color rgb="FFB8C2CC"/>
      </left>
      <right/>
      <top style="thick">
        <color rgb="FFB8C2CC"/>
      </top>
      <bottom/>
      <diagonal/>
    </border>
    <border>
      <left/>
      <right/>
      <top style="thick">
        <color rgb="FFB8C2CC"/>
      </top>
      <bottom/>
      <diagonal/>
    </border>
    <border>
      <left/>
      <right/>
      <top style="thick">
        <color rgb="FFB8C2CC"/>
      </top>
      <bottom style="medium">
        <color rgb="FF7A8793"/>
      </bottom>
      <diagonal/>
    </border>
    <border>
      <left style="thick">
        <color rgb="FFB8C2CC"/>
      </left>
      <right style="medium">
        <color rgb="FF7A8793"/>
      </right>
      <top style="medium">
        <color rgb="FF7A8793"/>
      </top>
      <bottom style="thick">
        <color rgb="FF5B708F"/>
      </bottom>
      <diagonal/>
    </border>
    <border>
      <left style="medium">
        <color rgb="FF7A8793"/>
      </left>
      <right style="medium">
        <color rgb="FF7A8793"/>
      </right>
      <top style="medium">
        <color rgb="FF7A8793"/>
      </top>
      <bottom style="thick">
        <color rgb="FF5B708F"/>
      </bottom>
      <diagonal/>
    </border>
    <border>
      <left/>
      <right/>
      <top style="medium">
        <color rgb="FF7A8793"/>
      </top>
      <bottom/>
      <diagonal/>
    </border>
    <border>
      <left/>
      <right style="thick">
        <color rgb="FFB8C2CC"/>
      </right>
      <top style="medium">
        <color rgb="FF7A8793"/>
      </top>
      <bottom/>
      <diagonal/>
    </border>
    <border>
      <left style="thick">
        <color rgb="FFB8C2CC"/>
      </left>
      <right/>
      <top style="thick">
        <color rgb="FF5B708F"/>
      </top>
      <bottom style="thick">
        <color rgb="FFAAB4BE"/>
      </bottom>
      <diagonal/>
    </border>
    <border>
      <left/>
      <right/>
      <top style="thick">
        <color rgb="FF5B708F"/>
      </top>
      <bottom style="thick">
        <color rgb="FFAAB4BE"/>
      </bottom>
      <diagonal/>
    </border>
    <border>
      <left/>
      <right style="thick">
        <color rgb="FFB8C2CC"/>
      </right>
      <top style="thick">
        <color rgb="FF5B708F"/>
      </top>
      <bottom style="thick">
        <color rgb="FFAAB4BE"/>
      </bottom>
      <diagonal/>
    </border>
    <border>
      <left/>
      <right style="thick">
        <color rgb="FFB8C2CC"/>
      </right>
      <top/>
      <bottom/>
      <diagonal/>
    </border>
    <border>
      <left style="thick">
        <color rgb="FFB8C2CC"/>
      </left>
      <right style="medium">
        <color rgb="FFAAB4BE"/>
      </right>
      <top style="thick">
        <color rgb="FFAAB4BE"/>
      </top>
      <bottom style="thin">
        <color rgb="FFB8C2CC"/>
      </bottom>
      <diagonal/>
    </border>
    <border>
      <left style="medium">
        <color rgb="FFAAB4BE"/>
      </left>
      <right style="thin">
        <color rgb="FFB8C2CC"/>
      </right>
      <top style="thick">
        <color rgb="FFAAB4BE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ck">
        <color rgb="FFAAB4BE"/>
      </top>
      <bottom style="thin">
        <color rgb="FFB8C2CC"/>
      </bottom>
      <diagonal/>
    </border>
    <border>
      <left style="thin">
        <color rgb="FFB8C2CC"/>
      </left>
      <right/>
      <top style="thick">
        <color rgb="FFAAB4BE"/>
      </top>
      <bottom style="thin">
        <color rgb="FFB8C2CC"/>
      </bottom>
      <diagonal/>
    </border>
    <border>
      <left style="medium">
        <color rgb="FFB8C2CC"/>
      </left>
      <right style="thick">
        <color rgb="FFB8C2CC"/>
      </right>
      <top style="thick">
        <color rgb="FFAAB4BE"/>
      </top>
      <bottom style="thin">
        <color rgb="FFB8C2CC"/>
      </bottom>
      <diagonal/>
    </border>
    <border>
      <left style="thick">
        <color rgb="FFB8C2CC"/>
      </left>
      <right style="medium">
        <color rgb="FFAAB4BE"/>
      </right>
      <top style="thin">
        <color rgb="FFB8C2CC"/>
      </top>
      <bottom style="thin">
        <color rgb="FFB8C2CC"/>
      </bottom>
      <diagonal/>
    </border>
    <border>
      <left style="medium">
        <color rgb="FFAAB4BE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 style="medium">
        <color rgb="FFB8C2CC"/>
      </left>
      <right style="thick">
        <color rgb="FFB8C2CC"/>
      </right>
      <top style="thin">
        <color rgb="FFB8C2CC"/>
      </top>
      <bottom style="thin">
        <color rgb="FFB8C2CC"/>
      </bottom>
      <diagonal/>
    </border>
    <border>
      <left style="thick">
        <color rgb="FFB8C2CC"/>
      </left>
      <right style="medium">
        <color rgb="FFAAB4BE"/>
      </right>
      <top style="thin">
        <color rgb="FFB8C2CC"/>
      </top>
      <bottom style="thick">
        <color rgb="FFAAB4BE"/>
      </bottom>
      <diagonal/>
    </border>
    <border>
      <left style="medium">
        <color rgb="FFAAB4BE"/>
      </left>
      <right style="thin">
        <color rgb="FFB8C2CC"/>
      </right>
      <top style="thin">
        <color rgb="FFB8C2CC"/>
      </top>
      <bottom style="thick">
        <color rgb="FFAAB4BE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ck">
        <color rgb="FFAAB4BE"/>
      </bottom>
      <diagonal/>
    </border>
    <border>
      <left style="thin">
        <color rgb="FFB8C2CC"/>
      </left>
      <right/>
      <top style="thin">
        <color rgb="FFB8C2CC"/>
      </top>
      <bottom style="thick">
        <color rgb="FFAAB4BE"/>
      </bottom>
      <diagonal/>
    </border>
    <border>
      <left style="medium">
        <color rgb="FFB8C2CC"/>
      </left>
      <right style="thick">
        <color rgb="FFB8C2CC"/>
      </right>
      <top style="thin">
        <color rgb="FFB8C2CC"/>
      </top>
      <bottom style="thick">
        <color rgb="FFAAB4BE"/>
      </bottom>
      <diagonal/>
    </border>
    <border>
      <left style="thick">
        <color rgb="FFB8C2CC"/>
      </left>
      <right/>
      <top style="thick">
        <color rgb="FFAAB4BE"/>
      </top>
      <bottom style="thick">
        <color rgb="FFAAB4BE"/>
      </bottom>
      <diagonal/>
    </border>
    <border>
      <left/>
      <right/>
      <top style="thick">
        <color rgb="FFAAB4BE"/>
      </top>
      <bottom style="thick">
        <color rgb="FFAAB4BE"/>
      </bottom>
      <diagonal/>
    </border>
    <border>
      <left/>
      <right style="thick">
        <color rgb="FFB8C2CC"/>
      </right>
      <top style="thick">
        <color rgb="FFAAB4BE"/>
      </top>
      <bottom style="thick">
        <color rgb="FFAAB4BE"/>
      </bottom>
      <diagonal/>
    </border>
    <border>
      <left style="thick">
        <color rgb="FFB8C2CC"/>
      </left>
      <right/>
      <top style="thick">
        <color rgb="FFB8C2CC"/>
      </top>
      <bottom style="thin">
        <color rgb="FFB8C2CC"/>
      </bottom>
      <diagonal/>
    </border>
    <border>
      <left/>
      <right style="thick">
        <color rgb="FFB8C2CC"/>
      </right>
      <top style="thick">
        <color rgb="FFB8C2CC"/>
      </top>
      <bottom style="thin">
        <color rgb="FFB8C2CC"/>
      </bottom>
      <diagonal/>
    </border>
    <border>
      <left style="thick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ck">
        <color rgb="FFB8C2CC"/>
      </right>
      <top style="thin">
        <color rgb="FFB8C2CC"/>
      </top>
      <bottom style="thin">
        <color rgb="FFB8C2CC"/>
      </bottom>
      <diagonal/>
    </border>
    <border>
      <left style="thick">
        <color rgb="FFB8C2CC"/>
      </left>
      <right/>
      <top style="thin">
        <color rgb="FFB8C2CC"/>
      </top>
      <bottom style="thick">
        <color rgb="FFB8C2CC"/>
      </bottom>
      <diagonal/>
    </border>
    <border>
      <left/>
      <right style="thick">
        <color rgb="FFB8C2CC"/>
      </right>
      <top style="thin">
        <color rgb="FFB8C2CC"/>
      </top>
      <bottom style="thick">
        <color rgb="FFB8C2CC"/>
      </bottom>
      <diagonal/>
    </border>
    <border>
      <left style="medium">
        <color rgb="FFAAB4BE"/>
      </left>
      <right style="thick">
        <color rgb="FFB8C2CC"/>
      </right>
      <top style="thick">
        <color rgb="FFAAB4BE"/>
      </top>
      <bottom style="thin">
        <color rgb="FFB8C2CC"/>
      </bottom>
      <diagonal/>
    </border>
    <border>
      <left style="medium">
        <color rgb="FFAAB4BE"/>
      </left>
      <right style="thick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AAB4BE"/>
      </left>
      <right style="thin">
        <color rgb="FFAAB4BE"/>
      </right>
      <top style="thin">
        <color rgb="FFB8C2CC"/>
      </top>
      <bottom style="thick">
        <color rgb="FFB8C2CC"/>
      </bottom>
      <diagonal/>
    </border>
    <border>
      <left style="thin">
        <color rgb="FFAAB4BE"/>
      </left>
      <right/>
      <top style="thin">
        <color rgb="FFB8C2CC"/>
      </top>
      <bottom style="thick">
        <color rgb="FFB8C2CC"/>
      </bottom>
      <diagonal/>
    </border>
    <border>
      <left style="medium">
        <color rgb="FFAAB4BE"/>
      </left>
      <right style="thick">
        <color rgb="FFB8C2CC"/>
      </right>
      <top style="thin">
        <color rgb="FFB8C2CC"/>
      </top>
      <bottom style="thick">
        <color rgb="FFB8C2CC"/>
      </bottom>
      <diagonal/>
    </border>
    <border>
      <left/>
      <right/>
      <top/>
      <bottom style="thick">
        <color rgb="FFB8C2CC"/>
      </bottom>
      <diagonal/>
    </border>
    <border>
      <left/>
      <right style="thick">
        <color rgb="FFB8C2CC"/>
      </right>
      <top/>
      <bottom style="thick">
        <color rgb="FFB8C2CC"/>
      </bottom>
      <diagonal/>
    </border>
  </borders>
  <cellStyleXfs count="1">
    <xf numFmtId="0" fontId="0" fillId="0" borderId="0"/>
  </cellStyleXfs>
  <cellXfs count="400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164" fontId="1" fillId="2" borderId="2" xfId="0" applyNumberFormat="1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Protection="1"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4" fillId="2" borderId="3" xfId="0" applyFont="1" applyFill="1" applyBorder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3" borderId="0" xfId="0" applyFont="1" applyFill="1" applyProtection="1">
      <protection hidden="1"/>
    </xf>
    <xf numFmtId="0" fontId="6" fillId="0" borderId="0" xfId="0" applyFont="1" applyProtection="1">
      <protection hidden="1"/>
    </xf>
    <xf numFmtId="0" fontId="7" fillId="4" borderId="4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Protection="1">
      <protection hidden="1"/>
    </xf>
    <xf numFmtId="0" fontId="9" fillId="4" borderId="6" xfId="0" applyFont="1" applyFill="1" applyBorder="1" applyAlignment="1" applyProtection="1">
      <alignment horizontal="center" vertical="center" wrapText="1" textRotation="90"/>
      <protection hidden="1"/>
    </xf>
    <xf numFmtId="0" fontId="9" fillId="4" borderId="7" xfId="0" applyFont="1" applyFill="1" applyBorder="1" applyAlignment="1" applyProtection="1">
      <alignment horizontal="center" vertical="center" wrapText="1" textRotation="90"/>
      <protection hidden="1"/>
    </xf>
    <xf numFmtId="0" fontId="9" fillId="4" borderId="8" xfId="0" applyFont="1" applyFill="1" applyBorder="1" applyAlignment="1" applyProtection="1">
      <alignment horizontal="center" vertical="center" wrapText="1" textRotation="90"/>
      <protection hidden="1"/>
    </xf>
    <xf numFmtId="0" fontId="9" fillId="4" borderId="9" xfId="0" applyFont="1" applyFill="1" applyBorder="1" applyAlignment="1" applyProtection="1">
      <alignment horizontal="center" vertical="center" wrapText="1" textRotation="90"/>
      <protection hidden="1"/>
    </xf>
    <xf numFmtId="0" fontId="10" fillId="2" borderId="10" xfId="0" applyFont="1" applyFill="1" applyBorder="1" applyAlignment="1" applyProtection="1">
      <alignment horizontal="center" vertical="center" wrapText="1" textRotation="90"/>
      <protection hidden="1"/>
    </xf>
    <xf numFmtId="0" fontId="11" fillId="6" borderId="11" xfId="0" applyFont="1" applyFill="1" applyBorder="1" applyAlignment="1" applyProtection="1">
      <alignment horizontal="center"/>
      <protection hidden="1"/>
    </xf>
    <xf numFmtId="0" fontId="11" fillId="6" borderId="12" xfId="0" applyFont="1" applyFill="1" applyBorder="1" applyAlignment="1" applyProtection="1">
      <alignment horizontal="center"/>
      <protection hidden="1"/>
    </xf>
    <xf numFmtId="0" fontId="12" fillId="6" borderId="12" xfId="0" applyFont="1" applyFill="1" applyBorder="1" applyProtection="1">
      <protection hidden="1"/>
    </xf>
    <xf numFmtId="0" fontId="13" fillId="7" borderId="12" xfId="0" applyFont="1" applyFill="1" applyBorder="1" applyProtection="1">
      <protection hidden="1"/>
    </xf>
    <xf numFmtId="0" fontId="9" fillId="4" borderId="13" xfId="0" applyFont="1" applyFill="1" applyBorder="1" applyAlignment="1" applyProtection="1">
      <alignment horizontal="center" vertical="center" wrapText="1" textRotation="90"/>
      <protection hidden="1"/>
    </xf>
    <xf numFmtId="0" fontId="10" fillId="2" borderId="14" xfId="0" applyFont="1" applyFill="1" applyBorder="1" applyAlignment="1" applyProtection="1">
      <alignment horizontal="center" vertical="center" wrapText="1" textRotation="90"/>
      <protection hidden="1"/>
    </xf>
    <xf numFmtId="0" fontId="13" fillId="0" borderId="15" xfId="0" applyFont="1" applyBorder="1" applyAlignment="1" applyProtection="1">
      <alignment horizontal="center" vertical="center" wrapText="1"/>
      <protection hidden="1"/>
    </xf>
    <xf numFmtId="0" fontId="14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Protection="1">
      <protection hidden="1"/>
    </xf>
    <xf numFmtId="0" fontId="14" fillId="0" borderId="19" xfId="0" applyFont="1" applyBorder="1" applyAlignment="1" applyProtection="1">
      <alignment horizontal="left" vertical="center"/>
      <protection hidden="1"/>
    </xf>
    <xf numFmtId="0" fontId="12" fillId="0" borderId="20" xfId="0" applyFont="1" applyBorder="1" applyProtection="1">
      <protection hidden="1"/>
    </xf>
    <xf numFmtId="0" fontId="11" fillId="8" borderId="21" xfId="0" applyFont="1" applyFill="1" applyBorder="1" applyAlignment="1" applyProtection="1">
      <alignment horizontal="center"/>
      <protection hidden="1"/>
    </xf>
    <xf numFmtId="0" fontId="11" fillId="8" borderId="22" xfId="0" applyFont="1" applyFill="1" applyBorder="1" applyAlignment="1" applyProtection="1">
      <alignment horizontal="center"/>
      <protection hidden="1"/>
    </xf>
    <xf numFmtId="0" fontId="11" fillId="8" borderId="23" xfId="0" applyFont="1" applyFill="1" applyBorder="1" applyAlignment="1" applyProtection="1">
      <alignment horizontal="center"/>
      <protection hidden="1"/>
    </xf>
    <xf numFmtId="0" fontId="11" fillId="8" borderId="24" xfId="0" applyFont="1" applyFill="1" applyBorder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2" fillId="0" borderId="26" xfId="0" applyFont="1" applyBorder="1" applyProtection="1">
      <protection hidden="1"/>
    </xf>
    <xf numFmtId="0" fontId="12" fillId="0" borderId="27" xfId="0" applyFont="1" applyBorder="1" applyProtection="1">
      <protection hidden="1"/>
    </xf>
    <xf numFmtId="0" fontId="14" fillId="0" borderId="28" xfId="0" applyFont="1" applyBorder="1" applyAlignment="1" applyProtection="1">
      <alignment horizontal="left" vertical="center"/>
      <protection hidden="1"/>
    </xf>
    <xf numFmtId="0" fontId="12" fillId="0" borderId="29" xfId="0" applyFont="1" applyBorder="1" applyProtection="1">
      <protection hidden="1"/>
    </xf>
    <xf numFmtId="0" fontId="11" fillId="8" borderId="30" xfId="0" applyFont="1" applyFill="1" applyBorder="1" applyAlignment="1" applyProtection="1">
      <alignment horizontal="center"/>
      <protection hidden="1"/>
    </xf>
    <xf numFmtId="0" fontId="11" fillId="8" borderId="31" xfId="0" applyFont="1" applyFill="1" applyBorder="1" applyAlignment="1" applyProtection="1">
      <alignment horizontal="center"/>
      <protection hidden="1"/>
    </xf>
    <xf numFmtId="0" fontId="11" fillId="8" borderId="32" xfId="0" applyFont="1" applyFill="1" applyBorder="1" applyAlignment="1" applyProtection="1">
      <alignment horizontal="center"/>
      <protection hidden="1"/>
    </xf>
    <xf numFmtId="0" fontId="11" fillId="8" borderId="33" xfId="0" applyFont="1" applyFill="1" applyBorder="1" applyAlignment="1" applyProtection="1">
      <alignment horizontal="center"/>
      <protection hidden="1"/>
    </xf>
    <xf numFmtId="0" fontId="14" fillId="0" borderId="34" xfId="0" applyFont="1" applyBorder="1" applyAlignment="1" applyProtection="1">
      <alignment horizontal="center"/>
      <protection hidden="1"/>
    </xf>
    <xf numFmtId="0" fontId="12" fillId="0" borderId="35" xfId="0" applyFont="1" applyBorder="1" applyProtection="1">
      <protection hidden="1"/>
    </xf>
    <xf numFmtId="0" fontId="12" fillId="0" borderId="36" xfId="0" applyFont="1" applyBorder="1" applyProtection="1">
      <protection hidden="1"/>
    </xf>
    <xf numFmtId="0" fontId="14" fillId="0" borderId="37" xfId="0" applyFont="1" applyBorder="1" applyAlignment="1" applyProtection="1">
      <alignment horizontal="left" vertical="center"/>
      <protection hidden="1"/>
    </xf>
    <xf numFmtId="0" fontId="12" fillId="0" borderId="38" xfId="0" applyFont="1" applyBorder="1" applyProtection="1">
      <protection hidden="1"/>
    </xf>
    <xf numFmtId="0" fontId="11" fillId="8" borderId="39" xfId="0" applyFont="1" applyFill="1" applyBorder="1" applyAlignment="1" applyProtection="1">
      <alignment horizontal="center"/>
      <protection hidden="1"/>
    </xf>
    <xf numFmtId="0" fontId="11" fillId="8" borderId="40" xfId="0" applyFont="1" applyFill="1" applyBorder="1" applyAlignment="1" applyProtection="1">
      <alignment horizontal="center"/>
      <protection hidden="1"/>
    </xf>
    <xf numFmtId="0" fontId="11" fillId="8" borderId="41" xfId="0" applyFont="1" applyFill="1" applyBorder="1" applyAlignment="1" applyProtection="1">
      <alignment horizontal="center"/>
      <protection hidden="1"/>
    </xf>
    <xf numFmtId="0" fontId="11" fillId="8" borderId="42" xfId="0" applyFont="1" applyFill="1" applyBorder="1" applyAlignment="1" applyProtection="1">
      <alignment horizontal="center"/>
      <protection hidden="1"/>
    </xf>
    <xf numFmtId="0" fontId="14" fillId="0" borderId="43" xfId="0" applyFont="1" applyBorder="1" applyAlignment="1" applyProtection="1">
      <alignment horizontal="center"/>
      <protection hidden="1"/>
    </xf>
    <xf numFmtId="0" fontId="13" fillId="0" borderId="44" xfId="0" applyFont="1" applyBorder="1" applyAlignment="1" applyProtection="1">
      <alignment horizontal="center" vertical="center"/>
      <protection hidden="1"/>
    </xf>
    <xf numFmtId="0" fontId="12" fillId="0" borderId="45" xfId="0" applyFont="1" applyBorder="1" applyProtection="1">
      <protection hidden="1"/>
    </xf>
    <xf numFmtId="0" fontId="14" fillId="0" borderId="46" xfId="0" applyFont="1" applyBorder="1" applyAlignment="1" applyProtection="1">
      <alignment horizontal="left" vertical="center"/>
      <protection hidden="1"/>
    </xf>
    <xf numFmtId="0" fontId="12" fillId="0" borderId="47" xfId="0" applyFont="1" applyBorder="1" applyProtection="1">
      <protection hidden="1"/>
    </xf>
    <xf numFmtId="0" fontId="11" fillId="0" borderId="48" xfId="0" applyFont="1" applyBorder="1" applyAlignment="1" applyProtection="1">
      <alignment horizontal="center"/>
      <protection hidden="1"/>
    </xf>
    <xf numFmtId="0" fontId="11" fillId="0" borderId="49" xfId="0" applyFont="1" applyBorder="1" applyAlignment="1" applyProtection="1">
      <alignment horizontal="center"/>
      <protection hidden="1"/>
    </xf>
    <xf numFmtId="0" fontId="11" fillId="0" borderId="50" xfId="0" applyFont="1" applyBorder="1" applyAlignment="1" applyProtection="1">
      <alignment horizontal="center"/>
      <protection hidden="1"/>
    </xf>
    <xf numFmtId="0" fontId="11" fillId="0" borderId="51" xfId="0" applyFont="1" applyBorder="1" applyAlignment="1" applyProtection="1">
      <alignment horizontal="center"/>
      <protection hidden="1"/>
    </xf>
    <xf numFmtId="0" fontId="11" fillId="0" borderId="30" xfId="0" applyFont="1" applyBorder="1" applyAlignment="1" applyProtection="1">
      <alignment horizontal="center"/>
      <protection hidden="1"/>
    </xf>
    <xf numFmtId="0" fontId="11" fillId="0" borderId="31" xfId="0" applyFont="1" applyBorder="1" applyAlignment="1" applyProtection="1">
      <alignment horizontal="center"/>
      <protection hidden="1"/>
    </xf>
    <xf numFmtId="0" fontId="11" fillId="0" borderId="32" xfId="0" applyFont="1" applyBorder="1" applyAlignment="1" applyProtection="1">
      <alignment horizontal="center"/>
      <protection hidden="1"/>
    </xf>
    <xf numFmtId="0" fontId="11" fillId="0" borderId="33" xfId="0" applyFont="1" applyBorder="1" applyAlignment="1" applyProtection="1">
      <alignment horizontal="center"/>
      <protection hidden="1"/>
    </xf>
    <xf numFmtId="0" fontId="11" fillId="0" borderId="39" xfId="0" applyFont="1" applyBorder="1" applyAlignment="1" applyProtection="1">
      <alignment horizontal="center"/>
      <protection hidden="1"/>
    </xf>
    <xf numFmtId="0" fontId="11" fillId="0" borderId="40" xfId="0" applyFont="1" applyBorder="1" applyAlignment="1" applyProtection="1">
      <alignment horizontal="center"/>
      <protection hidden="1"/>
    </xf>
    <xf numFmtId="0" fontId="11" fillId="0" borderId="41" xfId="0" applyFont="1" applyBorder="1" applyAlignment="1" applyProtection="1">
      <alignment horizontal="center"/>
      <protection hidden="1"/>
    </xf>
    <xf numFmtId="0" fontId="11" fillId="0" borderId="42" xfId="0" applyFont="1" applyBorder="1" applyAlignment="1" applyProtection="1">
      <alignment horizontal="center"/>
      <protection hidden="1"/>
    </xf>
    <xf numFmtId="0" fontId="14" fillId="0" borderId="52" xfId="0" applyFont="1" applyBorder="1" applyAlignment="1" applyProtection="1">
      <alignment horizontal="center"/>
      <protection hidden="1"/>
    </xf>
    <xf numFmtId="0" fontId="12" fillId="0" borderId="53" xfId="0" applyFont="1" applyBorder="1" applyProtection="1">
      <protection hidden="1"/>
    </xf>
    <xf numFmtId="0" fontId="12" fillId="0" borderId="54" xfId="0" applyFont="1" applyBorder="1" applyProtection="1">
      <protection hidden="1"/>
    </xf>
    <xf numFmtId="0" fontId="14" fillId="0" borderId="55" xfId="0" applyFont="1" applyBorder="1" applyAlignment="1" applyProtection="1">
      <alignment horizontal="left" vertical="center"/>
      <protection hidden="1"/>
    </xf>
    <xf numFmtId="0" fontId="12" fillId="0" borderId="56" xfId="0" applyFont="1" applyBorder="1" applyProtection="1">
      <protection hidden="1"/>
    </xf>
    <xf numFmtId="0" fontId="11" fillId="0" borderId="57" xfId="0" applyFont="1" applyBorder="1" applyAlignment="1" applyProtection="1">
      <alignment horizontal="center"/>
      <protection hidden="1"/>
    </xf>
    <xf numFmtId="0" fontId="11" fillId="0" borderId="58" xfId="0" applyFont="1" applyBorder="1" applyAlignment="1" applyProtection="1">
      <alignment horizontal="center"/>
      <protection hidden="1"/>
    </xf>
    <xf numFmtId="0" fontId="11" fillId="0" borderId="59" xfId="0" applyFont="1" applyBorder="1" applyAlignment="1" applyProtection="1">
      <alignment horizontal="center"/>
      <protection hidden="1"/>
    </xf>
    <xf numFmtId="0" fontId="11" fillId="0" borderId="60" xfId="0" applyFont="1" applyBorder="1" applyAlignment="1" applyProtection="1">
      <alignment horizontal="center"/>
      <protection hidden="1"/>
    </xf>
    <xf numFmtId="0" fontId="15" fillId="9" borderId="5" xfId="0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Protection="1">
      <protection hidden="1"/>
    </xf>
    <xf numFmtId="0" fontId="0" fillId="2" borderId="61" xfId="0" applyFill="1" applyBorder="1" applyProtection="1">
      <protection hidden="1"/>
    </xf>
    <xf numFmtId="0" fontId="15" fillId="9" borderId="4" xfId="0" applyFont="1" applyFill="1" applyBorder="1" applyAlignment="1" applyProtection="1">
      <alignment horizontal="center"/>
      <protection hidden="1"/>
    </xf>
    <xf numFmtId="0" fontId="15" fillId="9" borderId="5" xfId="0" applyFont="1" applyFill="1" applyBorder="1" applyAlignment="1" applyProtection="1">
      <alignment horizontal="center"/>
      <protection hidden="1"/>
    </xf>
    <xf numFmtId="0" fontId="15" fillId="9" borderId="61" xfId="0" applyFont="1" applyFill="1" applyBorder="1" applyAlignment="1" applyProtection="1">
      <alignment horizontal="center"/>
      <protection hidden="1"/>
    </xf>
    <xf numFmtId="0" fontId="14" fillId="0" borderId="16" xfId="0" applyFont="1" applyBorder="1" applyAlignment="1" applyProtection="1">
      <alignment horizontal="center" vertical="center"/>
      <protection hidden="1"/>
    </xf>
    <xf numFmtId="0" fontId="13" fillId="0" borderId="62" xfId="0" applyFont="1" applyBorder="1" applyAlignment="1" applyProtection="1">
      <alignment horizontal="center" vertical="center"/>
      <protection hidden="1"/>
    </xf>
    <xf numFmtId="0" fontId="12" fillId="0" borderId="63" xfId="0" applyFont="1" applyBorder="1" applyProtection="1">
      <protection hidden="1"/>
    </xf>
    <xf numFmtId="0" fontId="14" fillId="0" borderId="62" xfId="0" applyFont="1" applyBorder="1" applyAlignment="1" applyProtection="1">
      <alignment vertical="center"/>
      <protection hidden="1"/>
    </xf>
    <xf numFmtId="0" fontId="12" fillId="0" borderId="64" xfId="0" applyFont="1" applyBorder="1" applyProtection="1">
      <protection hidden="1"/>
    </xf>
    <xf numFmtId="0" fontId="12" fillId="0" borderId="65" xfId="0" applyFont="1" applyBorder="1" applyProtection="1">
      <protection hidden="1"/>
    </xf>
    <xf numFmtId="0" fontId="11" fillId="8" borderId="66" xfId="0" applyFont="1" applyFill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 vertical="center"/>
      <protection hidden="1"/>
    </xf>
    <xf numFmtId="0" fontId="12" fillId="0" borderId="67" xfId="0" applyFont="1" applyBorder="1" applyProtection="1">
      <protection hidden="1"/>
    </xf>
    <xf numFmtId="0" fontId="12" fillId="0" borderId="68" xfId="0" applyFont="1" applyBorder="1" applyProtection="1">
      <protection hidden="1"/>
    </xf>
    <xf numFmtId="0" fontId="14" fillId="0" borderId="67" xfId="0" applyFont="1" applyBorder="1" applyAlignment="1" applyProtection="1">
      <alignment horizontal="center" vertical="center" wrapText="1"/>
      <protection hidden="1"/>
    </xf>
    <xf numFmtId="0" fontId="12" fillId="0" borderId="69" xfId="0" applyFont="1" applyBorder="1" applyProtection="1">
      <protection hidden="1"/>
    </xf>
    <xf numFmtId="0" fontId="14" fillId="0" borderId="70" xfId="0" applyFont="1" applyBorder="1" applyAlignment="1" applyProtection="1">
      <alignment horizontal="left" vertical="center" wrapText="1"/>
      <protection hidden="1"/>
    </xf>
    <xf numFmtId="0" fontId="14" fillId="0" borderId="70" xfId="0" applyFont="1" applyBorder="1" applyAlignment="1" applyProtection="1">
      <alignment horizontal="left" vertical="center"/>
      <protection hidden="1"/>
    </xf>
    <xf numFmtId="0" fontId="14" fillId="0" borderId="67" xfId="0" applyFont="1" applyBorder="1" applyAlignment="1" applyProtection="1">
      <alignment horizontal="center" vertical="center"/>
      <protection hidden="1"/>
    </xf>
    <xf numFmtId="0" fontId="14" fillId="0" borderId="34" xfId="0" applyFont="1" applyBorder="1" applyAlignment="1" applyProtection="1">
      <alignment horizontal="center" vertical="center"/>
      <protection hidden="1"/>
    </xf>
    <xf numFmtId="0" fontId="12" fillId="0" borderId="71" xfId="0" applyFont="1" applyBorder="1" applyProtection="1">
      <protection hidden="1"/>
    </xf>
    <xf numFmtId="0" fontId="12" fillId="0" borderId="72" xfId="0" applyFont="1" applyBorder="1" applyProtection="1">
      <protection hidden="1"/>
    </xf>
    <xf numFmtId="0" fontId="12" fillId="0" borderId="73" xfId="0" applyFont="1" applyBorder="1" applyProtection="1">
      <protection hidden="1"/>
    </xf>
    <xf numFmtId="0" fontId="14" fillId="0" borderId="74" xfId="0" applyFont="1" applyBorder="1" applyAlignment="1" applyProtection="1">
      <alignment horizontal="left" vertical="center"/>
      <protection hidden="1"/>
    </xf>
    <xf numFmtId="0" fontId="14" fillId="0" borderId="43" xfId="0" applyFont="1" applyBorder="1" applyAlignment="1" applyProtection="1">
      <alignment horizontal="center" vertical="center"/>
      <protection hidden="1"/>
    </xf>
    <xf numFmtId="0" fontId="13" fillId="0" borderId="75" xfId="0" applyFont="1" applyBorder="1" applyAlignment="1" applyProtection="1">
      <alignment horizontal="center" vertical="center"/>
      <protection hidden="1"/>
    </xf>
    <xf numFmtId="0" fontId="12" fillId="0" borderId="76" xfId="0" applyFont="1" applyBorder="1" applyProtection="1">
      <protection hidden="1"/>
    </xf>
    <xf numFmtId="0" fontId="14" fillId="0" borderId="75" xfId="0" applyFont="1" applyBorder="1" applyAlignment="1" applyProtection="1">
      <alignment vertical="center"/>
      <protection hidden="1"/>
    </xf>
    <xf numFmtId="0" fontId="12" fillId="0" borderId="77" xfId="0" applyFont="1" applyBorder="1" applyProtection="1">
      <protection hidden="1"/>
    </xf>
    <xf numFmtId="0" fontId="12" fillId="0" borderId="78" xfId="0" applyFont="1" applyBorder="1" applyProtection="1">
      <protection hidden="1"/>
    </xf>
    <xf numFmtId="0" fontId="11" fillId="10" borderId="30" xfId="0" applyFont="1" applyFill="1" applyBorder="1" applyAlignment="1" applyProtection="1">
      <alignment horizontal="center"/>
      <protection hidden="1"/>
    </xf>
    <xf numFmtId="0" fontId="11" fillId="10" borderId="31" xfId="0" applyFont="1" applyFill="1" applyBorder="1" applyAlignment="1" applyProtection="1">
      <alignment horizontal="center"/>
      <protection hidden="1"/>
    </xf>
    <xf numFmtId="0" fontId="11" fillId="10" borderId="32" xfId="0" applyFont="1" applyFill="1" applyBorder="1" applyAlignment="1" applyProtection="1">
      <alignment horizontal="center"/>
      <protection hidden="1"/>
    </xf>
    <xf numFmtId="0" fontId="11" fillId="10" borderId="33" xfId="0" applyFont="1" applyFill="1" applyBorder="1" applyAlignment="1" applyProtection="1">
      <alignment horizontal="center"/>
      <protection hidden="1"/>
    </xf>
    <xf numFmtId="0" fontId="12" fillId="0" borderId="15" xfId="0" applyFont="1" applyBorder="1" applyProtection="1">
      <protection hidden="1"/>
    </xf>
    <xf numFmtId="0" fontId="11" fillId="10" borderId="57" xfId="0" applyFont="1" applyFill="1" applyBorder="1" applyAlignment="1" applyProtection="1">
      <alignment horizontal="center"/>
      <protection hidden="1"/>
    </xf>
    <xf numFmtId="0" fontId="11" fillId="10" borderId="58" xfId="0" applyFont="1" applyFill="1" applyBorder="1" applyAlignment="1" applyProtection="1">
      <alignment horizontal="center"/>
      <protection hidden="1"/>
    </xf>
    <xf numFmtId="0" fontId="11" fillId="10" borderId="59" xfId="0" applyFont="1" applyFill="1" applyBorder="1" applyAlignment="1" applyProtection="1">
      <alignment horizontal="center"/>
      <protection hidden="1"/>
    </xf>
    <xf numFmtId="0" fontId="11" fillId="10" borderId="42" xfId="0" applyFont="1" applyFill="1" applyBorder="1" applyAlignment="1" applyProtection="1">
      <alignment horizontal="center"/>
      <protection hidden="1"/>
    </xf>
    <xf numFmtId="0" fontId="13" fillId="0" borderId="79" xfId="0" applyFont="1" applyBorder="1" applyAlignment="1" applyProtection="1">
      <alignment horizontal="center" vertical="center" wrapText="1"/>
      <protection hidden="1"/>
    </xf>
    <xf numFmtId="0" fontId="14" fillId="0" borderId="75" xfId="0" applyFont="1" applyBorder="1" applyAlignment="1" applyProtection="1">
      <alignment horizontal="left" vertical="center"/>
      <protection hidden="1"/>
    </xf>
    <xf numFmtId="0" fontId="11" fillId="8" borderId="51" xfId="0" applyFont="1" applyFill="1" applyBorder="1" applyAlignment="1" applyProtection="1">
      <alignment horizontal="center"/>
      <protection hidden="1"/>
    </xf>
    <xf numFmtId="0" fontId="14" fillId="0" borderId="67" xfId="0" applyFont="1" applyBorder="1" applyAlignment="1" applyProtection="1">
      <alignment horizontal="left" vertical="center"/>
      <protection hidden="1"/>
    </xf>
    <xf numFmtId="0" fontId="12" fillId="0" borderId="70" xfId="0" applyFont="1" applyBorder="1" applyProtection="1">
      <protection hidden="1"/>
    </xf>
    <xf numFmtId="0" fontId="14" fillId="0" borderId="70" xfId="0" applyFont="1" applyBorder="1" applyAlignment="1" applyProtection="1">
      <alignment vertical="center"/>
      <protection hidden="1"/>
    </xf>
    <xf numFmtId="0" fontId="14" fillId="0" borderId="74" xfId="0" applyFont="1" applyBorder="1" applyAlignment="1" applyProtection="1">
      <alignment vertical="center"/>
      <protection hidden="1"/>
    </xf>
    <xf numFmtId="0" fontId="13" fillId="3" borderId="79" xfId="0" applyFont="1" applyFill="1" applyBorder="1" applyAlignment="1" applyProtection="1">
      <alignment horizontal="center" vertical="center" wrapText="1"/>
      <protection hidden="1"/>
    </xf>
    <xf numFmtId="0" fontId="14" fillId="3" borderId="43" xfId="0" applyFont="1" applyFill="1" applyBorder="1" applyAlignment="1" applyProtection="1">
      <alignment horizontal="center"/>
      <protection hidden="1"/>
    </xf>
    <xf numFmtId="0" fontId="13" fillId="3" borderId="75" xfId="0" applyFont="1" applyFill="1" applyBorder="1" applyAlignment="1" applyProtection="1">
      <alignment horizontal="center" vertical="center"/>
      <protection hidden="1"/>
    </xf>
    <xf numFmtId="0" fontId="14" fillId="3" borderId="34" xfId="0" applyFont="1" applyFill="1" applyBorder="1" applyAlignment="1" applyProtection="1">
      <alignment horizontal="center"/>
      <protection hidden="1"/>
    </xf>
    <xf numFmtId="0" fontId="14" fillId="0" borderId="71" xfId="0" applyFont="1" applyBorder="1" applyAlignment="1" applyProtection="1">
      <alignment horizontal="left" vertical="center"/>
      <protection hidden="1"/>
    </xf>
    <xf numFmtId="0" fontId="12" fillId="0" borderId="74" xfId="0" applyFont="1" applyBorder="1" applyProtection="1">
      <protection hidden="1"/>
    </xf>
    <xf numFmtId="0" fontId="11" fillId="10" borderId="48" xfId="0" applyFont="1" applyFill="1" applyBorder="1" applyAlignment="1" applyProtection="1">
      <alignment horizontal="center"/>
      <protection hidden="1"/>
    </xf>
    <xf numFmtId="0" fontId="11" fillId="10" borderId="49" xfId="0" applyFont="1" applyFill="1" applyBorder="1" applyAlignment="1" applyProtection="1">
      <alignment horizontal="center"/>
      <protection hidden="1"/>
    </xf>
    <xf numFmtId="0" fontId="11" fillId="10" borderId="50" xfId="0" applyFont="1" applyFill="1" applyBorder="1" applyAlignment="1" applyProtection="1">
      <alignment horizontal="center"/>
      <protection hidden="1"/>
    </xf>
    <xf numFmtId="0" fontId="11" fillId="10" borderId="51" xfId="0" applyFont="1" applyFill="1" applyBorder="1" applyAlignment="1" applyProtection="1">
      <alignment horizontal="center"/>
      <protection hidden="1"/>
    </xf>
    <xf numFmtId="0" fontId="13" fillId="0" borderId="79" xfId="0" applyFont="1" applyBorder="1" applyAlignment="1" applyProtection="1">
      <alignment horizontal="center" vertical="center"/>
      <protection hidden="1"/>
    </xf>
    <xf numFmtId="0" fontId="14" fillId="0" borderId="80" xfId="0" applyFont="1" applyBorder="1" applyAlignment="1" applyProtection="1">
      <alignment horizontal="center" vertical="center"/>
      <protection hidden="1"/>
    </xf>
    <xf numFmtId="0" fontId="14" fillId="0" borderId="71" xfId="0" applyFont="1" applyBorder="1" applyAlignment="1" applyProtection="1">
      <alignment horizontal="center" vertical="center" wrapText="1"/>
      <protection hidden="1"/>
    </xf>
    <xf numFmtId="1" fontId="14" fillId="0" borderId="34" xfId="0" applyNumberFormat="1" applyFont="1" applyBorder="1" applyAlignment="1" applyProtection="1">
      <alignment horizontal="center" vertical="center"/>
      <protection hidden="1"/>
    </xf>
    <xf numFmtId="1" fontId="14" fillId="0" borderId="74" xfId="0" applyNumberFormat="1" applyFont="1" applyBorder="1" applyAlignment="1" applyProtection="1">
      <alignment vertical="center"/>
      <protection hidden="1"/>
    </xf>
    <xf numFmtId="0" fontId="11" fillId="11" borderId="21" xfId="0" applyFont="1" applyFill="1" applyBorder="1" applyAlignment="1" applyProtection="1">
      <alignment horizontal="center"/>
      <protection hidden="1"/>
    </xf>
    <xf numFmtId="0" fontId="11" fillId="11" borderId="22" xfId="0" applyFont="1" applyFill="1" applyBorder="1" applyAlignment="1" applyProtection="1">
      <alignment horizontal="center"/>
      <protection hidden="1"/>
    </xf>
    <xf numFmtId="0" fontId="11" fillId="11" borderId="23" xfId="0" applyFont="1" applyFill="1" applyBorder="1" applyAlignment="1" applyProtection="1">
      <alignment horizontal="center"/>
      <protection hidden="1"/>
    </xf>
    <xf numFmtId="0" fontId="11" fillId="11" borderId="51" xfId="0" applyFont="1" applyFill="1" applyBorder="1" applyAlignment="1" applyProtection="1">
      <alignment horizontal="center"/>
      <protection hidden="1"/>
    </xf>
    <xf numFmtId="0" fontId="11" fillId="11" borderId="30" xfId="0" applyFont="1" applyFill="1" applyBorder="1" applyAlignment="1" applyProtection="1">
      <alignment horizontal="center"/>
      <protection hidden="1"/>
    </xf>
    <xf numFmtId="0" fontId="11" fillId="11" borderId="31" xfId="0" applyFont="1" applyFill="1" applyBorder="1" applyAlignment="1" applyProtection="1">
      <alignment horizontal="center"/>
      <protection hidden="1"/>
    </xf>
    <xf numFmtId="0" fontId="11" fillId="11" borderId="32" xfId="0" applyFont="1" applyFill="1" applyBorder="1" applyAlignment="1" applyProtection="1">
      <alignment horizontal="center"/>
      <protection hidden="1"/>
    </xf>
    <xf numFmtId="0" fontId="11" fillId="11" borderId="33" xfId="0" applyFont="1" applyFill="1" applyBorder="1" applyAlignment="1" applyProtection="1">
      <alignment horizontal="center"/>
      <protection hidden="1"/>
    </xf>
    <xf numFmtId="0" fontId="14" fillId="0" borderId="26" xfId="0" applyFont="1" applyBorder="1" applyAlignment="1" applyProtection="1">
      <alignment horizontal="left" vertical="center" wrapText="1"/>
      <protection hidden="1"/>
    </xf>
    <xf numFmtId="0" fontId="12" fillId="0" borderId="29" xfId="0" applyFont="1" applyBorder="1" applyAlignment="1" applyProtection="1">
      <alignment horizontal="left" vertical="center" wrapText="1"/>
      <protection hidden="1"/>
    </xf>
    <xf numFmtId="0" fontId="14" fillId="0" borderId="43" xfId="0" applyFont="1" applyBorder="1" applyAlignment="1" applyProtection="1">
      <alignment horizontal="center" vertical="center" wrapText="1"/>
      <protection hidden="1"/>
    </xf>
    <xf numFmtId="0" fontId="13" fillId="0" borderId="75" xfId="0" applyFont="1" applyBorder="1" applyAlignment="1" applyProtection="1">
      <alignment horizontal="center" vertical="center" wrapText="1"/>
      <protection hidden="1"/>
    </xf>
    <xf numFmtId="0" fontId="14" fillId="0" borderId="75" xfId="0" applyFont="1" applyBorder="1" applyAlignment="1" applyProtection="1">
      <alignment horizontal="center" vertical="center" wrapText="1"/>
      <protection hidden="1"/>
    </xf>
    <xf numFmtId="0" fontId="14" fillId="0" borderId="81" xfId="0" applyFont="1" applyBorder="1" applyAlignment="1" applyProtection="1">
      <alignment horizontal="left" vertical="center" wrapText="1"/>
      <protection hidden="1"/>
    </xf>
    <xf numFmtId="0" fontId="14" fillId="0" borderId="25" xfId="0" applyFont="1" applyBorder="1" applyAlignment="1" applyProtection="1">
      <alignment horizontal="center" vertical="center" wrapText="1"/>
      <protection hidden="1"/>
    </xf>
    <xf numFmtId="0" fontId="14" fillId="0" borderId="35" xfId="0" applyFont="1" applyBorder="1" applyAlignment="1" applyProtection="1">
      <alignment horizontal="left" vertical="center" wrapText="1"/>
      <protection hidden="1"/>
    </xf>
    <xf numFmtId="0" fontId="11" fillId="11" borderId="39" xfId="0" applyFont="1" applyFill="1" applyBorder="1" applyAlignment="1" applyProtection="1">
      <alignment horizontal="center"/>
      <protection hidden="1"/>
    </xf>
    <xf numFmtId="0" fontId="11" fillId="11" borderId="40" xfId="0" applyFont="1" applyFill="1" applyBorder="1" applyAlignment="1" applyProtection="1">
      <alignment horizontal="center"/>
      <protection hidden="1"/>
    </xf>
    <xf numFmtId="0" fontId="11" fillId="11" borderId="41" xfId="0" applyFont="1" applyFill="1" applyBorder="1" applyAlignment="1" applyProtection="1">
      <alignment horizontal="center"/>
      <protection hidden="1"/>
    </xf>
    <xf numFmtId="0" fontId="11" fillId="11" borderId="42" xfId="0" applyFont="1" applyFill="1" applyBorder="1" applyAlignment="1" applyProtection="1">
      <alignment horizontal="center"/>
      <protection hidden="1"/>
    </xf>
    <xf numFmtId="0" fontId="14" fillId="0" borderId="81" xfId="0" applyFont="1" applyBorder="1" applyAlignment="1" applyProtection="1">
      <alignment vertical="center"/>
      <protection hidden="1"/>
    </xf>
    <xf numFmtId="0" fontId="11" fillId="8" borderId="48" xfId="0" applyFont="1" applyFill="1" applyBorder="1" applyAlignment="1" applyProtection="1">
      <alignment horizontal="center"/>
      <protection hidden="1"/>
    </xf>
    <xf numFmtId="0" fontId="11" fillId="8" borderId="49" xfId="0" applyFont="1" applyFill="1" applyBorder="1" applyAlignment="1" applyProtection="1">
      <alignment horizontal="center"/>
      <protection hidden="1"/>
    </xf>
    <xf numFmtId="0" fontId="11" fillId="8" borderId="50" xfId="0" applyFont="1" applyFill="1" applyBorder="1" applyAlignment="1" applyProtection="1">
      <alignment horizontal="center"/>
      <protection hidden="1"/>
    </xf>
    <xf numFmtId="0" fontId="14" fillId="0" borderId="26" xfId="0" applyFont="1" applyBorder="1" applyAlignment="1" applyProtection="1">
      <alignment vertical="center"/>
      <protection hidden="1"/>
    </xf>
    <xf numFmtId="0" fontId="14" fillId="0" borderId="34" xfId="0" applyFont="1" applyBorder="1" applyAlignment="1" applyProtection="1">
      <alignment horizontal="center" vertical="center" wrapText="1"/>
      <protection hidden="1"/>
    </xf>
    <xf numFmtId="0" fontId="14" fillId="0" borderId="35" xfId="0" applyFont="1" applyBorder="1" applyAlignment="1" applyProtection="1">
      <alignment vertical="center"/>
      <protection hidden="1"/>
    </xf>
    <xf numFmtId="0" fontId="14" fillId="0" borderId="82" xfId="0" applyFont="1" applyBorder="1" applyAlignment="1" applyProtection="1">
      <alignment horizontal="center" vertical="center" wrapText="1"/>
      <protection hidden="1"/>
    </xf>
    <xf numFmtId="0" fontId="12" fillId="0" borderId="83" xfId="0" applyFont="1" applyBorder="1" applyProtection="1">
      <protection hidden="1"/>
    </xf>
    <xf numFmtId="0" fontId="12" fillId="0" borderId="84" xfId="0" applyFont="1" applyBorder="1" applyProtection="1">
      <protection hidden="1"/>
    </xf>
    <xf numFmtId="0" fontId="14" fillId="3" borderId="75" xfId="0" applyFont="1" applyFill="1" applyBorder="1" applyAlignment="1" applyProtection="1">
      <alignment horizontal="left" vertical="center" wrapText="1"/>
      <protection hidden="1"/>
    </xf>
    <xf numFmtId="0" fontId="14" fillId="3" borderId="25" xfId="0" applyFont="1" applyFill="1" applyBorder="1" applyAlignment="1" applyProtection="1">
      <alignment horizontal="center"/>
      <protection hidden="1"/>
    </xf>
    <xf numFmtId="0" fontId="14" fillId="3" borderId="26" xfId="0" applyFont="1" applyFill="1" applyBorder="1" applyAlignment="1" applyProtection="1">
      <alignment horizontal="left" vertical="center" wrapText="1"/>
      <protection hidden="1"/>
    </xf>
    <xf numFmtId="0" fontId="14" fillId="3" borderId="29" xfId="0" applyFont="1" applyFill="1" applyBorder="1" applyAlignment="1" applyProtection="1">
      <alignment horizontal="left" vertical="center" wrapText="1"/>
      <protection hidden="1"/>
    </xf>
    <xf numFmtId="0" fontId="14" fillId="3" borderId="71" xfId="0" applyFont="1" applyFill="1" applyBorder="1" applyAlignment="1" applyProtection="1">
      <alignment horizontal="left" vertical="center" wrapText="1"/>
      <protection hidden="1"/>
    </xf>
    <xf numFmtId="0" fontId="13" fillId="0" borderId="79" xfId="0" applyFont="1" applyBorder="1" applyAlignment="1" applyProtection="1">
      <alignment horizontal="center" vertical="center" wrapText="1" textRotation="87"/>
      <protection hidden="1"/>
    </xf>
    <xf numFmtId="0" fontId="13" fillId="0" borderId="43" xfId="0" applyFont="1" applyBorder="1" applyAlignment="1" applyProtection="1">
      <alignment horizontal="center" vertical="center" wrapText="1" textRotation="90"/>
      <protection hidden="1"/>
    </xf>
    <xf numFmtId="0" fontId="12" fillId="0" borderId="25" xfId="0" applyFont="1" applyBorder="1" applyProtection="1">
      <protection hidden="1"/>
    </xf>
    <xf numFmtId="0" fontId="12" fillId="0" borderId="25" xfId="0" applyFont="1" applyBorder="1" applyAlignment="1" applyProtection="1">
      <alignment wrapText="1" textRotation="90"/>
      <protection hidden="1"/>
    </xf>
    <xf numFmtId="1" fontId="14" fillId="0" borderId="35" xfId="0" applyNumberFormat="1" applyFont="1" applyBorder="1" applyAlignment="1" applyProtection="1">
      <alignment vertical="center"/>
      <protection hidden="1"/>
    </xf>
    <xf numFmtId="0" fontId="12" fillId="0" borderId="34" xfId="0" applyFont="1" applyBorder="1" applyProtection="1">
      <protection hidden="1"/>
    </xf>
    <xf numFmtId="0" fontId="12" fillId="0" borderId="34" xfId="0" applyFont="1" applyBorder="1" applyAlignment="1" applyProtection="1">
      <alignment wrapText="1" textRotation="90"/>
      <protection hidden="1"/>
    </xf>
    <xf numFmtId="0" fontId="11" fillId="0" borderId="85" xfId="0" applyFont="1" applyBorder="1" applyAlignment="1" applyProtection="1">
      <alignment horizontal="center"/>
      <protection hidden="1"/>
    </xf>
    <xf numFmtId="0" fontId="11" fillId="0" borderId="86" xfId="0" applyFont="1" applyBorder="1" applyAlignment="1" applyProtection="1">
      <alignment horizontal="center"/>
      <protection hidden="1"/>
    </xf>
    <xf numFmtId="0" fontId="11" fillId="0" borderId="87" xfId="0" applyFont="1" applyBorder="1" applyAlignment="1" applyProtection="1">
      <alignment horizontal="center"/>
      <protection hidden="1"/>
    </xf>
    <xf numFmtId="0" fontId="11" fillId="0" borderId="88" xfId="0" applyFont="1" applyBorder="1" applyAlignment="1" applyProtection="1">
      <alignment horizontal="center"/>
      <protection hidden="1"/>
    </xf>
    <xf numFmtId="0" fontId="11" fillId="0" borderId="89" xfId="0" applyFont="1" applyBorder="1" applyAlignment="1" applyProtection="1">
      <alignment horizontal="center"/>
      <protection hidden="1"/>
    </xf>
    <xf numFmtId="0" fontId="11" fillId="0" borderId="90" xfId="0" applyFont="1" applyBorder="1" applyAlignment="1" applyProtection="1">
      <alignment horizontal="center"/>
      <protection hidden="1"/>
    </xf>
    <xf numFmtId="0" fontId="11" fillId="0" borderId="91" xfId="0" applyFont="1" applyBorder="1" applyAlignment="1" applyProtection="1">
      <alignment horizontal="center"/>
      <protection hidden="1"/>
    </xf>
    <xf numFmtId="0" fontId="11" fillId="0" borderId="92" xfId="0" applyFont="1" applyBorder="1" applyAlignment="1" applyProtection="1">
      <alignment horizontal="center"/>
      <protection hidden="1"/>
    </xf>
    <xf numFmtId="0" fontId="11" fillId="0" borderId="93" xfId="0" applyFont="1" applyBorder="1" applyAlignment="1" applyProtection="1">
      <alignment horizontal="center"/>
      <protection hidden="1"/>
    </xf>
    <xf numFmtId="0" fontId="11" fillId="0" borderId="94" xfId="0" applyFont="1" applyBorder="1" applyAlignment="1" applyProtection="1">
      <alignment horizontal="center"/>
      <protection hidden="1"/>
    </xf>
    <xf numFmtId="0" fontId="11" fillId="0" borderId="95" xfId="0" applyFont="1" applyBorder="1" applyAlignment="1" applyProtection="1">
      <alignment horizontal="center"/>
      <protection hidden="1"/>
    </xf>
    <xf numFmtId="0" fontId="11" fillId="0" borderId="96" xfId="0" applyFont="1" applyBorder="1" applyAlignment="1" applyProtection="1">
      <alignment horizontal="center"/>
      <protection hidden="1"/>
    </xf>
    <xf numFmtId="0" fontId="11" fillId="0" borderId="97" xfId="0" applyFont="1" applyBorder="1" applyAlignment="1" applyProtection="1">
      <alignment horizontal="center"/>
      <protection hidden="1"/>
    </xf>
    <xf numFmtId="0" fontId="11" fillId="0" borderId="98" xfId="0" applyFont="1" applyBorder="1" applyAlignment="1" applyProtection="1">
      <alignment horizontal="center"/>
      <protection hidden="1"/>
    </xf>
    <xf numFmtId="0" fontId="11" fillId="0" borderId="99" xfId="0" applyFont="1" applyBorder="1" applyAlignment="1" applyProtection="1">
      <alignment horizontal="center"/>
      <protection hidden="1"/>
    </xf>
    <xf numFmtId="0" fontId="11" fillId="0" borderId="66" xfId="0" applyFont="1" applyBorder="1" applyAlignment="1" applyProtection="1">
      <alignment horizontal="center"/>
      <protection hidden="1"/>
    </xf>
    <xf numFmtId="0" fontId="12" fillId="0" borderId="100" xfId="0" applyFont="1" applyBorder="1" applyProtection="1">
      <protection hidden="1"/>
    </xf>
    <xf numFmtId="0" fontId="12" fillId="0" borderId="101" xfId="0" applyFont="1" applyBorder="1" applyProtection="1">
      <protection hidden="1"/>
    </xf>
    <xf numFmtId="0" fontId="14" fillId="3" borderId="75" xfId="0" applyFont="1" applyFill="1" applyBorder="1" applyAlignment="1" applyProtection="1">
      <alignment horizontal="left"/>
      <protection hidden="1"/>
    </xf>
    <xf numFmtId="0" fontId="14" fillId="3" borderId="71" xfId="0" applyFont="1" applyFill="1" applyBorder="1" applyAlignment="1" applyProtection="1">
      <alignment horizontal="left"/>
      <protection hidden="1"/>
    </xf>
    <xf numFmtId="0" fontId="13" fillId="3" borderId="102" xfId="0" applyFont="1" applyFill="1" applyBorder="1" applyAlignment="1" applyProtection="1">
      <alignment horizontal="center" vertical="center" wrapText="1"/>
      <protection hidden="1"/>
    </xf>
    <xf numFmtId="0" fontId="14" fillId="3" borderId="103" xfId="0" applyFont="1" applyFill="1" applyBorder="1" applyAlignment="1" applyProtection="1">
      <alignment horizontal="center"/>
      <protection hidden="1"/>
    </xf>
    <xf numFmtId="0" fontId="13" fillId="3" borderId="104" xfId="0" applyFont="1" applyFill="1" applyBorder="1" applyAlignment="1" applyProtection="1">
      <alignment horizontal="center" vertical="center"/>
      <protection hidden="1"/>
    </xf>
    <xf numFmtId="0" fontId="12" fillId="0" borderId="105" xfId="0" applyFont="1" applyBorder="1" applyProtection="1">
      <protection hidden="1"/>
    </xf>
    <xf numFmtId="0" fontId="14" fillId="3" borderId="104" xfId="0" applyFont="1" applyFill="1" applyBorder="1" applyAlignment="1" applyProtection="1">
      <alignment horizontal="left"/>
      <protection hidden="1"/>
    </xf>
    <xf numFmtId="0" fontId="12" fillId="0" borderId="106" xfId="0" applyFont="1" applyBorder="1" applyProtection="1">
      <protection hidden="1"/>
    </xf>
    <xf numFmtId="0" fontId="12" fillId="0" borderId="107" xfId="0" applyFont="1" applyBorder="1" applyProtection="1">
      <protection hidden="1"/>
    </xf>
    <xf numFmtId="0" fontId="11" fillId="8" borderId="108" xfId="0" applyFont="1" applyFill="1" applyBorder="1" applyAlignment="1" applyProtection="1">
      <alignment horizontal="center"/>
      <protection hidden="1"/>
    </xf>
    <xf numFmtId="0" fontId="11" fillId="8" borderId="109" xfId="0" applyFont="1" applyFill="1" applyBorder="1" applyAlignment="1" applyProtection="1">
      <alignment horizontal="center"/>
      <protection hidden="1"/>
    </xf>
    <xf numFmtId="0" fontId="11" fillId="8" borderId="110" xfId="0" applyFont="1" applyFill="1" applyBorder="1" applyAlignment="1" applyProtection="1">
      <alignment horizontal="center"/>
      <protection hidden="1"/>
    </xf>
    <xf numFmtId="0" fontId="11" fillId="8" borderId="111" xfId="0" applyFont="1" applyFill="1" applyBorder="1" applyAlignment="1" applyProtection="1">
      <alignment horizontal="center"/>
      <protection hidden="1"/>
    </xf>
    <xf numFmtId="0" fontId="10" fillId="2" borderId="112" xfId="0" applyFont="1" applyFill="1" applyBorder="1" applyAlignment="1" applyProtection="1">
      <alignment horizontal="center" vertical="center" wrapText="1" textRotation="90"/>
      <protection hidden="1"/>
    </xf>
    <xf numFmtId="0" fontId="10" fillId="12" borderId="10" xfId="0" applyFont="1" applyFill="1" applyBorder="1" applyAlignment="1" applyProtection="1">
      <alignment horizontal="center" vertical="center" wrapText="1" textRotation="90"/>
      <protection hidden="1"/>
    </xf>
    <xf numFmtId="0" fontId="14" fillId="3" borderId="81" xfId="0" applyFont="1" applyFill="1" applyBorder="1" applyAlignment="1" applyProtection="1">
      <alignment horizontal="left"/>
      <protection hidden="1"/>
    </xf>
    <xf numFmtId="0" fontId="10" fillId="12" borderId="14" xfId="0" applyFont="1" applyFill="1" applyBorder="1" applyAlignment="1" applyProtection="1">
      <alignment horizontal="center" vertical="center" wrapText="1" textRotation="90"/>
      <protection hidden="1"/>
    </xf>
    <xf numFmtId="0" fontId="14" fillId="3" borderId="26" xfId="0" applyFont="1" applyFill="1" applyBorder="1" applyAlignment="1" applyProtection="1">
      <alignment horizontal="left"/>
      <protection hidden="1"/>
    </xf>
    <xf numFmtId="0" fontId="14" fillId="3" borderId="35" xfId="0" applyFont="1" applyFill="1" applyBorder="1" applyAlignment="1" applyProtection="1">
      <alignment horizontal="left"/>
      <protection hidden="1"/>
    </xf>
    <xf numFmtId="0" fontId="14" fillId="3" borderId="104" xfId="0" applyFont="1" applyFill="1" applyBorder="1" applyAlignment="1" applyProtection="1">
      <alignment horizontal="left" vertical="center"/>
      <protection hidden="1"/>
    </xf>
    <xf numFmtId="0" fontId="14" fillId="3" borderId="113" xfId="0" applyFont="1" applyFill="1" applyBorder="1" applyAlignment="1" applyProtection="1">
      <alignment horizontal="left"/>
      <protection hidden="1"/>
    </xf>
    <xf numFmtId="0" fontId="11" fillId="8" borderId="114" xfId="0" applyFont="1" applyFill="1" applyBorder="1" applyAlignment="1" applyProtection="1">
      <alignment horizontal="center"/>
      <protection hidden="1"/>
    </xf>
    <xf numFmtId="0" fontId="11" fillId="8" borderId="115" xfId="0" applyFont="1" applyFill="1" applyBorder="1" applyAlignment="1" applyProtection="1">
      <alignment horizontal="center"/>
      <protection hidden="1"/>
    </xf>
    <xf numFmtId="0" fontId="11" fillId="8" borderId="116" xfId="0" applyFont="1" applyFill="1" applyBorder="1" applyAlignment="1" applyProtection="1">
      <alignment horizontal="center"/>
      <protection hidden="1"/>
    </xf>
    <xf numFmtId="0" fontId="11" fillId="0" borderId="114" xfId="0" applyFont="1" applyBorder="1" applyAlignment="1" applyProtection="1">
      <alignment horizontal="center"/>
      <protection hidden="1"/>
    </xf>
    <xf numFmtId="0" fontId="11" fillId="0" borderId="115" xfId="0" applyFont="1" applyBorder="1" applyAlignment="1" applyProtection="1">
      <alignment horizontal="center"/>
      <protection hidden="1"/>
    </xf>
    <xf numFmtId="0" fontId="11" fillId="0" borderId="116" xfId="0" applyFont="1" applyBorder="1" applyAlignment="1" applyProtection="1">
      <alignment horizontal="center"/>
      <protection hidden="1"/>
    </xf>
    <xf numFmtId="0" fontId="11" fillId="0" borderId="111" xfId="0" applyFont="1" applyBorder="1" applyAlignment="1" applyProtection="1">
      <alignment horizontal="center"/>
      <protection hidden="1"/>
    </xf>
    <xf numFmtId="0" fontId="11" fillId="0" borderId="117" xfId="0" applyFont="1" applyBorder="1" applyAlignment="1" applyProtection="1">
      <alignment horizontal="center"/>
      <protection hidden="1"/>
    </xf>
    <xf numFmtId="0" fontId="11" fillId="0" borderId="118" xfId="0" applyFont="1" applyBorder="1" applyAlignment="1" applyProtection="1">
      <alignment horizontal="center"/>
      <protection hidden="1"/>
    </xf>
    <xf numFmtId="0" fontId="11" fillId="0" borderId="119" xfId="0" applyFont="1" applyBorder="1" applyAlignment="1" applyProtection="1">
      <alignment horizontal="center"/>
      <protection hidden="1"/>
    </xf>
    <xf numFmtId="0" fontId="10" fillId="12" borderId="112" xfId="0" applyFont="1" applyFill="1" applyBorder="1" applyAlignment="1" applyProtection="1">
      <alignment horizontal="center" vertical="center" wrapText="1" textRotation="90"/>
      <protection hidden="1"/>
    </xf>
    <xf numFmtId="0" fontId="15" fillId="9" borderId="120" xfId="0" applyFont="1" applyFill="1" applyBorder="1" applyAlignment="1" applyProtection="1">
      <alignment horizontal="center" vertical="center" wrapText="1"/>
      <protection hidden="1"/>
    </xf>
    <xf numFmtId="0" fontId="0" fillId="2" borderId="120" xfId="0" applyFill="1" applyBorder="1" applyProtection="1">
      <protection hidden="1"/>
    </xf>
    <xf numFmtId="0" fontId="0" fillId="2" borderId="9" xfId="0" applyFill="1" applyBorder="1" applyProtection="1">
      <protection hidden="1"/>
    </xf>
    <xf numFmtId="0" fontId="15" fillId="9" borderId="9" xfId="0" applyFont="1" applyFill="1" applyBorder="1" applyAlignment="1" applyProtection="1">
      <alignment horizontal="center"/>
      <protection hidden="1"/>
    </xf>
    <xf numFmtId="0" fontId="16" fillId="13" borderId="121" xfId="0" applyFont="1" applyFill="1" applyBorder="1" applyAlignment="1" applyProtection="1">
      <alignment horizontal="center" vertical="center" textRotation="90"/>
      <protection hidden="1"/>
    </xf>
    <xf numFmtId="0" fontId="13" fillId="0" borderId="43" xfId="0" applyFont="1" applyBorder="1" applyAlignment="1" applyProtection="1">
      <alignment horizontal="center" vertical="center" wrapText="1"/>
      <protection hidden="1"/>
    </xf>
    <xf numFmtId="0" fontId="14" fillId="0" borderId="44" xfId="0" applyFont="1" applyBorder="1" applyAlignment="1" applyProtection="1">
      <alignment horizontal="left"/>
      <protection hidden="1"/>
    </xf>
    <xf numFmtId="0" fontId="17" fillId="14" borderId="16" xfId="0" applyFont="1" applyFill="1" applyBorder="1" applyAlignment="1" applyProtection="1">
      <alignment horizontal="center"/>
      <protection hidden="1"/>
    </xf>
    <xf numFmtId="0" fontId="17" fillId="14" borderId="122" xfId="0" applyFont="1" applyFill="1" applyBorder="1" applyAlignment="1" applyProtection="1">
      <alignment horizontal="center"/>
      <protection hidden="1"/>
    </xf>
    <xf numFmtId="0" fontId="18" fillId="15" borderId="43" xfId="0" applyFont="1" applyFill="1" applyBorder="1" applyAlignment="1" applyProtection="1">
      <alignment horizontal="center"/>
      <protection hidden="1"/>
    </xf>
    <xf numFmtId="0" fontId="0" fillId="0" borderId="123" xfId="0" applyBorder="1" applyProtection="1">
      <protection hidden="1"/>
    </xf>
    <xf numFmtId="0" fontId="14" fillId="0" borderId="124" xfId="0" applyFont="1" applyBorder="1" applyAlignment="1" applyProtection="1">
      <alignment horizontal="left"/>
      <protection hidden="1"/>
    </xf>
    <xf numFmtId="0" fontId="17" fillId="14" borderId="25" xfId="0" applyFont="1" applyFill="1" applyBorder="1" applyAlignment="1" applyProtection="1">
      <alignment horizontal="center"/>
      <protection hidden="1"/>
    </xf>
    <xf numFmtId="0" fontId="17" fillId="14" borderId="26" xfId="0" applyFont="1" applyFill="1" applyBorder="1" applyAlignment="1" applyProtection="1">
      <alignment horizontal="center"/>
      <protection hidden="1"/>
    </xf>
    <xf numFmtId="0" fontId="18" fillId="15" borderId="25" xfId="0" applyFont="1" applyFill="1" applyBorder="1" applyAlignment="1" applyProtection="1">
      <alignment horizontal="center"/>
      <protection hidden="1"/>
    </xf>
    <xf numFmtId="0" fontId="14" fillId="0" borderId="125" xfId="0" applyFont="1" applyBorder="1" applyAlignment="1" applyProtection="1">
      <alignment horizontal="left"/>
      <protection hidden="1"/>
    </xf>
    <xf numFmtId="0" fontId="17" fillId="14" borderId="34" xfId="0" applyFont="1" applyFill="1" applyBorder="1" applyAlignment="1" applyProtection="1">
      <alignment horizontal="center"/>
      <protection hidden="1"/>
    </xf>
    <xf numFmtId="0" fontId="17" fillId="14" borderId="35" xfId="0" applyFont="1" applyFill="1" applyBorder="1" applyAlignment="1" applyProtection="1">
      <alignment horizontal="center"/>
      <protection hidden="1"/>
    </xf>
    <xf numFmtId="0" fontId="18" fillId="15" borderId="34" xfId="0" applyFont="1" applyFill="1" applyBorder="1" applyAlignment="1" applyProtection="1">
      <alignment horizontal="center"/>
      <protection hidden="1"/>
    </xf>
    <xf numFmtId="0" fontId="17" fillId="14" borderId="43" xfId="0" applyFont="1" applyFill="1" applyBorder="1" applyAlignment="1" applyProtection="1">
      <alignment horizontal="center"/>
      <protection hidden="1"/>
    </xf>
    <xf numFmtId="0" fontId="17" fillId="14" borderId="81" xfId="0" applyFont="1" applyFill="1" applyBorder="1" applyAlignment="1" applyProtection="1">
      <alignment horizontal="center"/>
      <protection hidden="1"/>
    </xf>
    <xf numFmtId="0" fontId="0" fillId="0" borderId="126" xfId="0" applyBorder="1" applyProtection="1">
      <protection hidden="1"/>
    </xf>
    <xf numFmtId="0" fontId="17" fillId="14" borderId="52" xfId="0" applyFont="1" applyFill="1" applyBorder="1" applyAlignment="1" applyProtection="1">
      <alignment horizontal="center"/>
      <protection hidden="1"/>
    </xf>
    <xf numFmtId="0" fontId="17" fillId="14" borderId="53" xfId="0" applyFont="1" applyFill="1" applyBorder="1" applyAlignment="1" applyProtection="1">
      <alignment horizontal="center"/>
      <protection hidden="1"/>
    </xf>
    <xf numFmtId="0" fontId="10" fillId="15" borderId="103" xfId="0" applyFont="1" applyFill="1" applyBorder="1" applyAlignment="1" applyProtection="1">
      <alignment horizontal="right"/>
      <protection hidden="1"/>
    </xf>
    <xf numFmtId="0" fontId="10" fillId="15" borderId="103" xfId="0" applyFont="1" applyFill="1" applyBorder="1" applyAlignment="1" applyProtection="1">
      <alignment horizontal="center"/>
      <protection hidden="1"/>
    </xf>
    <xf numFmtId="0" fontId="19" fillId="0" borderId="127" xfId="0" applyFont="1" applyBorder="1" applyAlignment="1" applyProtection="1">
      <alignment horizontal="right" vertical="center"/>
      <protection hidden="1"/>
    </xf>
    <xf numFmtId="0" fontId="19" fillId="0" borderId="128" xfId="0" applyFont="1" applyBorder="1" applyAlignment="1" applyProtection="1">
      <alignment horizontal="center" vertical="center"/>
      <protection hidden="1"/>
    </xf>
    <xf numFmtId="164" fontId="19" fillId="0" borderId="128" xfId="0" applyNumberFormat="1" applyFont="1" applyBorder="1" applyAlignment="1" applyProtection="1">
      <alignment horizontal="center" vertical="center"/>
      <protection hidden="1"/>
    </xf>
    <xf numFmtId="0" fontId="19" fillId="0" borderId="129" xfId="0" applyFont="1" applyBorder="1" applyAlignment="1" applyProtection="1">
      <alignment horizontal="center" vertical="center"/>
      <protection hidden="1"/>
    </xf>
    <xf numFmtId="0" fontId="20" fillId="5" borderId="130" xfId="0" applyFont="1" applyFill="1" applyBorder="1" applyAlignment="1" applyProtection="1">
      <alignment horizontal="center" vertical="center" wrapText="1"/>
      <protection hidden="1"/>
    </xf>
    <xf numFmtId="0" fontId="10" fillId="4" borderId="131" xfId="0" applyFont="1" applyFill="1" applyBorder="1" applyAlignment="1" applyProtection="1">
      <alignment horizontal="center" vertical="center" wrapText="1" textRotation="90"/>
      <protection hidden="1"/>
    </xf>
    <xf numFmtId="0" fontId="21" fillId="2" borderId="132" xfId="0" applyFont="1" applyFill="1" applyBorder="1" applyAlignment="1" applyProtection="1">
      <alignment horizontal="center" vertical="center" wrapText="1" textRotation="90"/>
      <protection hidden="1"/>
    </xf>
    <xf numFmtId="0" fontId="21" fillId="2" borderId="133" xfId="0" applyFont="1" applyFill="1" applyBorder="1" applyAlignment="1" applyProtection="1">
      <alignment horizontal="center" vertical="center" wrapText="1" textRotation="90"/>
      <protection hidden="1"/>
    </xf>
    <xf numFmtId="0" fontId="22" fillId="16" borderId="134" xfId="0" applyFont="1" applyFill="1" applyBorder="1" applyAlignment="1" applyProtection="1">
      <alignment horizontal="center" vertical="center"/>
      <protection hidden="1"/>
    </xf>
    <xf numFmtId="0" fontId="22" fillId="16" borderId="135" xfId="0" applyFont="1" applyFill="1" applyBorder="1" applyAlignment="1" applyProtection="1">
      <alignment horizontal="center" vertical="center"/>
      <protection hidden="1"/>
    </xf>
    <xf numFmtId="0" fontId="22" fillId="16" borderId="136" xfId="0" applyFont="1" applyFill="1" applyBorder="1" applyAlignment="1" applyProtection="1">
      <alignment horizontal="center" vertical="center"/>
      <protection hidden="1"/>
    </xf>
    <xf numFmtId="0" fontId="21" fillId="2" borderId="0" xfId="0" applyFont="1" applyFill="1" applyAlignment="1" applyProtection="1">
      <alignment horizontal="center" vertical="center" wrapText="1" textRotation="90"/>
      <protection hidden="1"/>
    </xf>
    <xf numFmtId="0" fontId="21" fillId="2" borderId="137" xfId="0" applyFont="1" applyFill="1" applyBorder="1" applyAlignment="1" applyProtection="1">
      <alignment horizontal="center" vertical="center" wrapText="1" textRotation="90"/>
      <protection hidden="1"/>
    </xf>
    <xf numFmtId="0" fontId="10" fillId="17" borderId="138" xfId="0" applyFont="1" applyFill="1" applyBorder="1" applyAlignment="1" applyProtection="1">
      <alignment horizontal="left"/>
      <protection hidden="1"/>
    </xf>
    <xf numFmtId="0" fontId="23" fillId="18" borderId="139" xfId="0" applyFont="1" applyFill="1" applyBorder="1" applyAlignment="1" applyProtection="1">
      <alignment horizontal="center"/>
      <protection hidden="1"/>
    </xf>
    <xf numFmtId="0" fontId="23" fillId="18" borderId="140" xfId="0" applyFont="1" applyFill="1" applyBorder="1" applyAlignment="1" applyProtection="1">
      <alignment horizontal="center"/>
      <protection hidden="1"/>
    </xf>
    <xf numFmtId="0" fontId="23" fillId="18" borderId="141" xfId="0" applyFont="1" applyFill="1" applyBorder="1" applyAlignment="1" applyProtection="1">
      <alignment horizontal="center"/>
      <protection hidden="1"/>
    </xf>
    <xf numFmtId="0" fontId="15" fillId="19" borderId="142" xfId="0" applyFont="1" applyFill="1" applyBorder="1" applyAlignment="1" applyProtection="1">
      <alignment horizontal="center"/>
      <protection hidden="1"/>
    </xf>
    <xf numFmtId="0" fontId="10" fillId="20" borderId="143" xfId="0" applyFont="1" applyFill="1" applyBorder="1" applyAlignment="1" applyProtection="1">
      <alignment horizontal="left"/>
      <protection hidden="1"/>
    </xf>
    <xf numFmtId="0" fontId="23" fillId="21" borderId="144" xfId="0" applyFont="1" applyFill="1" applyBorder="1" applyAlignment="1" applyProtection="1">
      <alignment horizontal="center"/>
      <protection hidden="1"/>
    </xf>
    <xf numFmtId="0" fontId="23" fillId="21" borderId="145" xfId="0" applyFont="1" applyFill="1" applyBorder="1" applyAlignment="1" applyProtection="1">
      <alignment horizontal="center"/>
      <protection hidden="1"/>
    </xf>
    <xf numFmtId="0" fontId="23" fillId="21" borderId="146" xfId="0" applyFont="1" applyFill="1" applyBorder="1" applyAlignment="1" applyProtection="1">
      <alignment horizontal="center"/>
      <protection hidden="1"/>
    </xf>
    <xf numFmtId="0" fontId="15" fillId="19" borderId="147" xfId="0" applyFont="1" applyFill="1" applyBorder="1" applyAlignment="1" applyProtection="1">
      <alignment horizontal="center"/>
      <protection hidden="1"/>
    </xf>
    <xf numFmtId="0" fontId="10" fillId="22" borderId="143" xfId="0" applyFont="1" applyFill="1" applyBorder="1" applyAlignment="1" applyProtection="1">
      <alignment horizontal="left"/>
      <protection hidden="1"/>
    </xf>
    <xf numFmtId="0" fontId="23" fillId="23" borderId="144" xfId="0" applyFont="1" applyFill="1" applyBorder="1" applyAlignment="1" applyProtection="1">
      <alignment horizontal="center"/>
      <protection hidden="1"/>
    </xf>
    <xf numFmtId="0" fontId="23" fillId="23" borderId="145" xfId="0" applyFont="1" applyFill="1" applyBorder="1" applyAlignment="1" applyProtection="1">
      <alignment horizontal="center"/>
      <protection hidden="1"/>
    </xf>
    <xf numFmtId="0" fontId="23" fillId="23" borderId="146" xfId="0" applyFont="1" applyFill="1" applyBorder="1" applyAlignment="1" applyProtection="1">
      <alignment horizontal="center"/>
      <protection hidden="1"/>
    </xf>
    <xf numFmtId="0" fontId="17" fillId="24" borderId="143" xfId="0" applyFont="1" applyFill="1" applyBorder="1" applyAlignment="1" applyProtection="1">
      <alignment horizontal="left"/>
      <protection hidden="1"/>
    </xf>
    <xf numFmtId="0" fontId="23" fillId="25" borderId="144" xfId="0" applyFont="1" applyFill="1" applyBorder="1" applyAlignment="1" applyProtection="1">
      <alignment horizontal="center"/>
      <protection hidden="1"/>
    </xf>
    <xf numFmtId="0" fontId="23" fillId="25" borderId="145" xfId="0" applyFont="1" applyFill="1" applyBorder="1" applyAlignment="1" applyProtection="1">
      <alignment horizontal="center"/>
      <protection hidden="1"/>
    </xf>
    <xf numFmtId="0" fontId="23" fillId="25" borderId="146" xfId="0" applyFont="1" applyFill="1" applyBorder="1" applyAlignment="1" applyProtection="1">
      <alignment horizontal="center"/>
      <protection hidden="1"/>
    </xf>
    <xf numFmtId="0" fontId="10" fillId="26" borderId="143" xfId="0" applyFont="1" applyFill="1" applyBorder="1" applyAlignment="1" applyProtection="1">
      <alignment horizontal="left"/>
      <protection hidden="1"/>
    </xf>
    <xf numFmtId="0" fontId="23" fillId="27" borderId="144" xfId="0" applyFont="1" applyFill="1" applyBorder="1" applyAlignment="1" applyProtection="1">
      <alignment horizontal="center"/>
      <protection hidden="1"/>
    </xf>
    <xf numFmtId="0" fontId="23" fillId="27" borderId="145" xfId="0" applyFont="1" applyFill="1" applyBorder="1" applyAlignment="1" applyProtection="1">
      <alignment horizontal="center"/>
      <protection hidden="1"/>
    </xf>
    <xf numFmtId="0" fontId="23" fillId="27" borderId="146" xfId="0" applyFont="1" applyFill="1" applyBorder="1" applyAlignment="1" applyProtection="1">
      <alignment horizontal="center"/>
      <protection hidden="1"/>
    </xf>
    <xf numFmtId="0" fontId="10" fillId="28" borderId="143" xfId="0" applyFont="1" applyFill="1" applyBorder="1" applyAlignment="1" applyProtection="1">
      <alignment horizontal="left"/>
      <protection hidden="1"/>
    </xf>
    <xf numFmtId="0" fontId="23" fillId="29" borderId="144" xfId="0" applyFont="1" applyFill="1" applyBorder="1" applyAlignment="1" applyProtection="1">
      <alignment horizontal="center"/>
      <protection hidden="1"/>
    </xf>
    <xf numFmtId="0" fontId="23" fillId="29" borderId="145" xfId="0" applyFont="1" applyFill="1" applyBorder="1" applyAlignment="1" applyProtection="1">
      <alignment horizontal="center"/>
      <protection hidden="1"/>
    </xf>
    <xf numFmtId="0" fontId="23" fillId="29" borderId="146" xfId="0" applyFont="1" applyFill="1" applyBorder="1" applyAlignment="1" applyProtection="1">
      <alignment horizontal="center"/>
      <protection hidden="1"/>
    </xf>
    <xf numFmtId="0" fontId="10" fillId="30" borderId="143" xfId="0" applyFont="1" applyFill="1" applyBorder="1" applyAlignment="1" applyProtection="1">
      <alignment horizontal="left"/>
      <protection hidden="1"/>
    </xf>
    <xf numFmtId="0" fontId="23" fillId="31" borderId="144" xfId="0" applyFont="1" applyFill="1" applyBorder="1" applyAlignment="1" applyProtection="1">
      <alignment horizontal="center"/>
      <protection hidden="1"/>
    </xf>
    <xf numFmtId="0" fontId="23" fillId="31" borderId="145" xfId="0" applyFont="1" applyFill="1" applyBorder="1" applyAlignment="1" applyProtection="1">
      <alignment horizontal="center"/>
      <protection hidden="1"/>
    </xf>
    <xf numFmtId="0" fontId="23" fillId="31" borderId="146" xfId="0" applyFont="1" applyFill="1" applyBorder="1" applyAlignment="1" applyProtection="1">
      <alignment horizontal="center"/>
      <protection hidden="1"/>
    </xf>
    <xf numFmtId="0" fontId="10" fillId="32" borderId="143" xfId="0" applyFont="1" applyFill="1" applyBorder="1" applyAlignment="1" applyProtection="1">
      <alignment horizontal="left"/>
      <protection hidden="1"/>
    </xf>
    <xf numFmtId="0" fontId="23" fillId="33" borderId="144" xfId="0" applyFont="1" applyFill="1" applyBorder="1" applyAlignment="1" applyProtection="1">
      <alignment horizontal="center"/>
      <protection hidden="1"/>
    </xf>
    <xf numFmtId="0" fontId="23" fillId="33" borderId="145" xfId="0" applyFont="1" applyFill="1" applyBorder="1" applyAlignment="1" applyProtection="1">
      <alignment horizontal="center"/>
      <protection hidden="1"/>
    </xf>
    <xf numFmtId="0" fontId="23" fillId="33" borderId="146" xfId="0" applyFont="1" applyFill="1" applyBorder="1" applyAlignment="1" applyProtection="1">
      <alignment horizontal="center"/>
      <protection hidden="1"/>
    </xf>
    <xf numFmtId="0" fontId="17" fillId="34" borderId="143" xfId="0" applyFont="1" applyFill="1" applyBorder="1" applyAlignment="1" applyProtection="1">
      <alignment horizontal="left"/>
      <protection hidden="1"/>
    </xf>
    <xf numFmtId="0" fontId="23" fillId="35" borderId="144" xfId="0" applyFont="1" applyFill="1" applyBorder="1" applyAlignment="1" applyProtection="1">
      <alignment horizontal="center"/>
      <protection hidden="1"/>
    </xf>
    <xf numFmtId="0" fontId="23" fillId="35" borderId="145" xfId="0" applyFont="1" applyFill="1" applyBorder="1" applyAlignment="1" applyProtection="1">
      <alignment horizontal="center"/>
      <protection hidden="1"/>
    </xf>
    <xf numFmtId="0" fontId="23" fillId="35" borderId="146" xfId="0" applyFont="1" applyFill="1" applyBorder="1" applyAlignment="1" applyProtection="1">
      <alignment horizontal="center"/>
      <protection hidden="1"/>
    </xf>
    <xf numFmtId="0" fontId="10" fillId="36" borderId="143" xfId="0" applyFont="1" applyFill="1" applyBorder="1" applyAlignment="1" applyProtection="1">
      <alignment horizontal="left"/>
      <protection hidden="1"/>
    </xf>
    <xf numFmtId="0" fontId="23" fillId="37" borderId="144" xfId="0" applyFont="1" applyFill="1" applyBorder="1" applyAlignment="1" applyProtection="1">
      <alignment horizontal="center"/>
      <protection hidden="1"/>
    </xf>
    <xf numFmtId="0" fontId="23" fillId="37" borderId="145" xfId="0" applyFont="1" applyFill="1" applyBorder="1" applyAlignment="1" applyProtection="1">
      <alignment horizontal="center"/>
      <protection hidden="1"/>
    </xf>
    <xf numFmtId="0" fontId="23" fillId="37" borderId="146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17" fillId="38" borderId="143" xfId="0" applyFont="1" applyFill="1" applyBorder="1" applyAlignment="1" applyProtection="1">
      <alignment horizontal="left" vertical="center"/>
      <protection hidden="1"/>
    </xf>
    <xf numFmtId="0" fontId="23" fillId="39" borderId="144" xfId="0" applyFont="1" applyFill="1" applyBorder="1" applyAlignment="1" applyProtection="1">
      <alignment horizontal="center"/>
      <protection hidden="1"/>
    </xf>
    <xf numFmtId="0" fontId="23" fillId="39" borderId="145" xfId="0" applyFont="1" applyFill="1" applyBorder="1" applyAlignment="1" applyProtection="1">
      <alignment horizontal="center"/>
      <protection hidden="1"/>
    </xf>
    <xf numFmtId="0" fontId="23" fillId="39" borderId="146" xfId="0" applyFont="1" applyFill="1" applyBorder="1" applyAlignment="1" applyProtection="1">
      <alignment horizontal="center"/>
      <protection hidden="1"/>
    </xf>
    <xf numFmtId="0" fontId="17" fillId="40" borderId="143" xfId="0" applyFont="1" applyFill="1" applyBorder="1" applyAlignment="1" applyProtection="1">
      <alignment horizontal="left"/>
      <protection hidden="1"/>
    </xf>
    <xf numFmtId="0" fontId="23" fillId="40" borderId="144" xfId="0" applyFont="1" applyFill="1" applyBorder="1" applyAlignment="1" applyProtection="1">
      <alignment horizontal="center"/>
      <protection hidden="1"/>
    </xf>
    <xf numFmtId="0" fontId="23" fillId="40" borderId="145" xfId="0" applyFont="1" applyFill="1" applyBorder="1" applyAlignment="1" applyProtection="1">
      <alignment horizontal="center"/>
      <protection hidden="1"/>
    </xf>
    <xf numFmtId="0" fontId="23" fillId="40" borderId="146" xfId="0" applyFont="1" applyFill="1" applyBorder="1" applyAlignment="1" applyProtection="1">
      <alignment horizontal="center"/>
      <protection hidden="1"/>
    </xf>
    <xf numFmtId="0" fontId="24" fillId="41" borderId="143" xfId="0" applyFont="1" applyFill="1" applyBorder="1" applyAlignment="1" applyProtection="1">
      <alignment horizontal="left"/>
      <protection hidden="1"/>
    </xf>
    <xf numFmtId="0" fontId="23" fillId="42" borderId="144" xfId="0" applyFont="1" applyFill="1" applyBorder="1" applyAlignment="1" applyProtection="1">
      <alignment horizontal="center"/>
      <protection hidden="1"/>
    </xf>
    <xf numFmtId="0" fontId="23" fillId="42" borderId="145" xfId="0" applyFont="1" applyFill="1" applyBorder="1" applyAlignment="1" applyProtection="1">
      <alignment horizontal="center"/>
      <protection hidden="1"/>
    </xf>
    <xf numFmtId="0" fontId="23" fillId="42" borderId="146" xfId="0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left"/>
      <protection hidden="1"/>
    </xf>
    <xf numFmtId="0" fontId="10" fillId="43" borderId="143" xfId="0" applyFont="1" applyFill="1" applyBorder="1" applyAlignment="1" applyProtection="1">
      <alignment horizontal="left"/>
      <protection hidden="1"/>
    </xf>
    <xf numFmtId="0" fontId="23" fillId="44" borderId="144" xfId="0" applyFont="1" applyFill="1" applyBorder="1" applyAlignment="1" applyProtection="1">
      <alignment horizontal="center"/>
      <protection hidden="1"/>
    </xf>
    <xf numFmtId="0" fontId="23" fillId="44" borderId="145" xfId="0" applyFont="1" applyFill="1" applyBorder="1" applyAlignment="1" applyProtection="1">
      <alignment horizontal="center"/>
      <protection hidden="1"/>
    </xf>
    <xf numFmtId="0" fontId="23" fillId="44" borderId="146" xfId="0" applyFont="1" applyFill="1" applyBorder="1" applyAlignment="1" applyProtection="1">
      <alignment horizontal="center"/>
      <protection hidden="1"/>
    </xf>
    <xf numFmtId="0" fontId="10" fillId="45" borderId="143" xfId="0" applyFont="1" applyFill="1" applyBorder="1" applyAlignment="1" applyProtection="1">
      <alignment horizontal="left"/>
      <protection hidden="1"/>
    </xf>
    <xf numFmtId="0" fontId="23" fillId="46" borderId="144" xfId="0" applyFont="1" applyFill="1" applyBorder="1" applyAlignment="1" applyProtection="1">
      <alignment horizontal="center"/>
      <protection hidden="1"/>
    </xf>
    <xf numFmtId="0" fontId="23" fillId="46" borderId="145" xfId="0" applyFont="1" applyFill="1" applyBorder="1" applyAlignment="1" applyProtection="1">
      <alignment horizontal="center"/>
      <protection hidden="1"/>
    </xf>
    <xf numFmtId="0" fontId="23" fillId="46" borderId="146" xfId="0" applyFont="1" applyFill="1" applyBorder="1" applyAlignment="1" applyProtection="1">
      <alignment horizontal="center"/>
      <protection hidden="1"/>
    </xf>
    <xf numFmtId="0" fontId="17" fillId="47" borderId="143" xfId="0" applyFont="1" applyFill="1" applyBorder="1" applyAlignment="1" applyProtection="1">
      <alignment horizontal="left"/>
      <protection hidden="1"/>
    </xf>
    <xf numFmtId="0" fontId="23" fillId="48" borderId="144" xfId="0" applyFont="1" applyFill="1" applyBorder="1" applyAlignment="1" applyProtection="1">
      <alignment horizontal="center"/>
      <protection hidden="1"/>
    </xf>
    <xf numFmtId="0" fontId="23" fillId="48" borderId="145" xfId="0" applyFont="1" applyFill="1" applyBorder="1" applyAlignment="1" applyProtection="1">
      <alignment horizontal="center"/>
      <protection hidden="1"/>
    </xf>
    <xf numFmtId="0" fontId="23" fillId="48" borderId="146" xfId="0" applyFont="1" applyFill="1" applyBorder="1" applyAlignment="1" applyProtection="1">
      <alignment horizontal="center"/>
      <protection hidden="1"/>
    </xf>
    <xf numFmtId="0" fontId="17" fillId="49" borderId="143" xfId="0" applyFont="1" applyFill="1" applyBorder="1" applyAlignment="1" applyProtection="1">
      <alignment horizontal="left"/>
      <protection hidden="1"/>
    </xf>
    <xf numFmtId="0" fontId="23" fillId="50" borderId="144" xfId="0" applyFont="1" applyFill="1" applyBorder="1" applyAlignment="1" applyProtection="1">
      <alignment horizontal="center"/>
      <protection hidden="1"/>
    </xf>
    <xf numFmtId="0" fontId="23" fillId="50" borderId="145" xfId="0" applyFont="1" applyFill="1" applyBorder="1" applyAlignment="1" applyProtection="1">
      <alignment horizontal="center"/>
      <protection hidden="1"/>
    </xf>
    <xf numFmtId="0" fontId="23" fillId="50" borderId="146" xfId="0" applyFont="1" applyFill="1" applyBorder="1" applyAlignment="1" applyProtection="1">
      <alignment horizontal="center"/>
      <protection hidden="1"/>
    </xf>
    <xf numFmtId="0" fontId="10" fillId="51" borderId="148" xfId="0" applyFont="1" applyFill="1" applyBorder="1" applyAlignment="1" applyProtection="1">
      <alignment horizontal="left"/>
      <protection hidden="1"/>
    </xf>
    <xf numFmtId="0" fontId="23" fillId="52" borderId="149" xfId="0" applyFont="1" applyFill="1" applyBorder="1" applyAlignment="1" applyProtection="1">
      <alignment horizontal="center"/>
      <protection hidden="1"/>
    </xf>
    <xf numFmtId="0" fontId="23" fillId="52" borderId="150" xfId="0" applyFont="1" applyFill="1" applyBorder="1" applyAlignment="1" applyProtection="1">
      <alignment horizontal="center"/>
      <protection hidden="1"/>
    </xf>
    <xf numFmtId="0" fontId="23" fillId="52" borderId="151" xfId="0" applyFont="1" applyFill="1" applyBorder="1" applyAlignment="1" applyProtection="1">
      <alignment horizontal="center"/>
      <protection hidden="1"/>
    </xf>
    <xf numFmtId="0" fontId="15" fillId="19" borderId="152" xfId="0" applyFont="1" applyFill="1" applyBorder="1" applyAlignment="1" applyProtection="1">
      <alignment horizontal="center"/>
      <protection hidden="1"/>
    </xf>
    <xf numFmtId="0" fontId="22" fillId="16" borderId="153" xfId="0" applyFont="1" applyFill="1" applyBorder="1" applyAlignment="1" applyProtection="1">
      <alignment horizontal="center" vertical="center"/>
      <protection hidden="1"/>
    </xf>
    <xf numFmtId="0" fontId="22" fillId="16" borderId="154" xfId="0" applyFont="1" applyFill="1" applyBorder="1" applyAlignment="1" applyProtection="1">
      <alignment horizontal="center" vertical="center"/>
      <protection hidden="1"/>
    </xf>
    <xf numFmtId="0" fontId="22" fillId="16" borderId="155" xfId="0" applyFont="1" applyFill="1" applyBorder="1" applyAlignment="1" applyProtection="1">
      <alignment horizontal="center" vertical="center"/>
      <protection hidden="1"/>
    </xf>
    <xf numFmtId="0" fontId="26" fillId="18" borderId="156" xfId="0" applyFont="1" applyFill="1" applyBorder="1" applyAlignment="1" applyProtection="1">
      <alignment horizontal="center" vertical="center"/>
      <protection hidden="1"/>
    </xf>
    <xf numFmtId="0" fontId="26" fillId="18" borderId="157" xfId="0" applyFont="1" applyFill="1" applyBorder="1" applyAlignment="1" applyProtection="1">
      <alignment horizontal="center" vertical="center"/>
      <protection hidden="1"/>
    </xf>
    <xf numFmtId="0" fontId="26" fillId="21" borderId="158" xfId="0" applyFont="1" applyFill="1" applyBorder="1" applyAlignment="1" applyProtection="1">
      <alignment horizontal="center" vertical="center"/>
      <protection hidden="1"/>
    </xf>
    <xf numFmtId="0" fontId="26" fillId="21" borderId="159" xfId="0" applyFont="1" applyFill="1" applyBorder="1" applyAlignment="1" applyProtection="1">
      <alignment horizontal="center" vertical="center"/>
      <protection hidden="1"/>
    </xf>
    <xf numFmtId="0" fontId="26" fillId="23" borderId="158" xfId="0" applyFont="1" applyFill="1" applyBorder="1" applyAlignment="1" applyProtection="1">
      <alignment horizontal="center" vertical="center"/>
      <protection hidden="1"/>
    </xf>
    <xf numFmtId="0" fontId="26" fillId="23" borderId="159" xfId="0" applyFont="1" applyFill="1" applyBorder="1" applyAlignment="1" applyProtection="1">
      <alignment horizontal="center" vertical="center"/>
      <protection hidden="1"/>
    </xf>
    <xf numFmtId="0" fontId="26" fillId="25" borderId="158" xfId="0" applyFont="1" applyFill="1" applyBorder="1" applyAlignment="1" applyProtection="1">
      <alignment horizontal="center" vertical="center"/>
      <protection hidden="1"/>
    </xf>
    <xf numFmtId="0" fontId="26" fillId="25" borderId="159" xfId="0" applyFont="1" applyFill="1" applyBorder="1" applyAlignment="1" applyProtection="1">
      <alignment horizontal="center" vertical="center"/>
      <protection hidden="1"/>
    </xf>
    <xf numFmtId="0" fontId="26" fillId="27" borderId="158" xfId="0" applyFont="1" applyFill="1" applyBorder="1" applyAlignment="1" applyProtection="1">
      <alignment horizontal="center" vertical="center"/>
      <protection hidden="1"/>
    </xf>
    <xf numFmtId="0" fontId="26" fillId="27" borderId="159" xfId="0" applyFont="1" applyFill="1" applyBorder="1" applyAlignment="1" applyProtection="1">
      <alignment horizontal="center" vertical="center"/>
      <protection hidden="1"/>
    </xf>
    <xf numFmtId="0" fontId="26" fillId="29" borderId="158" xfId="0" applyFont="1" applyFill="1" applyBorder="1" applyAlignment="1" applyProtection="1">
      <alignment horizontal="center" vertical="center"/>
      <protection hidden="1"/>
    </xf>
    <xf numFmtId="0" fontId="26" fillId="29" borderId="159" xfId="0" applyFont="1" applyFill="1" applyBorder="1" applyAlignment="1" applyProtection="1">
      <alignment horizontal="center" vertical="center"/>
      <protection hidden="1"/>
    </xf>
    <xf numFmtId="0" fontId="26" fillId="31" borderId="158" xfId="0" applyFont="1" applyFill="1" applyBorder="1" applyAlignment="1" applyProtection="1">
      <alignment horizontal="center" vertical="center"/>
      <protection hidden="1"/>
    </xf>
    <xf numFmtId="0" fontId="26" fillId="31" borderId="159" xfId="0" applyFont="1" applyFill="1" applyBorder="1" applyAlignment="1" applyProtection="1">
      <alignment horizontal="center" vertical="center"/>
      <protection hidden="1"/>
    </xf>
    <xf numFmtId="0" fontId="26" fillId="33" borderId="158" xfId="0" applyFont="1" applyFill="1" applyBorder="1" applyAlignment="1" applyProtection="1">
      <alignment horizontal="center" vertical="center"/>
      <protection hidden="1"/>
    </xf>
    <xf numFmtId="0" fontId="26" fillId="33" borderId="159" xfId="0" applyFont="1" applyFill="1" applyBorder="1" applyAlignment="1" applyProtection="1">
      <alignment horizontal="center" vertical="center"/>
      <protection hidden="1"/>
    </xf>
    <xf numFmtId="0" fontId="26" fillId="35" borderId="158" xfId="0" applyFont="1" applyFill="1" applyBorder="1" applyAlignment="1" applyProtection="1">
      <alignment horizontal="center" vertical="center"/>
      <protection hidden="1"/>
    </xf>
    <xf numFmtId="0" fontId="26" fillId="35" borderId="159" xfId="0" applyFont="1" applyFill="1" applyBorder="1" applyAlignment="1" applyProtection="1">
      <alignment horizontal="center" vertical="center"/>
      <protection hidden="1"/>
    </xf>
    <xf numFmtId="0" fontId="26" fillId="37" borderId="158" xfId="0" applyFont="1" applyFill="1" applyBorder="1" applyAlignment="1" applyProtection="1">
      <alignment horizontal="center" vertical="center"/>
      <protection hidden="1"/>
    </xf>
    <xf numFmtId="0" fontId="26" fillId="37" borderId="159" xfId="0" applyFont="1" applyFill="1" applyBorder="1" applyAlignment="1" applyProtection="1">
      <alignment horizontal="center" vertical="center"/>
      <protection hidden="1"/>
    </xf>
    <xf numFmtId="0" fontId="26" fillId="39" borderId="158" xfId="0" applyFont="1" applyFill="1" applyBorder="1" applyAlignment="1" applyProtection="1">
      <alignment horizontal="center" vertical="center"/>
      <protection hidden="1"/>
    </xf>
    <xf numFmtId="0" fontId="26" fillId="39" borderId="159" xfId="0" applyFont="1" applyFill="1" applyBorder="1" applyAlignment="1" applyProtection="1">
      <alignment horizontal="center" vertical="center"/>
      <protection hidden="1"/>
    </xf>
    <xf numFmtId="0" fontId="26" fillId="40" borderId="158" xfId="0" applyFont="1" applyFill="1" applyBorder="1" applyAlignment="1" applyProtection="1">
      <alignment horizontal="center" vertical="center"/>
      <protection hidden="1"/>
    </xf>
    <xf numFmtId="0" fontId="26" fillId="40" borderId="159" xfId="0" applyFont="1" applyFill="1" applyBorder="1" applyAlignment="1" applyProtection="1">
      <alignment horizontal="center" vertical="center"/>
      <protection hidden="1"/>
    </xf>
    <xf numFmtId="0" fontId="26" fillId="42" borderId="158" xfId="0" applyFont="1" applyFill="1" applyBorder="1" applyAlignment="1" applyProtection="1">
      <alignment horizontal="center" vertical="center"/>
      <protection hidden="1"/>
    </xf>
    <xf numFmtId="0" fontId="26" fillId="42" borderId="159" xfId="0" applyFont="1" applyFill="1" applyBorder="1" applyAlignment="1" applyProtection="1">
      <alignment horizontal="center" vertical="center"/>
      <protection hidden="1"/>
    </xf>
    <xf numFmtId="0" fontId="26" fillId="44" borderId="158" xfId="0" applyFont="1" applyFill="1" applyBorder="1" applyAlignment="1" applyProtection="1">
      <alignment horizontal="center" vertical="center"/>
      <protection hidden="1"/>
    </xf>
    <xf numFmtId="0" fontId="26" fillId="44" borderId="159" xfId="0" applyFont="1" applyFill="1" applyBorder="1" applyAlignment="1" applyProtection="1">
      <alignment horizontal="center" vertical="center"/>
      <protection hidden="1"/>
    </xf>
    <xf numFmtId="0" fontId="26" fillId="48" borderId="158" xfId="0" applyFont="1" applyFill="1" applyBorder="1" applyAlignment="1" applyProtection="1">
      <alignment horizontal="center" vertical="center"/>
      <protection hidden="1"/>
    </xf>
    <xf numFmtId="0" fontId="26" fillId="48" borderId="159" xfId="0" applyFont="1" applyFill="1" applyBorder="1" applyAlignment="1" applyProtection="1">
      <alignment horizontal="center" vertical="center"/>
      <protection hidden="1"/>
    </xf>
    <xf numFmtId="0" fontId="26" fillId="50" borderId="158" xfId="0" applyFont="1" applyFill="1" applyBorder="1" applyAlignment="1" applyProtection="1">
      <alignment horizontal="center" vertical="center"/>
      <protection hidden="1"/>
    </xf>
    <xf numFmtId="0" fontId="26" fillId="50" borderId="159" xfId="0" applyFont="1" applyFill="1" applyBorder="1" applyAlignment="1" applyProtection="1">
      <alignment horizontal="center" vertical="center"/>
      <protection hidden="1"/>
    </xf>
    <xf numFmtId="0" fontId="26" fillId="52" borderId="160" xfId="0" applyFont="1" applyFill="1" applyBorder="1" applyAlignment="1" applyProtection="1">
      <alignment horizontal="center" vertical="center"/>
      <protection hidden="1"/>
    </xf>
    <xf numFmtId="0" fontId="26" fillId="52" borderId="161" xfId="0" applyFont="1" applyFill="1" applyBorder="1" applyAlignment="1" applyProtection="1">
      <alignment horizontal="center" vertical="center"/>
      <protection hidden="1"/>
    </xf>
    <xf numFmtId="0" fontId="15" fillId="19" borderId="162" xfId="0" applyFont="1" applyFill="1" applyBorder="1" applyAlignment="1" applyProtection="1">
      <alignment horizontal="center"/>
      <protection hidden="1"/>
    </xf>
    <xf numFmtId="0" fontId="15" fillId="19" borderId="163" xfId="0" applyFont="1" applyFill="1" applyBorder="1" applyAlignment="1" applyProtection="1">
      <alignment horizontal="center"/>
      <protection hidden="1"/>
    </xf>
    <xf numFmtId="0" fontId="10" fillId="51" borderId="160" xfId="0" applyFont="1" applyFill="1" applyBorder="1" applyAlignment="1" applyProtection="1">
      <alignment horizontal="left"/>
      <protection hidden="1"/>
    </xf>
    <xf numFmtId="0" fontId="23" fillId="50" borderId="164" xfId="0" applyFont="1" applyFill="1" applyBorder="1" applyAlignment="1" applyProtection="1">
      <alignment horizontal="center"/>
      <protection hidden="1"/>
    </xf>
    <xf numFmtId="0" fontId="23" fillId="50" borderId="165" xfId="0" applyFont="1" applyFill="1" applyBorder="1" applyAlignment="1" applyProtection="1">
      <alignment horizontal="center"/>
      <protection hidden="1"/>
    </xf>
    <xf numFmtId="0" fontId="15" fillId="19" borderId="166" xfId="0" applyFont="1" applyFill="1" applyBorder="1" applyAlignment="1" applyProtection="1">
      <alignment horizontal="center"/>
      <protection hidden="1"/>
    </xf>
    <xf numFmtId="0" fontId="21" fillId="2" borderId="167" xfId="0" applyFont="1" applyFill="1" applyBorder="1" applyAlignment="1" applyProtection="1">
      <alignment horizontal="center" vertical="center" wrapText="1" textRotation="90"/>
      <protection hidden="1"/>
    </xf>
    <xf numFmtId="0" fontId="21" fillId="2" borderId="168" xfId="0" applyFont="1" applyFill="1" applyBorder="1" applyAlignment="1" applyProtection="1">
      <alignment horizontal="center" vertical="center" wrapText="1" textRotation="90"/>
      <protection hidden="1"/>
    </xf>
    <xf numFmtId="0" fontId="27" fillId="0" borderId="0" xfId="0" applyFont="1" applyAlignment="1" applyProtection="1">
      <alignment horizontal="center"/>
      <protection hidden="1"/>
    </xf>
    <xf numFmtId="0" fontId="28" fillId="53" borderId="0" xfId="0" applyFont="1" applyFill="1" applyAlignment="1" applyProtection="1">
      <alignment horizontal="center"/>
      <protection hidden="1"/>
    </xf>
    <xf numFmtId="0" fontId="28" fillId="53" borderId="0" xfId="0" applyFont="1" applyFill="1" applyProtection="1">
      <protection hidden="1"/>
    </xf>
    <xf numFmtId="0" fontId="28" fillId="53" borderId="0" xfId="0" applyFont="1" applyFill="1" applyAlignment="1" applyProtection="1">
      <alignment horizontal="right"/>
      <protection hidden="1"/>
    </xf>
  </cellXfs>
  <cellStyles count="1">
    <cellStyle name="Normal" xfId="0" builtinId="0"/>
  </cellStyles>
  <dxfs count="8">
    <dxf>
      <font>
        <b/>
        <i/>
        <color rgb="FFC00000"/>
      </font>
      <fill>
        <patternFill>
          <bgColor theme="7" tint="0.5999633777886288"/>
        </patternFill>
      </fill>
    </dxf>
    <dxf>
      <font>
        <b/>
        <i/>
        <color rgb="FFC00000"/>
      </font>
      <fill>
        <patternFill>
          <bgColor rgb="FFFFA3A3"/>
        </patternFill>
      </fill>
    </dxf>
    <dxf>
      <font>
        <b/>
        <i/>
        <color theme="9" tint="-0.499984740745262"/>
      </font>
      <fill>
        <patternFill>
          <bgColor theme="9" tint="0.7999816888943144"/>
        </patternFill>
      </fill>
    </dxf>
    <dxf>
      <font>
        <b/>
        <i/>
        <color rgb="FFAC2F36"/>
      </font>
      <fill>
        <patternFill>
          <bgColor rgb="FFFFE5E5"/>
        </patternFill>
      </fill>
    </dxf>
    <dxf>
      <font>
        <b/>
        <i/>
        <color theme="9" tint="-0.499984740745262"/>
      </font>
      <fill>
        <patternFill>
          <bgColor theme="9" tint="0.7999816888943144"/>
        </patternFill>
      </fill>
    </dxf>
    <dxf>
      <font>
        <b/>
        <i/>
        <color rgb="FFC00000"/>
      </font>
      <fill>
        <patternFill>
          <bgColor rgb="FFFFC1C1"/>
        </patternFill>
      </fill>
    </dxf>
    <dxf>
      <font>
        <b/>
        <i/>
        <color theme="9" tint="-0.499984740745262"/>
      </font>
      <fill>
        <patternFill>
          <bgColor theme="9" tint="0.7999816888943144"/>
        </patternFill>
      </fill>
    </dxf>
    <dxf>
      <font>
        <b/>
        <i/>
        <color rgb="FFC00000"/>
      </font>
      <fill>
        <patternFill>
          <bgColor rgb="FFFFC1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5A4"/>
    <pageSetUpPr fitToPage="1"/>
  </sheetPr>
  <dimension ref="A1:AU443"/>
  <sheetViews>
    <sheetView workbookViewId="0" showGridLines="0" zoomScale="70">
      <pane xSplit="8" ySplit="4" topLeftCell="I5" activePane="bottomRight" state="frozen"/>
      <selection pane="bottomRight"/>
    </sheetView>
  </sheetViews>
  <sheetFormatPr defaultRowHeight="15" outlineLevelRow="1" outlineLevelCol="0" x14ac:dyDescent="0.25"/>
  <cols>
    <col min="1" max="1" width="3.5703125" style="1" customWidth="1"/>
    <col min="2" max="2" width="27.85546875" style="1" customWidth="1"/>
    <col min="3" max="3" width="7" style="1" customWidth="1"/>
    <col min="4" max="4" width="8" style="1" customWidth="1"/>
    <col min="5" max="5" width="13.140625" style="1" customWidth="1"/>
    <col min="6" max="6" width="26.85546875" style="1" customWidth="1"/>
    <col min="7" max="7" width="17.28515625" style="1" customWidth="1"/>
    <col min="8" max="8" width="33.7109375" style="1" customWidth="1"/>
    <col min="9" max="46" width="13.140625" style="1" customWidth="1"/>
    <col min="47" max="47" width="11.42578125" style="1" customWidth="1"/>
  </cols>
  <sheetData>
    <row r="1" ht="30.75" customHeight="1" spans="1:47" x14ac:dyDescent="0.25">
      <c r="A1" s="2"/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5"/>
      <c r="AB1" s="5"/>
      <c r="AC1" s="6"/>
      <c r="AD1" s="5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8"/>
    </row>
    <row r="2" ht="15.75" customHeight="1" spans="1:47" x14ac:dyDescent="0.25">
      <c r="A2" s="9"/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1"/>
      <c r="Y2" s="11"/>
      <c r="Z2" s="11"/>
      <c r="AA2" s="11"/>
      <c r="AB2" s="10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ht="112.5" customHeight="1" spans="1:47" x14ac:dyDescent="0.25">
      <c r="A3" s="12"/>
      <c r="B3" s="13"/>
      <c r="C3" s="13"/>
      <c r="D3" s="13"/>
      <c r="E3" s="13"/>
      <c r="F3" s="13"/>
      <c r="G3" s="13"/>
      <c r="H3" s="13"/>
      <c r="I3" s="14" t="s">
        <v>0</v>
      </c>
      <c r="J3" s="15" t="s">
        <v>1</v>
      </c>
      <c r="K3" s="15" t="s">
        <v>2</v>
      </c>
      <c r="L3" s="15" t="s">
        <v>3</v>
      </c>
      <c r="M3" s="15" t="s">
        <v>4</v>
      </c>
      <c r="N3" s="15" t="s">
        <v>5</v>
      </c>
      <c r="O3" s="15" t="s">
        <v>6</v>
      </c>
      <c r="P3" s="15" t="s">
        <v>7</v>
      </c>
      <c r="Q3" s="15" t="s">
        <v>8</v>
      </c>
      <c r="R3" s="15" t="s">
        <v>9</v>
      </c>
      <c r="S3" s="15" t="s">
        <v>10</v>
      </c>
      <c r="T3" s="15" t="s">
        <v>11</v>
      </c>
      <c r="U3" s="15" t="s">
        <v>12</v>
      </c>
      <c r="V3" s="15" t="s">
        <v>13</v>
      </c>
      <c r="W3" s="15" t="s">
        <v>14</v>
      </c>
      <c r="X3" s="15" t="s">
        <v>15</v>
      </c>
      <c r="Y3" s="15" t="s">
        <v>16</v>
      </c>
      <c r="Z3" s="15" t="s">
        <v>17</v>
      </c>
      <c r="AA3" s="15" t="s">
        <v>18</v>
      </c>
      <c r="AB3" s="15" t="s">
        <v>19</v>
      </c>
      <c r="AC3" s="15" t="s">
        <v>20</v>
      </c>
      <c r="AD3" s="15" t="s">
        <v>21</v>
      </c>
      <c r="AE3" s="15" t="s">
        <v>22</v>
      </c>
      <c r="AF3" s="15" t="s">
        <v>23</v>
      </c>
      <c r="AG3" s="15" t="s">
        <v>24</v>
      </c>
      <c r="AH3" s="15" t="s">
        <v>25</v>
      </c>
      <c r="AI3" s="15" t="s">
        <v>26</v>
      </c>
      <c r="AJ3" s="15" t="s">
        <v>27</v>
      </c>
      <c r="AK3" s="15" t="s">
        <v>28</v>
      </c>
      <c r="AL3" s="15" t="s">
        <v>29</v>
      </c>
      <c r="AM3" s="15" t="s">
        <v>30</v>
      </c>
      <c r="AN3" s="15" t="s">
        <v>31</v>
      </c>
      <c r="AO3" s="15" t="s">
        <v>32</v>
      </c>
      <c r="AP3" s="15" t="s">
        <v>33</v>
      </c>
      <c r="AQ3" s="15" t="s">
        <v>34</v>
      </c>
      <c r="AR3" s="15" t="s">
        <v>35</v>
      </c>
      <c r="AS3" s="16" t="s">
        <v>36</v>
      </c>
      <c r="AT3" s="16" t="s">
        <v>37</v>
      </c>
      <c r="AU3" s="17" t="s">
        <v>38</v>
      </c>
    </row>
    <row r="4" ht="16.5" customHeight="1" spans="1:47" x14ac:dyDescent="0.25">
      <c r="A4" s="18" t="s">
        <v>39</v>
      </c>
      <c r="B4" s="19" t="s">
        <v>40</v>
      </c>
      <c r="C4" s="20" t="s">
        <v>41</v>
      </c>
      <c r="D4" s="20" t="s">
        <v>42</v>
      </c>
      <c r="E4" s="21"/>
      <c r="F4" s="21"/>
      <c r="G4" s="21"/>
      <c r="H4" s="21"/>
      <c r="I4" s="22" t="s">
        <v>43</v>
      </c>
      <c r="J4" s="22" t="s">
        <v>44</v>
      </c>
      <c r="K4" s="22" t="s">
        <v>45</v>
      </c>
      <c r="L4" s="22" t="s">
        <v>46</v>
      </c>
      <c r="M4" s="22" t="s">
        <v>47</v>
      </c>
      <c r="N4" s="22" t="s">
        <v>48</v>
      </c>
      <c r="O4" s="22" t="s">
        <v>49</v>
      </c>
      <c r="P4" s="22" t="s">
        <v>50</v>
      </c>
      <c r="Q4" s="22" t="s">
        <v>51</v>
      </c>
      <c r="R4" s="22" t="s">
        <v>52</v>
      </c>
      <c r="S4" s="22" t="s">
        <v>53</v>
      </c>
      <c r="T4" s="22" t="s">
        <v>54</v>
      </c>
      <c r="U4" s="22" t="s">
        <v>55</v>
      </c>
      <c r="V4" s="22" t="s">
        <v>56</v>
      </c>
      <c r="W4" s="22" t="s">
        <v>57</v>
      </c>
      <c r="X4" s="22" t="s">
        <v>58</v>
      </c>
      <c r="Y4" s="22" t="s">
        <v>59</v>
      </c>
      <c r="Z4" s="22" t="s">
        <v>60</v>
      </c>
      <c r="AA4" s="22" t="s">
        <v>61</v>
      </c>
      <c r="AB4" s="22" t="s">
        <v>62</v>
      </c>
      <c r="AC4" s="22" t="s">
        <v>63</v>
      </c>
      <c r="AD4" s="22" t="s">
        <v>64</v>
      </c>
      <c r="AE4" s="22" t="s">
        <v>65</v>
      </c>
      <c r="AF4" s="22" t="s">
        <v>66</v>
      </c>
      <c r="AG4" s="22" t="s">
        <v>67</v>
      </c>
      <c r="AH4" s="22" t="s">
        <v>68</v>
      </c>
      <c r="AI4" s="22" t="s">
        <v>69</v>
      </c>
      <c r="AJ4" s="22" t="s">
        <v>70</v>
      </c>
      <c r="AK4" s="22" t="s">
        <v>71</v>
      </c>
      <c r="AL4" s="22" t="s">
        <v>72</v>
      </c>
      <c r="AM4" s="22" t="s">
        <v>73</v>
      </c>
      <c r="AN4" s="22" t="s">
        <v>74</v>
      </c>
      <c r="AO4" s="22" t="s">
        <v>75</v>
      </c>
      <c r="AP4" s="22" t="s">
        <v>76</v>
      </c>
      <c r="AQ4" s="22" t="s">
        <v>77</v>
      </c>
      <c r="AR4" s="22" t="s">
        <v>78</v>
      </c>
      <c r="AS4" s="22" t="s">
        <v>79</v>
      </c>
      <c r="AT4" s="22" t="s">
        <v>80</v>
      </c>
      <c r="AU4" s="23"/>
    </row>
    <row r="5" ht="15.75" customHeight="1" spans="1:47" x14ac:dyDescent="0.25">
      <c r="A5" s="24"/>
      <c r="B5" s="25" t="s">
        <v>81</v>
      </c>
      <c r="C5" s="26" t="s">
        <v>82</v>
      </c>
      <c r="D5" s="27" t="s">
        <v>83</v>
      </c>
      <c r="E5" s="28"/>
      <c r="F5" s="29" t="s">
        <v>84</v>
      </c>
      <c r="G5" s="30"/>
      <c r="H5" s="28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3"/>
      <c r="AU5" s="34">
        <f>SUM(I5:AT5)</f>
        <v>47</v>
      </c>
    </row>
    <row r="6" ht="15.75" customHeight="1" spans="1:47" x14ac:dyDescent="0.25">
      <c r="A6" s="24"/>
      <c r="B6" s="35"/>
      <c r="C6" s="36" t="s">
        <v>85</v>
      </c>
      <c r="D6" s="37"/>
      <c r="E6" s="38"/>
      <c r="F6" s="39" t="s">
        <v>86</v>
      </c>
      <c r="G6" s="40"/>
      <c r="H6" s="38"/>
      <c r="I6" s="41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3"/>
      <c r="AU6" s="44">
        <f>SUM(I6:AT6)</f>
        <v>176</v>
      </c>
    </row>
    <row r="7" ht="15.75" customHeight="1" spans="1:47" x14ac:dyDescent="0.25">
      <c r="A7" s="24"/>
      <c r="B7" s="35"/>
      <c r="C7" s="36" t="s">
        <v>87</v>
      </c>
      <c r="D7" s="37"/>
      <c r="E7" s="38"/>
      <c r="F7" s="39" t="s">
        <v>88</v>
      </c>
      <c r="G7" s="40"/>
      <c r="H7" s="38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3"/>
      <c r="AU7" s="44">
        <f>SUM(I7:AT7)</f>
        <v>40</v>
      </c>
    </row>
    <row r="8" ht="15.75" customHeight="1" spans="1:47" x14ac:dyDescent="0.25">
      <c r="A8" s="24"/>
      <c r="B8" s="35"/>
      <c r="C8" s="36" t="s">
        <v>89</v>
      </c>
      <c r="D8" s="37"/>
      <c r="E8" s="38"/>
      <c r="F8" s="39" t="s">
        <v>90</v>
      </c>
      <c r="G8" s="40"/>
      <c r="H8" s="38"/>
      <c r="I8" s="41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3"/>
      <c r="AU8" s="44">
        <f>SUM(I8:AT8)</f>
        <v>10</v>
      </c>
    </row>
    <row r="9" ht="16.5" customHeight="1" spans="1:47" x14ac:dyDescent="0.25">
      <c r="A9" s="24"/>
      <c r="B9" s="35"/>
      <c r="C9" s="45" t="s">
        <v>91</v>
      </c>
      <c r="D9" s="46"/>
      <c r="E9" s="47"/>
      <c r="F9" s="48" t="s">
        <v>92</v>
      </c>
      <c r="G9" s="49"/>
      <c r="H9" s="47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2"/>
      <c r="AU9" s="53">
        <f>SUM(I9:AT9)</f>
        <v>2</v>
      </c>
    </row>
    <row r="10" ht="15.75" customHeight="1" hidden="1" spans="1:47" x14ac:dyDescent="0.25" outlineLevel="1" collapsed="1">
      <c r="A10" s="24"/>
      <c r="B10" s="35"/>
      <c r="C10" s="54" t="s">
        <v>93</v>
      </c>
      <c r="D10" s="55" t="s">
        <v>94</v>
      </c>
      <c r="E10" s="56"/>
      <c r="F10" s="57" t="s">
        <v>84</v>
      </c>
      <c r="G10" s="58"/>
      <c r="H10" s="56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1"/>
      <c r="AU10" s="62">
        <f>SUM(I10:AT10)</f>
      </c>
    </row>
    <row r="11" ht="15.75" customHeight="1" hidden="1" spans="1:47" x14ac:dyDescent="0.25" outlineLevel="1" collapsed="1">
      <c r="A11" s="24"/>
      <c r="B11" s="35"/>
      <c r="C11" s="36" t="s">
        <v>95</v>
      </c>
      <c r="D11" s="37"/>
      <c r="E11" s="38"/>
      <c r="F11" s="39" t="s">
        <v>86</v>
      </c>
      <c r="G11" s="40"/>
      <c r="H11" s="38"/>
      <c r="I11" s="63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6">
        <f>SUM(I11:AT11)</f>
      </c>
    </row>
    <row r="12" ht="15.75" customHeight="1" hidden="1" spans="1:47" x14ac:dyDescent="0.25" outlineLevel="1" collapsed="1">
      <c r="A12" s="24"/>
      <c r="B12" s="35"/>
      <c r="C12" s="36" t="s">
        <v>96</v>
      </c>
      <c r="D12" s="37"/>
      <c r="E12" s="38"/>
      <c r="F12" s="39" t="s">
        <v>88</v>
      </c>
      <c r="G12" s="40"/>
      <c r="H12" s="38"/>
      <c r="I12" s="63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6">
        <f>SUM(I12:AT12)</f>
      </c>
    </row>
    <row r="13" ht="15.75" customHeight="1" hidden="1" spans="1:47" x14ac:dyDescent="0.25" outlineLevel="1" collapsed="1">
      <c r="A13" s="24"/>
      <c r="B13" s="35"/>
      <c r="C13" s="36" t="s">
        <v>97</v>
      </c>
      <c r="D13" s="37"/>
      <c r="E13" s="38"/>
      <c r="F13" s="39" t="s">
        <v>90</v>
      </c>
      <c r="G13" s="40"/>
      <c r="H13" s="38"/>
      <c r="I13" s="63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6">
        <f>SUM(I13:AT13)</f>
      </c>
    </row>
    <row r="14" ht="16.5" customHeight="1" hidden="1" spans="1:47" x14ac:dyDescent="0.25" outlineLevel="1" collapsed="1">
      <c r="A14" s="24"/>
      <c r="B14" s="35"/>
      <c r="C14" s="45" t="s">
        <v>98</v>
      </c>
      <c r="D14" s="46"/>
      <c r="E14" s="47"/>
      <c r="F14" s="48" t="s">
        <v>92</v>
      </c>
      <c r="G14" s="49"/>
      <c r="H14" s="47"/>
      <c r="I14" s="67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9"/>
      <c r="AU14" s="70">
        <f>SUM(I14:AT14)</f>
      </c>
    </row>
    <row r="15" ht="15.75" customHeight="1" hidden="1" spans="1:47" x14ac:dyDescent="0.25" outlineLevel="1" collapsed="1">
      <c r="A15" s="24"/>
      <c r="B15" s="35"/>
      <c r="C15" s="54" t="s">
        <v>99</v>
      </c>
      <c r="D15" s="55" t="s">
        <v>100</v>
      </c>
      <c r="E15" s="56"/>
      <c r="F15" s="57" t="s">
        <v>84</v>
      </c>
      <c r="G15" s="58"/>
      <c r="H15" s="56"/>
      <c r="I15" s="59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1"/>
      <c r="AU15" s="62">
        <f>SUM(I15:AT15)</f>
      </c>
    </row>
    <row r="16" ht="15.75" customHeight="1" hidden="1" spans="1:47" x14ac:dyDescent="0.25" outlineLevel="1" collapsed="1">
      <c r="A16" s="24"/>
      <c r="B16" s="35"/>
      <c r="C16" s="36" t="s">
        <v>101</v>
      </c>
      <c r="D16" s="37"/>
      <c r="E16" s="38"/>
      <c r="F16" s="39" t="s">
        <v>86</v>
      </c>
      <c r="G16" s="40"/>
      <c r="H16" s="38"/>
      <c r="I16" s="63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5"/>
      <c r="AU16" s="66">
        <f>SUM(I16:AT16)</f>
      </c>
    </row>
    <row r="17" ht="15.75" customHeight="1" hidden="1" spans="1:47" x14ac:dyDescent="0.25" outlineLevel="1" collapsed="1">
      <c r="A17" s="24"/>
      <c r="B17" s="35"/>
      <c r="C17" s="36" t="s">
        <v>102</v>
      </c>
      <c r="D17" s="37"/>
      <c r="E17" s="38"/>
      <c r="F17" s="39" t="s">
        <v>88</v>
      </c>
      <c r="G17" s="40"/>
      <c r="H17" s="38"/>
      <c r="I17" s="63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6">
        <f>SUM(I17:AT17)</f>
      </c>
    </row>
    <row r="18" ht="15.75" customHeight="1" hidden="1" spans="1:47" x14ac:dyDescent="0.25" outlineLevel="1" collapsed="1">
      <c r="A18" s="24"/>
      <c r="B18" s="35"/>
      <c r="C18" s="36" t="s">
        <v>103</v>
      </c>
      <c r="D18" s="37"/>
      <c r="E18" s="38"/>
      <c r="F18" s="39" t="s">
        <v>90</v>
      </c>
      <c r="G18" s="40"/>
      <c r="H18" s="38"/>
      <c r="I18" s="63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6">
        <f>SUM(I18:AT18)</f>
      </c>
    </row>
    <row r="19" ht="16.5" customHeight="1" hidden="1" spans="1:47" x14ac:dyDescent="0.25" outlineLevel="1" collapsed="1">
      <c r="A19" s="24"/>
      <c r="B19" s="35"/>
      <c r="C19" s="45" t="s">
        <v>104</v>
      </c>
      <c r="D19" s="46"/>
      <c r="E19" s="47"/>
      <c r="F19" s="48" t="s">
        <v>92</v>
      </c>
      <c r="G19" s="49"/>
      <c r="H19" s="47"/>
      <c r="I19" s="67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9"/>
      <c r="AU19" s="70">
        <f>SUM(I19:AT19)</f>
      </c>
    </row>
    <row r="20" ht="15.75" customHeight="1" hidden="1" spans="1:47" x14ac:dyDescent="0.25" outlineLevel="1" collapsed="1">
      <c r="A20" s="24"/>
      <c r="B20" s="35"/>
      <c r="C20" s="54" t="s">
        <v>105</v>
      </c>
      <c r="D20" s="55" t="s">
        <v>106</v>
      </c>
      <c r="E20" s="56"/>
      <c r="F20" s="57" t="s">
        <v>84</v>
      </c>
      <c r="G20" s="58"/>
      <c r="H20" s="56"/>
      <c r="I20" s="59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1"/>
      <c r="AU20" s="62">
        <f>SUM(I20:AT20)</f>
      </c>
    </row>
    <row r="21" ht="15.75" customHeight="1" hidden="1" spans="1:47" x14ac:dyDescent="0.25" outlineLevel="1" collapsed="1">
      <c r="A21" s="24"/>
      <c r="B21" s="35"/>
      <c r="C21" s="36" t="s">
        <v>107</v>
      </c>
      <c r="D21" s="37"/>
      <c r="E21" s="38"/>
      <c r="F21" s="39" t="s">
        <v>86</v>
      </c>
      <c r="G21" s="40"/>
      <c r="H21" s="38"/>
      <c r="I21" s="63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6">
        <f>SUM(I21:AT21)</f>
      </c>
    </row>
    <row r="22" ht="15.75" customHeight="1" hidden="1" spans="1:47" x14ac:dyDescent="0.25" outlineLevel="1" collapsed="1">
      <c r="A22" s="24"/>
      <c r="B22" s="35"/>
      <c r="C22" s="36" t="s">
        <v>108</v>
      </c>
      <c r="D22" s="37"/>
      <c r="E22" s="38"/>
      <c r="F22" s="39" t="s">
        <v>88</v>
      </c>
      <c r="G22" s="40"/>
      <c r="H22" s="38"/>
      <c r="I22" s="63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6">
        <f>SUM(I22:AT22)</f>
      </c>
    </row>
    <row r="23" ht="15.75" customHeight="1" hidden="1" spans="1:47" x14ac:dyDescent="0.25" outlineLevel="1" collapsed="1">
      <c r="A23" s="24"/>
      <c r="B23" s="35"/>
      <c r="C23" s="36" t="s">
        <v>109</v>
      </c>
      <c r="D23" s="37"/>
      <c r="E23" s="38"/>
      <c r="F23" s="39" t="s">
        <v>90</v>
      </c>
      <c r="G23" s="40"/>
      <c r="H23" s="38"/>
      <c r="I23" s="63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6">
        <f>SUM(I23:AT23)</f>
      </c>
    </row>
    <row r="24" ht="16.5" customHeight="1" hidden="1" spans="1:47" x14ac:dyDescent="0.25" outlineLevel="1" collapsed="1">
      <c r="A24" s="24"/>
      <c r="B24" s="35"/>
      <c r="C24" s="71" t="s">
        <v>110</v>
      </c>
      <c r="D24" s="72"/>
      <c r="E24" s="73"/>
      <c r="F24" s="74" t="s">
        <v>92</v>
      </c>
      <c r="G24" s="75"/>
      <c r="H24" s="73"/>
      <c r="I24" s="76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8"/>
      <c r="AU24" s="79">
        <f>SUM(I24:AT24)</f>
      </c>
    </row>
    <row r="25" ht="16.5" customHeight="1" spans="1:47" x14ac:dyDescent="0.25">
      <c r="A25" s="24"/>
      <c r="B25" s="80" t="s">
        <v>111</v>
      </c>
      <c r="C25" s="81"/>
      <c r="D25" s="81"/>
      <c r="E25" s="81"/>
      <c r="F25" s="81"/>
      <c r="G25" s="81"/>
      <c r="H25" s="82"/>
      <c r="I25" s="83">
        <f>SUM(I5:I9)</f>
      </c>
      <c r="J25" s="84">
        <f>SUM(J5:J9)</f>
        <v>20</v>
      </c>
      <c r="K25" s="84">
        <f>SUM(K5:K9)</f>
        <v>3</v>
      </c>
      <c r="L25" s="84">
        <f>SUM(L5:L9)</f>
        <v>4</v>
      </c>
      <c r="M25" s="84">
        <f>SUM(M5:M9)</f>
        <v>3</v>
      </c>
      <c r="N25" s="84">
        <f>SUM(N5:N9)</f>
        <v>5</v>
      </c>
      <c r="O25" s="84">
        <f>SUM(O5:O9)</f>
        <v>20</v>
      </c>
      <c r="P25" s="84">
        <f>SUM(P5:P9)</f>
        <v>53</v>
      </c>
      <c r="Q25" s="84">
        <f>SUM(Q5:Q9)</f>
        <v>6</v>
      </c>
      <c r="R25" s="84">
        <f>SUM(R5:R9)</f>
        <v>1</v>
      </c>
      <c r="S25" s="84">
        <f>SUM(S5:S9)</f>
        <v>2</v>
      </c>
      <c r="T25" s="84">
        <f>SUM(T5:T9)</f>
        <v>1</v>
      </c>
      <c r="U25" s="84">
        <f>SUM(U5:U9)</f>
        <v>2</v>
      </c>
      <c r="V25" s="84">
        <f>SUM(V5:V9)</f>
        <v>4</v>
      </c>
      <c r="W25" s="84">
        <f>SUM(W5:W9)</f>
        <v>9</v>
      </c>
      <c r="X25" s="84">
        <f>SUM(X5:X9)</f>
        <v>2</v>
      </c>
      <c r="Y25" s="84">
        <f>SUM(Y5:Y9)</f>
        <v>11</v>
      </c>
      <c r="Z25" s="84">
        <f>SUM(Z5:Z9)</f>
        <v>20</v>
      </c>
      <c r="AA25" s="84">
        <f>SUM(AA5:AA9)</f>
        <v>9</v>
      </c>
      <c r="AB25" s="84">
        <f>SUM(AB5:AB9)</f>
      </c>
      <c r="AC25" s="84">
        <f>SUM(AC5:AC9)</f>
      </c>
      <c r="AD25" s="84">
        <f>SUM(AD5:AD9)</f>
      </c>
      <c r="AE25" s="84">
        <f>SUM(AE5:AE9)</f>
      </c>
      <c r="AF25" s="84">
        <f>SUM(AF5:AF9)</f>
      </c>
      <c r="AG25" s="84">
        <f>SUM(AG5:AG9)</f>
        <v>6</v>
      </c>
      <c r="AH25" s="84">
        <f>SUM(AH5:AH9)</f>
        <v>9</v>
      </c>
      <c r="AI25" s="84">
        <f>SUM(AI5:AI9)</f>
      </c>
      <c r="AJ25" s="84">
        <f>SUM(AJ5:AJ9)</f>
      </c>
      <c r="AK25" s="84">
        <f>SUM(AK5:AK9)</f>
      </c>
      <c r="AL25" s="84">
        <f>SUM(AL5:AL9)</f>
      </c>
      <c r="AM25" s="84">
        <f>SUM(AM5:AM9)</f>
      </c>
      <c r="AN25" s="84">
        <f>SUM(AN5:AN9)</f>
      </c>
      <c r="AO25" s="84">
        <f>SUM(AO5:AO9)</f>
      </c>
      <c r="AP25" s="84">
        <f>SUM(AP5:AP9)</f>
        <v>30</v>
      </c>
      <c r="AQ25" s="84">
        <f>SUM(AQ5:AQ9)</f>
        <v>19</v>
      </c>
      <c r="AR25" s="84">
        <f>SUM(AR5:AR9)</f>
        <v>9</v>
      </c>
      <c r="AS25" s="84">
        <f>SUM(AS5:AS9)</f>
        <v>26</v>
      </c>
      <c r="AT25" s="84">
        <f>SUM(AT5:AT9)</f>
        <v>1</v>
      </c>
      <c r="AU25" s="85">
        <f>SUM(I25:AT25)</f>
        <v>275</v>
      </c>
    </row>
    <row r="26" ht="15.75" customHeight="1" spans="1:47" x14ac:dyDescent="0.25">
      <c r="A26" s="24"/>
      <c r="B26" s="25" t="s">
        <v>112</v>
      </c>
      <c r="C26" s="86" t="s">
        <v>113</v>
      </c>
      <c r="D26" s="87" t="s">
        <v>83</v>
      </c>
      <c r="E26" s="88"/>
      <c r="F26" s="89" t="s">
        <v>114</v>
      </c>
      <c r="G26" s="90"/>
      <c r="H26" s="91"/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3"/>
      <c r="AU26" s="92">
        <f>SUM(I26:AT26)</f>
        <v>152</v>
      </c>
    </row>
    <row r="27" ht="15.75" customHeight="1" spans="1:47" x14ac:dyDescent="0.25">
      <c r="A27" s="24"/>
      <c r="B27" s="35"/>
      <c r="C27" s="93" t="s">
        <v>115</v>
      </c>
      <c r="D27" s="94"/>
      <c r="E27" s="95"/>
      <c r="F27" s="96" t="s">
        <v>116</v>
      </c>
      <c r="G27" s="97"/>
      <c r="H27" s="98" t="s">
        <v>117</v>
      </c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3"/>
      <c r="AU27" s="44">
        <f>SUM(I27:AT27)</f>
        <v>49</v>
      </c>
    </row>
    <row r="28" ht="15.75" customHeight="1" spans="1:47" x14ac:dyDescent="0.25">
      <c r="A28" s="24"/>
      <c r="B28" s="35"/>
      <c r="C28" s="93" t="s">
        <v>118</v>
      </c>
      <c r="D28" s="94"/>
      <c r="E28" s="95"/>
      <c r="F28" s="94"/>
      <c r="G28" s="97"/>
      <c r="H28" s="99" t="s">
        <v>119</v>
      </c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3"/>
      <c r="AU28" s="44">
        <f>SUM(I28:AT28)</f>
        <v>19</v>
      </c>
    </row>
    <row r="29" ht="15.75" customHeight="1" spans="1:47" x14ac:dyDescent="0.25">
      <c r="A29" s="24"/>
      <c r="B29" s="35"/>
      <c r="C29" s="93" t="s">
        <v>120</v>
      </c>
      <c r="D29" s="94"/>
      <c r="E29" s="95"/>
      <c r="F29" s="100" t="s">
        <v>121</v>
      </c>
      <c r="G29" s="97"/>
      <c r="H29" s="99" t="s">
        <v>117</v>
      </c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3"/>
      <c r="AU29" s="44">
        <f>SUM(I29:AT29)</f>
        <v>38</v>
      </c>
    </row>
    <row r="30" ht="15.75" customHeight="1" spans="1:47" x14ac:dyDescent="0.25">
      <c r="A30" s="24"/>
      <c r="B30" s="35"/>
      <c r="C30" s="93" t="s">
        <v>122</v>
      </c>
      <c r="D30" s="94"/>
      <c r="E30" s="95"/>
      <c r="F30" s="94"/>
      <c r="G30" s="97"/>
      <c r="H30" s="99" t="s">
        <v>119</v>
      </c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3"/>
      <c r="AU30" s="44">
        <f>SUM(I30:AT30)</f>
        <v>11</v>
      </c>
    </row>
    <row r="31" ht="15.75" customHeight="1" spans="1:47" x14ac:dyDescent="0.25">
      <c r="A31" s="24"/>
      <c r="B31" s="35"/>
      <c r="C31" s="93" t="s">
        <v>123</v>
      </c>
      <c r="D31" s="94"/>
      <c r="E31" s="95"/>
      <c r="F31" s="100" t="s">
        <v>124</v>
      </c>
      <c r="G31" s="97"/>
      <c r="H31" s="99" t="s">
        <v>117</v>
      </c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3"/>
      <c r="AU31" s="44">
        <f>SUM(I31:AT31)</f>
        <v>26</v>
      </c>
    </row>
    <row r="32" ht="16.5" customHeight="1" spans="1:47" x14ac:dyDescent="0.25">
      <c r="A32" s="24"/>
      <c r="B32" s="35"/>
      <c r="C32" s="101" t="s">
        <v>125</v>
      </c>
      <c r="D32" s="102"/>
      <c r="E32" s="103"/>
      <c r="F32" s="102"/>
      <c r="G32" s="104"/>
      <c r="H32" s="105" t="s">
        <v>119</v>
      </c>
      <c r="I32" s="50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2"/>
      <c r="AU32" s="53">
        <f>SUM(I32:AT32)</f>
        <v>11</v>
      </c>
    </row>
    <row r="33" ht="15.75" customHeight="1" hidden="1" spans="1:47" x14ac:dyDescent="0.25" outlineLevel="1" collapsed="1">
      <c r="A33" s="24"/>
      <c r="B33" s="35"/>
      <c r="C33" s="106" t="s">
        <v>126</v>
      </c>
      <c r="D33" s="107" t="s">
        <v>94</v>
      </c>
      <c r="E33" s="108"/>
      <c r="F33" s="109" t="s">
        <v>114</v>
      </c>
      <c r="G33" s="110"/>
      <c r="H33" s="111"/>
      <c r="I33" s="59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1"/>
      <c r="AU33" s="62">
        <f>SUM(I33:AT33)</f>
      </c>
    </row>
    <row r="34" ht="15.75" customHeight="1" hidden="1" spans="1:47" x14ac:dyDescent="0.25" outlineLevel="1" collapsed="1">
      <c r="A34" s="24"/>
      <c r="B34" s="35"/>
      <c r="C34" s="93" t="s">
        <v>127</v>
      </c>
      <c r="D34" s="94"/>
      <c r="E34" s="95"/>
      <c r="F34" s="96" t="s">
        <v>116</v>
      </c>
      <c r="G34" s="97"/>
      <c r="H34" s="98" t="s">
        <v>117</v>
      </c>
      <c r="I34" s="63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5"/>
      <c r="AU34" s="66">
        <f>SUM(I34:AT34)</f>
      </c>
    </row>
    <row r="35" ht="15.75" customHeight="1" hidden="1" spans="1:47" x14ac:dyDescent="0.25" outlineLevel="1" collapsed="1">
      <c r="A35" s="24"/>
      <c r="B35" s="35"/>
      <c r="C35" s="93" t="s">
        <v>128</v>
      </c>
      <c r="D35" s="94"/>
      <c r="E35" s="95"/>
      <c r="F35" s="94"/>
      <c r="G35" s="97"/>
      <c r="H35" s="99" t="s">
        <v>119</v>
      </c>
      <c r="I35" s="63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5"/>
      <c r="AU35" s="66">
        <f>SUM(I35:AT35)</f>
      </c>
    </row>
    <row r="36" ht="15.75" customHeight="1" hidden="1" spans="1:47" x14ac:dyDescent="0.25" outlineLevel="1" collapsed="1">
      <c r="A36" s="24"/>
      <c r="B36" s="35"/>
      <c r="C36" s="93" t="s">
        <v>129</v>
      </c>
      <c r="D36" s="94"/>
      <c r="E36" s="95"/>
      <c r="F36" s="100" t="s">
        <v>121</v>
      </c>
      <c r="G36" s="97"/>
      <c r="H36" s="99" t="s">
        <v>117</v>
      </c>
      <c r="I36" s="63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5"/>
      <c r="AU36" s="66">
        <f>SUM(I36:AT36)</f>
      </c>
    </row>
    <row r="37" ht="15.75" customHeight="1" hidden="1" spans="1:47" x14ac:dyDescent="0.25" outlineLevel="1" collapsed="1">
      <c r="A37" s="24"/>
      <c r="B37" s="35"/>
      <c r="C37" s="93" t="s">
        <v>130</v>
      </c>
      <c r="D37" s="94"/>
      <c r="E37" s="95"/>
      <c r="F37" s="94"/>
      <c r="G37" s="97"/>
      <c r="H37" s="99" t="s">
        <v>119</v>
      </c>
      <c r="I37" s="63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5"/>
      <c r="AU37" s="66">
        <f>SUM(I37:AT37)</f>
      </c>
    </row>
    <row r="38" ht="15.75" customHeight="1" hidden="1" spans="1:47" x14ac:dyDescent="0.25" outlineLevel="1" collapsed="1">
      <c r="A38" s="24"/>
      <c r="B38" s="35"/>
      <c r="C38" s="93" t="s">
        <v>131</v>
      </c>
      <c r="D38" s="94"/>
      <c r="E38" s="95"/>
      <c r="F38" s="100" t="s">
        <v>124</v>
      </c>
      <c r="G38" s="97"/>
      <c r="H38" s="99" t="s">
        <v>117</v>
      </c>
      <c r="I38" s="63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5"/>
      <c r="AU38" s="66">
        <f>SUM(I38:AT38)</f>
      </c>
    </row>
    <row r="39" ht="16.5" customHeight="1" hidden="1" spans="1:47" x14ac:dyDescent="0.25" outlineLevel="1" collapsed="1">
      <c r="A39" s="24"/>
      <c r="B39" s="35"/>
      <c r="C39" s="101" t="s">
        <v>132</v>
      </c>
      <c r="D39" s="102"/>
      <c r="E39" s="103"/>
      <c r="F39" s="102"/>
      <c r="G39" s="104"/>
      <c r="H39" s="105" t="s">
        <v>119</v>
      </c>
      <c r="I39" s="67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9"/>
      <c r="AU39" s="70">
        <f>SUM(I39:AT39)</f>
      </c>
    </row>
    <row r="40" ht="15.75" customHeight="1" hidden="1" spans="1:47" x14ac:dyDescent="0.25" outlineLevel="1" collapsed="1">
      <c r="A40" s="24"/>
      <c r="B40" s="35"/>
      <c r="C40" s="106" t="s">
        <v>133</v>
      </c>
      <c r="D40" s="107" t="s">
        <v>100</v>
      </c>
      <c r="E40" s="108"/>
      <c r="F40" s="109" t="s">
        <v>114</v>
      </c>
      <c r="G40" s="110"/>
      <c r="H40" s="111"/>
      <c r="I40" s="59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1"/>
      <c r="AU40" s="62">
        <f>SUM(I40:AT40)</f>
      </c>
    </row>
    <row r="41" ht="15.75" customHeight="1" hidden="1" spans="1:47" x14ac:dyDescent="0.25" outlineLevel="1" collapsed="1">
      <c r="A41" s="24"/>
      <c r="B41" s="35"/>
      <c r="C41" s="93" t="s">
        <v>134</v>
      </c>
      <c r="D41" s="94"/>
      <c r="E41" s="95"/>
      <c r="F41" s="96" t="s">
        <v>116</v>
      </c>
      <c r="G41" s="97"/>
      <c r="H41" s="98" t="s">
        <v>117</v>
      </c>
      <c r="I41" s="63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5"/>
      <c r="AU41" s="66">
        <f>SUM(I41:AT41)</f>
      </c>
    </row>
    <row r="42" ht="15.75" customHeight="1" hidden="1" spans="1:47" x14ac:dyDescent="0.25" outlineLevel="1" collapsed="1">
      <c r="A42" s="24"/>
      <c r="B42" s="35"/>
      <c r="C42" s="93" t="s">
        <v>135</v>
      </c>
      <c r="D42" s="94"/>
      <c r="E42" s="95"/>
      <c r="F42" s="94"/>
      <c r="G42" s="97"/>
      <c r="H42" s="99" t="s">
        <v>119</v>
      </c>
      <c r="I42" s="63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5"/>
      <c r="AU42" s="66">
        <f>SUM(I42:AT42)</f>
      </c>
    </row>
    <row r="43" ht="15.75" customHeight="1" hidden="1" spans="1:47" x14ac:dyDescent="0.25" outlineLevel="1" collapsed="1">
      <c r="A43" s="24"/>
      <c r="B43" s="35"/>
      <c r="C43" s="93" t="s">
        <v>136</v>
      </c>
      <c r="D43" s="94"/>
      <c r="E43" s="95"/>
      <c r="F43" s="100" t="s">
        <v>121</v>
      </c>
      <c r="G43" s="97"/>
      <c r="H43" s="99" t="s">
        <v>117</v>
      </c>
      <c r="I43" s="63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5"/>
      <c r="AU43" s="66">
        <f>SUM(I43:AT43)</f>
      </c>
    </row>
    <row r="44" ht="15.75" customHeight="1" hidden="1" spans="1:47" x14ac:dyDescent="0.25" outlineLevel="1" collapsed="1">
      <c r="A44" s="24"/>
      <c r="B44" s="35"/>
      <c r="C44" s="93" t="s">
        <v>137</v>
      </c>
      <c r="D44" s="94"/>
      <c r="E44" s="95"/>
      <c r="F44" s="94"/>
      <c r="G44" s="97"/>
      <c r="H44" s="99" t="s">
        <v>119</v>
      </c>
      <c r="I44" s="63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5"/>
      <c r="AU44" s="66">
        <f>SUM(I44:AT44)</f>
      </c>
    </row>
    <row r="45" ht="15.75" customHeight="1" hidden="1" spans="1:47" x14ac:dyDescent="0.25" outlineLevel="1" collapsed="1">
      <c r="A45" s="24"/>
      <c r="B45" s="35"/>
      <c r="C45" s="93" t="s">
        <v>138</v>
      </c>
      <c r="D45" s="94"/>
      <c r="E45" s="95"/>
      <c r="F45" s="100" t="s">
        <v>124</v>
      </c>
      <c r="G45" s="97"/>
      <c r="H45" s="99" t="s">
        <v>117</v>
      </c>
      <c r="I45" s="63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5"/>
      <c r="AU45" s="66">
        <f>SUM(I45:AT45)</f>
      </c>
    </row>
    <row r="46" ht="16.5" customHeight="1" hidden="1" spans="1:47" x14ac:dyDescent="0.25" outlineLevel="1" collapsed="1">
      <c r="A46" s="24"/>
      <c r="B46" s="35"/>
      <c r="C46" s="101" t="s">
        <v>139</v>
      </c>
      <c r="D46" s="102"/>
      <c r="E46" s="103"/>
      <c r="F46" s="102"/>
      <c r="G46" s="104"/>
      <c r="H46" s="105" t="s">
        <v>119</v>
      </c>
      <c r="I46" s="67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9"/>
      <c r="AU46" s="70">
        <f>SUM(I46:AT46)</f>
      </c>
    </row>
    <row r="47" ht="15.75" customHeight="1" hidden="1" spans="1:47" x14ac:dyDescent="0.25" outlineLevel="1" collapsed="1">
      <c r="A47" s="24"/>
      <c r="B47" s="35"/>
      <c r="C47" s="106" t="s">
        <v>140</v>
      </c>
      <c r="D47" s="107" t="s">
        <v>106</v>
      </c>
      <c r="E47" s="108"/>
      <c r="F47" s="109" t="s">
        <v>114</v>
      </c>
      <c r="G47" s="110"/>
      <c r="H47" s="111"/>
      <c r="I47" s="59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1"/>
      <c r="AU47" s="62">
        <f>SUM(I47:AT47)</f>
      </c>
    </row>
    <row r="48" ht="16.5" customHeight="1" hidden="1" spans="1:47" x14ac:dyDescent="0.25" outlineLevel="1" collapsed="1">
      <c r="A48" s="24"/>
      <c r="B48" s="35"/>
      <c r="C48" s="93" t="s">
        <v>141</v>
      </c>
      <c r="D48" s="94"/>
      <c r="E48" s="95"/>
      <c r="F48" s="96" t="s">
        <v>116</v>
      </c>
      <c r="G48" s="97"/>
      <c r="H48" s="98" t="s">
        <v>117</v>
      </c>
      <c r="I48" s="63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5"/>
      <c r="AU48" s="66">
        <f>SUM(I48:AT48)</f>
      </c>
    </row>
    <row r="49" ht="15.75" customHeight="1" hidden="1" spans="1:47" x14ac:dyDescent="0.25" outlineLevel="1" collapsed="1">
      <c r="A49" s="24"/>
      <c r="B49" s="35"/>
      <c r="C49" s="93" t="s">
        <v>142</v>
      </c>
      <c r="D49" s="94"/>
      <c r="E49" s="95"/>
      <c r="F49" s="94"/>
      <c r="G49" s="97"/>
      <c r="H49" s="99" t="s">
        <v>119</v>
      </c>
      <c r="I49" s="112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4"/>
      <c r="AU49" s="115">
        <f>SUM(I49:AT49)</f>
      </c>
    </row>
    <row r="50" ht="15.75" customHeight="1" hidden="1" spans="1:47" x14ac:dyDescent="0.25" outlineLevel="1" collapsed="1">
      <c r="A50" s="24"/>
      <c r="B50" s="35"/>
      <c r="C50" s="93" t="s">
        <v>143</v>
      </c>
      <c r="D50" s="94"/>
      <c r="E50" s="95"/>
      <c r="F50" s="100" t="s">
        <v>121</v>
      </c>
      <c r="G50" s="97"/>
      <c r="H50" s="99" t="s">
        <v>117</v>
      </c>
      <c r="I50" s="112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4"/>
      <c r="AU50" s="115">
        <f>SUM(I50:AT50)</f>
      </c>
    </row>
    <row r="51" ht="15.75" customHeight="1" hidden="1" spans="1:47" x14ac:dyDescent="0.25" outlineLevel="1" collapsed="1">
      <c r="A51" s="24"/>
      <c r="B51" s="35"/>
      <c r="C51" s="93" t="s">
        <v>144</v>
      </c>
      <c r="D51" s="94"/>
      <c r="E51" s="95"/>
      <c r="F51" s="94"/>
      <c r="G51" s="97"/>
      <c r="H51" s="99" t="s">
        <v>119</v>
      </c>
      <c r="I51" s="112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14"/>
      <c r="AU51" s="115">
        <f>SUM(I51:AT51)</f>
      </c>
    </row>
    <row r="52" ht="15.75" customHeight="1" hidden="1" spans="1:47" x14ac:dyDescent="0.25" outlineLevel="1" collapsed="1">
      <c r="A52" s="24"/>
      <c r="B52" s="35"/>
      <c r="C52" s="93" t="s">
        <v>145</v>
      </c>
      <c r="D52" s="94"/>
      <c r="E52" s="95"/>
      <c r="F52" s="100" t="s">
        <v>124</v>
      </c>
      <c r="G52" s="97"/>
      <c r="H52" s="99" t="s">
        <v>117</v>
      </c>
      <c r="I52" s="112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4"/>
      <c r="AU52" s="115">
        <f>SUM(I52:AT52)</f>
      </c>
    </row>
    <row r="53" ht="16.5" customHeight="1" hidden="1" spans="1:47" x14ac:dyDescent="0.25" outlineLevel="1" collapsed="1">
      <c r="A53" s="24"/>
      <c r="B53" s="116"/>
      <c r="C53" s="101" t="s">
        <v>146</v>
      </c>
      <c r="D53" s="102"/>
      <c r="E53" s="103"/>
      <c r="F53" s="102"/>
      <c r="G53" s="104"/>
      <c r="H53" s="105" t="s">
        <v>119</v>
      </c>
      <c r="I53" s="117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20">
        <f>SUM(I53:AT53)</f>
      </c>
    </row>
    <row r="54" ht="16.5" customHeight="1" spans="1:47" x14ac:dyDescent="0.25">
      <c r="A54" s="24"/>
      <c r="B54" s="80" t="s">
        <v>147</v>
      </c>
      <c r="C54" s="81"/>
      <c r="D54" s="81"/>
      <c r="E54" s="81"/>
      <c r="F54" s="81"/>
      <c r="G54" s="81"/>
      <c r="H54" s="82"/>
      <c r="I54" s="83">
        <f>SUM(I26:I32)</f>
      </c>
      <c r="J54" s="84">
        <f>SUM(J26:J32)</f>
        <v>19</v>
      </c>
      <c r="K54" s="84">
        <f>SUM(K26:K32)</f>
        <v>2</v>
      </c>
      <c r="L54" s="84">
        <f>SUM(L26:L32)</f>
        <v>7</v>
      </c>
      <c r="M54" s="84">
        <f>SUM(M26:M32)</f>
        <v>11</v>
      </c>
      <c r="N54" s="84">
        <f>SUM(N26:N32)</f>
        <v>5</v>
      </c>
      <c r="O54" s="84">
        <f>SUM(O26:O32)</f>
        <v>16</v>
      </c>
      <c r="P54" s="84">
        <f>SUM(P26:P32)</f>
        <v>73</v>
      </c>
      <c r="Q54" s="84">
        <f>SUM(Q26:Q32)</f>
      </c>
      <c r="R54" s="84">
        <f>SUM(R26:R32)</f>
        <v>1</v>
      </c>
      <c r="S54" s="84">
        <f>SUM(S26:S32)</f>
        <v>10</v>
      </c>
      <c r="T54" s="84">
        <f>SUM(T26:T32)</f>
      </c>
      <c r="U54" s="84">
        <f>SUM(U26:U32)</f>
        <v>6</v>
      </c>
      <c r="V54" s="84">
        <f>SUM(V26:V32)</f>
        <v>4</v>
      </c>
      <c r="W54" s="84">
        <f>SUM(W26:W32)</f>
        <v>2</v>
      </c>
      <c r="X54" s="84">
        <f>SUM(X26:X32)</f>
        <v>1</v>
      </c>
      <c r="Y54" s="84">
        <f>SUM(Y26:Y32)</f>
        <v>8</v>
      </c>
      <c r="Z54" s="84">
        <f>SUM(Z26:Z32)</f>
        <v>12</v>
      </c>
      <c r="AA54" s="84">
        <f>SUM(AA26:AA32)</f>
        <v>5</v>
      </c>
      <c r="AB54" s="84">
        <f>SUM(AB26:AB32)</f>
      </c>
      <c r="AC54" s="84">
        <f>SUM(AC26:AC32)</f>
        <v>1</v>
      </c>
      <c r="AD54" s="84">
        <f>SUM(AD26:AD32)</f>
      </c>
      <c r="AE54" s="84">
        <f>SUM(AE26:AE32)</f>
        <v>3</v>
      </c>
      <c r="AF54" s="84">
        <f>SUM(AF26:AF32)</f>
      </c>
      <c r="AG54" s="84">
        <f>SUM(AG26:AG32)</f>
        <v>6</v>
      </c>
      <c r="AH54" s="84">
        <f>SUM(AH26:AH32)</f>
        <v>7</v>
      </c>
      <c r="AI54" s="84">
        <f>SUM(AI26:AI32)</f>
      </c>
      <c r="AJ54" s="84">
        <f>SUM(AJ26:AJ32)</f>
        <v>1</v>
      </c>
      <c r="AK54" s="84">
        <f>SUM(AK26:AK32)</f>
      </c>
      <c r="AL54" s="84">
        <f>SUM(AL26:AL32)</f>
        <v>3</v>
      </c>
      <c r="AM54" s="84">
        <f>SUM(AM26:AM32)</f>
        <v>9</v>
      </c>
      <c r="AN54" s="84">
        <f>SUM(AN26:AN32)</f>
      </c>
      <c r="AO54" s="84">
        <f>SUM(AO26:AO32)</f>
      </c>
      <c r="AP54" s="84">
        <f>SUM(AP26:AP32)</f>
        <v>21</v>
      </c>
      <c r="AQ54" s="84">
        <f>SUM(AQ26:AQ32)</f>
        <v>19</v>
      </c>
      <c r="AR54" s="84">
        <f>SUM(AR26:AR32)</f>
        <v>9</v>
      </c>
      <c r="AS54" s="84">
        <f>SUM(AS26:AS32)</f>
        <v>24</v>
      </c>
      <c r="AT54" s="84">
        <f>SUM(AT26:AT32)</f>
        <v>21</v>
      </c>
      <c r="AU54" s="85">
        <f>SUM(I54:AT54)</f>
        <v>306</v>
      </c>
    </row>
    <row r="55" ht="15.75" customHeight="1" spans="1:47" x14ac:dyDescent="0.25">
      <c r="A55" s="24"/>
      <c r="B55" s="121" t="s">
        <v>148</v>
      </c>
      <c r="C55" s="106" t="s">
        <v>149</v>
      </c>
      <c r="D55" s="107" t="s">
        <v>83</v>
      </c>
      <c r="E55" s="108"/>
      <c r="F55" s="122" t="s">
        <v>150</v>
      </c>
      <c r="G55" s="110"/>
      <c r="H55" s="111"/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3"/>
      <c r="AU55" s="123">
        <f>SUM(I55:AT55)</f>
        <v>417</v>
      </c>
    </row>
    <row r="56" ht="15.75" customHeight="1" spans="1:47" x14ac:dyDescent="0.25">
      <c r="A56" s="24"/>
      <c r="B56" s="35"/>
      <c r="C56" s="93" t="s">
        <v>151</v>
      </c>
      <c r="D56" s="94"/>
      <c r="E56" s="95"/>
      <c r="F56" s="124" t="s">
        <v>152</v>
      </c>
      <c r="G56" s="97"/>
      <c r="H56" s="125"/>
      <c r="I56" s="41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3"/>
      <c r="AU56" s="44">
        <f>SUM(I56:AT56)</f>
        <v>424</v>
      </c>
    </row>
    <row r="57" ht="15.75" customHeight="1" spans="1:47" x14ac:dyDescent="0.25">
      <c r="A57" s="24"/>
      <c r="B57" s="35"/>
      <c r="C57" s="93" t="s">
        <v>153</v>
      </c>
      <c r="D57" s="94"/>
      <c r="E57" s="95"/>
      <c r="F57" s="124" t="s">
        <v>154</v>
      </c>
      <c r="G57" s="97"/>
      <c r="H57" s="125"/>
      <c r="I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3"/>
      <c r="AU57" s="44">
        <f>SUM(I57:AT57)</f>
        <v>372</v>
      </c>
    </row>
    <row r="58" ht="15" customHeight="1" spans="1:47" x14ac:dyDescent="0.25">
      <c r="A58" s="24"/>
      <c r="B58" s="35"/>
      <c r="C58" s="93" t="s">
        <v>155</v>
      </c>
      <c r="D58" s="94"/>
      <c r="E58" s="95"/>
      <c r="F58" s="124" t="s">
        <v>156</v>
      </c>
      <c r="G58" s="97"/>
      <c r="H58" s="125"/>
      <c r="I58" s="41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3"/>
      <c r="AU58" s="44">
        <f>SUM(I58:AT58)</f>
        <v>277</v>
      </c>
    </row>
    <row r="59" ht="15.75" customHeight="1" spans="1:47" x14ac:dyDescent="0.25">
      <c r="A59" s="24"/>
      <c r="B59" s="35"/>
      <c r="C59" s="93" t="s">
        <v>157</v>
      </c>
      <c r="D59" s="94"/>
      <c r="E59" s="95"/>
      <c r="F59" s="96" t="s">
        <v>158</v>
      </c>
      <c r="G59" s="97"/>
      <c r="H59" s="126" t="s">
        <v>117</v>
      </c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3"/>
      <c r="AU59" s="44">
        <f>SUM(I59:AT59)</f>
        <v>45</v>
      </c>
    </row>
    <row r="60" ht="15.75" customHeight="1" spans="1:47" x14ac:dyDescent="0.25">
      <c r="A60" s="24"/>
      <c r="B60" s="35"/>
      <c r="C60" s="93" t="s">
        <v>159</v>
      </c>
      <c r="D60" s="94"/>
      <c r="E60" s="95"/>
      <c r="F60" s="94"/>
      <c r="G60" s="97"/>
      <c r="H60" s="126" t="s">
        <v>119</v>
      </c>
      <c r="I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3"/>
      <c r="AU60" s="44">
        <f>SUM(I60:AT60)</f>
        <v>37</v>
      </c>
    </row>
    <row r="61" ht="15.75" customHeight="1" spans="1:47" x14ac:dyDescent="0.25">
      <c r="A61" s="24"/>
      <c r="B61" s="35"/>
      <c r="C61" s="93" t="s">
        <v>160</v>
      </c>
      <c r="D61" s="94"/>
      <c r="E61" s="95"/>
      <c r="F61" s="94"/>
      <c r="G61" s="97"/>
      <c r="H61" s="126" t="s">
        <v>161</v>
      </c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3"/>
      <c r="AU61" s="44">
        <f>SUM(I61:AT61)</f>
        <v>40</v>
      </c>
    </row>
    <row r="62" ht="16.5" customHeight="1" spans="1:47" x14ac:dyDescent="0.25">
      <c r="A62" s="24"/>
      <c r="B62" s="35"/>
      <c r="C62" s="101" t="s">
        <v>162</v>
      </c>
      <c r="D62" s="102"/>
      <c r="E62" s="103"/>
      <c r="F62" s="102"/>
      <c r="G62" s="104"/>
      <c r="H62" s="127" t="s">
        <v>163</v>
      </c>
      <c r="I62" s="50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2"/>
      <c r="AU62" s="53">
        <f>SUM(I62:AT62)</f>
        <v>87</v>
      </c>
    </row>
    <row r="63" ht="15.75" customHeight="1" hidden="1" spans="1:47" x14ac:dyDescent="0.25" outlineLevel="1" collapsed="1">
      <c r="A63" s="24"/>
      <c r="B63" s="35"/>
      <c r="C63" s="106" t="s">
        <v>164</v>
      </c>
      <c r="D63" s="107" t="s">
        <v>94</v>
      </c>
      <c r="E63" s="108"/>
      <c r="F63" s="122" t="s">
        <v>150</v>
      </c>
      <c r="G63" s="110"/>
      <c r="H63" s="111"/>
      <c r="I63" s="59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1"/>
      <c r="AU63" s="62">
        <f>SUM(I63:AT63)</f>
      </c>
    </row>
    <row r="64" ht="15.75" customHeight="1" hidden="1" spans="1:47" x14ac:dyDescent="0.25" outlineLevel="1" collapsed="1">
      <c r="A64" s="24"/>
      <c r="B64" s="35"/>
      <c r="C64" s="93" t="s">
        <v>165</v>
      </c>
      <c r="D64" s="94"/>
      <c r="E64" s="95"/>
      <c r="F64" s="124" t="s">
        <v>152</v>
      </c>
      <c r="G64" s="97"/>
      <c r="H64" s="125"/>
      <c r="I64" s="63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5"/>
      <c r="AU64" s="66">
        <f>SUM(I64:AT64)</f>
      </c>
    </row>
    <row r="65" ht="15.75" customHeight="1" hidden="1" spans="1:47" x14ac:dyDescent="0.25" outlineLevel="1" collapsed="1">
      <c r="A65" s="24"/>
      <c r="B65" s="35"/>
      <c r="C65" s="93" t="s">
        <v>166</v>
      </c>
      <c r="D65" s="94"/>
      <c r="E65" s="95"/>
      <c r="F65" s="124" t="s">
        <v>154</v>
      </c>
      <c r="G65" s="97"/>
      <c r="H65" s="125"/>
      <c r="I65" s="63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5"/>
      <c r="AU65" s="66">
        <f>SUM(I65:AT65)</f>
      </c>
    </row>
    <row r="66" ht="15" customHeight="1" hidden="1" spans="1:47" x14ac:dyDescent="0.25" outlineLevel="1" collapsed="1">
      <c r="A66" s="24"/>
      <c r="B66" s="35"/>
      <c r="C66" s="93" t="s">
        <v>167</v>
      </c>
      <c r="D66" s="94"/>
      <c r="E66" s="95"/>
      <c r="F66" s="124" t="s">
        <v>156</v>
      </c>
      <c r="G66" s="97"/>
      <c r="H66" s="125"/>
      <c r="I66" s="63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5"/>
      <c r="AU66" s="66">
        <f>SUM(I66:AT66)</f>
      </c>
    </row>
    <row r="67" ht="15.75" customHeight="1" hidden="1" spans="1:47" x14ac:dyDescent="0.25" outlineLevel="1" collapsed="1">
      <c r="A67" s="24"/>
      <c r="B67" s="35"/>
      <c r="C67" s="93" t="s">
        <v>168</v>
      </c>
      <c r="D67" s="94"/>
      <c r="E67" s="95"/>
      <c r="F67" s="96" t="s">
        <v>158</v>
      </c>
      <c r="G67" s="97"/>
      <c r="H67" s="126" t="s">
        <v>117</v>
      </c>
      <c r="I67" s="63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5"/>
      <c r="AU67" s="66">
        <f>SUM(I67:AT67)</f>
      </c>
    </row>
    <row r="68" ht="15.75" customHeight="1" hidden="1" spans="1:47" x14ac:dyDescent="0.25" outlineLevel="1" collapsed="1">
      <c r="A68" s="24"/>
      <c r="B68" s="35"/>
      <c r="C68" s="93" t="s">
        <v>169</v>
      </c>
      <c r="D68" s="94"/>
      <c r="E68" s="95"/>
      <c r="F68" s="94"/>
      <c r="G68" s="97"/>
      <c r="H68" s="126" t="s">
        <v>119</v>
      </c>
      <c r="I68" s="63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5"/>
      <c r="AU68" s="66">
        <f>SUM(I68:AT68)</f>
      </c>
    </row>
    <row r="69" ht="15.75" customHeight="1" hidden="1" spans="1:47" x14ac:dyDescent="0.25" outlineLevel="1" collapsed="1">
      <c r="A69" s="24"/>
      <c r="B69" s="35"/>
      <c r="C69" s="93" t="s">
        <v>170</v>
      </c>
      <c r="D69" s="94"/>
      <c r="E69" s="95"/>
      <c r="F69" s="94"/>
      <c r="G69" s="97"/>
      <c r="H69" s="126" t="s">
        <v>161</v>
      </c>
      <c r="I69" s="63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5"/>
      <c r="AU69" s="66">
        <f>SUM(I69:AT69)</f>
      </c>
    </row>
    <row r="70" ht="16.5" customHeight="1" hidden="1" spans="1:47" x14ac:dyDescent="0.25" outlineLevel="1" collapsed="1">
      <c r="A70" s="24"/>
      <c r="B70" s="35"/>
      <c r="C70" s="101" t="s">
        <v>171</v>
      </c>
      <c r="D70" s="102"/>
      <c r="E70" s="103"/>
      <c r="F70" s="102"/>
      <c r="G70" s="104"/>
      <c r="H70" s="127" t="s">
        <v>163</v>
      </c>
      <c r="I70" s="67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9"/>
      <c r="AU70" s="70">
        <f>SUM(I70:AT70)</f>
      </c>
    </row>
    <row r="71" ht="15.75" customHeight="1" hidden="1" spans="1:47" x14ac:dyDescent="0.25" outlineLevel="1" collapsed="1">
      <c r="A71" s="24"/>
      <c r="B71" s="35"/>
      <c r="C71" s="106" t="s">
        <v>172</v>
      </c>
      <c r="D71" s="107" t="s">
        <v>100</v>
      </c>
      <c r="E71" s="108"/>
      <c r="F71" s="122" t="s">
        <v>150</v>
      </c>
      <c r="G71" s="110"/>
      <c r="H71" s="111"/>
      <c r="I71" s="59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1"/>
      <c r="AU71" s="62">
        <f>SUM(I71:AT71)</f>
      </c>
    </row>
    <row r="72" ht="15.75" customHeight="1" hidden="1" spans="1:47" x14ac:dyDescent="0.25" outlineLevel="1" collapsed="1">
      <c r="A72" s="24"/>
      <c r="B72" s="35"/>
      <c r="C72" s="93" t="s">
        <v>173</v>
      </c>
      <c r="D72" s="94"/>
      <c r="E72" s="95"/>
      <c r="F72" s="124" t="s">
        <v>152</v>
      </c>
      <c r="G72" s="97"/>
      <c r="H72" s="125"/>
      <c r="I72" s="63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5"/>
      <c r="AU72" s="66">
        <f>SUM(I72:AT72)</f>
      </c>
    </row>
    <row r="73" ht="15.75" customHeight="1" hidden="1" spans="1:47" x14ac:dyDescent="0.25" outlineLevel="1" collapsed="1">
      <c r="A73" s="24"/>
      <c r="B73" s="35"/>
      <c r="C73" s="93" t="s">
        <v>174</v>
      </c>
      <c r="D73" s="94"/>
      <c r="E73" s="95"/>
      <c r="F73" s="124" t="s">
        <v>154</v>
      </c>
      <c r="G73" s="97"/>
      <c r="H73" s="125"/>
      <c r="I73" s="63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5"/>
      <c r="AU73" s="66">
        <f>SUM(I73:AT73)</f>
      </c>
    </row>
    <row r="74" ht="15" customHeight="1" hidden="1" spans="1:47" x14ac:dyDescent="0.25" outlineLevel="1" collapsed="1">
      <c r="A74" s="24"/>
      <c r="B74" s="35"/>
      <c r="C74" s="93" t="s">
        <v>175</v>
      </c>
      <c r="D74" s="94"/>
      <c r="E74" s="95"/>
      <c r="F74" s="124" t="s">
        <v>156</v>
      </c>
      <c r="G74" s="97"/>
      <c r="H74" s="125"/>
      <c r="I74" s="63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5"/>
      <c r="AU74" s="66">
        <f>SUM(I74:AT74)</f>
      </c>
    </row>
    <row r="75" ht="15.75" customHeight="1" hidden="1" spans="1:47" x14ac:dyDescent="0.25" outlineLevel="1" collapsed="1">
      <c r="A75" s="24"/>
      <c r="B75" s="35"/>
      <c r="C75" s="93" t="s">
        <v>176</v>
      </c>
      <c r="D75" s="94"/>
      <c r="E75" s="95"/>
      <c r="F75" s="96" t="s">
        <v>158</v>
      </c>
      <c r="G75" s="97"/>
      <c r="H75" s="126" t="s">
        <v>117</v>
      </c>
      <c r="I75" s="63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5"/>
      <c r="AU75" s="66">
        <f>SUM(I75:AT75)</f>
      </c>
    </row>
    <row r="76" ht="15.75" customHeight="1" hidden="1" spans="1:47" x14ac:dyDescent="0.25" outlineLevel="1" collapsed="1">
      <c r="A76" s="24"/>
      <c r="B76" s="35"/>
      <c r="C76" s="93" t="s">
        <v>177</v>
      </c>
      <c r="D76" s="94"/>
      <c r="E76" s="95"/>
      <c r="F76" s="94"/>
      <c r="G76" s="97"/>
      <c r="H76" s="126" t="s">
        <v>119</v>
      </c>
      <c r="I76" s="63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5"/>
      <c r="AU76" s="66">
        <f>SUM(I76:AT76)</f>
      </c>
    </row>
    <row r="77" ht="15.75" customHeight="1" hidden="1" spans="1:47" x14ac:dyDescent="0.25" outlineLevel="1" collapsed="1">
      <c r="A77" s="24"/>
      <c r="B77" s="35"/>
      <c r="C77" s="93" t="s">
        <v>178</v>
      </c>
      <c r="D77" s="94"/>
      <c r="E77" s="95"/>
      <c r="F77" s="94"/>
      <c r="G77" s="97"/>
      <c r="H77" s="126" t="s">
        <v>161</v>
      </c>
      <c r="I77" s="63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5"/>
      <c r="AU77" s="66">
        <f>SUM(I77:AT77)</f>
      </c>
    </row>
    <row r="78" ht="16.5" customHeight="1" hidden="1" spans="1:47" x14ac:dyDescent="0.25" outlineLevel="1" collapsed="1">
      <c r="A78" s="24"/>
      <c r="B78" s="35"/>
      <c r="C78" s="101" t="s">
        <v>179</v>
      </c>
      <c r="D78" s="102"/>
      <c r="E78" s="103"/>
      <c r="F78" s="102"/>
      <c r="G78" s="104"/>
      <c r="H78" s="127" t="s">
        <v>163</v>
      </c>
      <c r="I78" s="67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9"/>
      <c r="AU78" s="70">
        <f>SUM(I78:AT78)</f>
      </c>
    </row>
    <row r="79" ht="15.75" customHeight="1" hidden="1" spans="1:47" x14ac:dyDescent="0.25" outlineLevel="1" collapsed="1">
      <c r="A79" s="24"/>
      <c r="B79" s="35"/>
      <c r="C79" s="106" t="s">
        <v>180</v>
      </c>
      <c r="D79" s="107" t="s">
        <v>106</v>
      </c>
      <c r="E79" s="108"/>
      <c r="F79" s="122" t="s">
        <v>150</v>
      </c>
      <c r="G79" s="110"/>
      <c r="H79" s="111"/>
      <c r="I79" s="59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1"/>
      <c r="AU79" s="62">
        <f>SUM(I79:AT79)</f>
      </c>
    </row>
    <row r="80" ht="15.75" customHeight="1" hidden="1" spans="1:47" x14ac:dyDescent="0.25" outlineLevel="1" collapsed="1">
      <c r="A80" s="24"/>
      <c r="B80" s="35"/>
      <c r="C80" s="93" t="s">
        <v>181</v>
      </c>
      <c r="D80" s="94"/>
      <c r="E80" s="95"/>
      <c r="F80" s="124" t="s">
        <v>152</v>
      </c>
      <c r="G80" s="97"/>
      <c r="H80" s="125"/>
      <c r="I80" s="63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5"/>
      <c r="AU80" s="66">
        <f>SUM(I80:AT80)</f>
      </c>
    </row>
    <row r="81" ht="15.75" customHeight="1" hidden="1" spans="1:47" x14ac:dyDescent="0.25" outlineLevel="1" collapsed="1">
      <c r="A81" s="24"/>
      <c r="B81" s="35"/>
      <c r="C81" s="93" t="s">
        <v>182</v>
      </c>
      <c r="D81" s="94"/>
      <c r="E81" s="95"/>
      <c r="F81" s="124" t="s">
        <v>154</v>
      </c>
      <c r="G81" s="97"/>
      <c r="H81" s="125"/>
      <c r="I81" s="63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5"/>
      <c r="AU81" s="66">
        <f>SUM(I81:AT81)</f>
      </c>
    </row>
    <row r="82" ht="15.75" customHeight="1" hidden="1" spans="1:47" x14ac:dyDescent="0.25" outlineLevel="1" collapsed="1">
      <c r="A82" s="24"/>
      <c r="B82" s="35"/>
      <c r="C82" s="93" t="s">
        <v>183</v>
      </c>
      <c r="D82" s="94"/>
      <c r="E82" s="95"/>
      <c r="F82" s="124" t="s">
        <v>156</v>
      </c>
      <c r="G82" s="97"/>
      <c r="H82" s="125"/>
      <c r="I82" s="63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5"/>
      <c r="AU82" s="66">
        <f>SUM(I82:AT82)</f>
      </c>
    </row>
    <row r="83" ht="15.75" customHeight="1" hidden="1" spans="1:47" x14ac:dyDescent="0.25" outlineLevel="1" collapsed="1">
      <c r="A83" s="24"/>
      <c r="B83" s="35"/>
      <c r="C83" s="93" t="s">
        <v>184</v>
      </c>
      <c r="D83" s="94"/>
      <c r="E83" s="95"/>
      <c r="F83" s="96" t="s">
        <v>158</v>
      </c>
      <c r="G83" s="97"/>
      <c r="H83" s="126" t="s">
        <v>117</v>
      </c>
      <c r="I83" s="63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5"/>
      <c r="AU83" s="66">
        <f>SUM(I83:AT83)</f>
      </c>
    </row>
    <row r="84" ht="15.75" customHeight="1" hidden="1" spans="1:47" x14ac:dyDescent="0.25" outlineLevel="1" collapsed="1">
      <c r="A84" s="24"/>
      <c r="B84" s="35"/>
      <c r="C84" s="93" t="s">
        <v>185</v>
      </c>
      <c r="D84" s="94"/>
      <c r="E84" s="95"/>
      <c r="F84" s="94"/>
      <c r="G84" s="97"/>
      <c r="H84" s="126" t="s">
        <v>119</v>
      </c>
      <c r="I84" s="63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5"/>
      <c r="AU84" s="66">
        <f>SUM(I84:AT84)</f>
      </c>
    </row>
    <row r="85" ht="15.75" customHeight="1" hidden="1" spans="1:47" x14ac:dyDescent="0.25" outlineLevel="1" collapsed="1">
      <c r="A85" s="24"/>
      <c r="B85" s="35"/>
      <c r="C85" s="93" t="s">
        <v>186</v>
      </c>
      <c r="D85" s="94"/>
      <c r="E85" s="95"/>
      <c r="F85" s="94"/>
      <c r="G85" s="97"/>
      <c r="H85" s="126" t="s">
        <v>161</v>
      </c>
      <c r="I85" s="63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5"/>
      <c r="AU85" s="66">
        <f>SUM(I85:AT85)</f>
      </c>
    </row>
    <row r="86" ht="16.5" customHeight="1" hidden="1" spans="1:47" x14ac:dyDescent="0.25" outlineLevel="1" collapsed="1">
      <c r="A86" s="24"/>
      <c r="B86" s="116"/>
      <c r="C86" s="101" t="s">
        <v>187</v>
      </c>
      <c r="D86" s="102"/>
      <c r="E86" s="103"/>
      <c r="F86" s="102"/>
      <c r="G86" s="104"/>
      <c r="H86" s="127" t="s">
        <v>163</v>
      </c>
      <c r="I86" s="76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8"/>
      <c r="AU86" s="70">
        <f>SUM(I86:AT86)</f>
      </c>
    </row>
    <row r="87" ht="16.5" customHeight="1" spans="1:47" x14ac:dyDescent="0.25">
      <c r="A87" s="24"/>
      <c r="B87" s="80" t="s">
        <v>188</v>
      </c>
      <c r="C87" s="81"/>
      <c r="D87" s="81"/>
      <c r="E87" s="81"/>
      <c r="F87" s="81"/>
      <c r="G87" s="81"/>
      <c r="H87" s="82"/>
      <c r="I87" s="83">
        <f>SUM(I55:I62)</f>
      </c>
      <c r="J87" s="84">
        <f>SUM(J55:J62)</f>
        <v>71</v>
      </c>
      <c r="K87" s="84">
        <f>SUM(K55:K62)</f>
        <v>17</v>
      </c>
      <c r="L87" s="84">
        <f>SUM(L55:L62)</f>
        <v>26</v>
      </c>
      <c r="M87" s="84">
        <f>SUM(M55:M62)</f>
        <v>27</v>
      </c>
      <c r="N87" s="84">
        <f>SUM(N55:N62)</f>
        <v>40</v>
      </c>
      <c r="O87" s="84">
        <f>SUM(O55:O62)</f>
        <v>80</v>
      </c>
      <c r="P87" s="84">
        <f>SUM(P55:P62)</f>
        <v>165</v>
      </c>
      <c r="Q87" s="84">
        <f>SUM(Q55:Q62)</f>
        <v>27</v>
      </c>
      <c r="R87" s="84">
        <f>SUM(R55:R62)</f>
        <v>30</v>
      </c>
      <c r="S87" s="84">
        <f>SUM(S55:S62)</f>
        <v>29</v>
      </c>
      <c r="T87" s="84">
        <f>SUM(T55:T62)</f>
        <v>22</v>
      </c>
      <c r="U87" s="84">
        <f>SUM(U55:U62)</f>
        <v>14</v>
      </c>
      <c r="V87" s="84">
        <f>SUM(V55:V62)</f>
        <v>8</v>
      </c>
      <c r="W87" s="84">
        <f>SUM(W55:W62)</f>
        <v>43</v>
      </c>
      <c r="X87" s="84">
        <f>SUM(X55:X62)</f>
        <v>7</v>
      </c>
      <c r="Y87" s="84">
        <f>SUM(Y55:Y62)</f>
        <v>63</v>
      </c>
      <c r="Z87" s="84">
        <f>SUM(Z55:Z62)</f>
        <v>183</v>
      </c>
      <c r="AA87" s="84">
        <f>SUM(AA55:AA62)</f>
        <v>54</v>
      </c>
      <c r="AB87" s="84">
        <f>SUM(AB55:AB62)</f>
      </c>
      <c r="AC87" s="84">
        <f>SUM(AC55:AC62)</f>
        <v>1</v>
      </c>
      <c r="AD87" s="84">
        <f>SUM(AD55:AD62)</f>
        <v>11</v>
      </c>
      <c r="AE87" s="84">
        <f>SUM(AE55:AE62)</f>
        <v>2</v>
      </c>
      <c r="AF87" s="84">
        <f>SUM(AF55:AF62)</f>
        <v>7</v>
      </c>
      <c r="AG87" s="84">
        <f>SUM(AG55:AG62)</f>
        <v>37</v>
      </c>
      <c r="AH87" s="84">
        <f>SUM(AH55:AH62)</f>
        <v>85</v>
      </c>
      <c r="AI87" s="84">
        <f>SUM(AI55:AI62)</f>
      </c>
      <c r="AJ87" s="84">
        <f>SUM(AJ55:AJ62)</f>
        <v>14</v>
      </c>
      <c r="AK87" s="84">
        <f>SUM(AK55:AK62)</f>
        <v>28</v>
      </c>
      <c r="AL87" s="84">
        <f>SUM(AL55:AL62)</f>
        <v>15</v>
      </c>
      <c r="AM87" s="84">
        <f>SUM(AM55:AM62)</f>
        <v>4</v>
      </c>
      <c r="AN87" s="84">
        <f>SUM(AN55:AN62)</f>
      </c>
      <c r="AO87" s="84">
        <f>SUM(AO55:AO62)</f>
      </c>
      <c r="AP87" s="84">
        <f>SUM(AP55:AP62)</f>
        <v>116</v>
      </c>
      <c r="AQ87" s="84">
        <f>SUM(AQ55:AQ62)</f>
        <v>181</v>
      </c>
      <c r="AR87" s="84">
        <f>SUM(AR55:AR62)</f>
        <v>80</v>
      </c>
      <c r="AS87" s="84">
        <f>SUM(AS55:AS62)</f>
        <v>189</v>
      </c>
      <c r="AT87" s="84">
        <f>SUM(AT55:AT62)</f>
        <v>23</v>
      </c>
      <c r="AU87" s="85">
        <f>SUM(I87:AT87)</f>
        <v>1699</v>
      </c>
    </row>
    <row r="88" ht="18" customHeight="1" spans="1:47" x14ac:dyDescent="0.25">
      <c r="A88" s="24"/>
      <c r="B88" s="128" t="s">
        <v>189</v>
      </c>
      <c r="C88" s="129" t="s">
        <v>190</v>
      </c>
      <c r="D88" s="130" t="s">
        <v>83</v>
      </c>
      <c r="E88" s="108"/>
      <c r="F88" s="122" t="s">
        <v>191</v>
      </c>
      <c r="G88" s="110"/>
      <c r="H88" s="111"/>
      <c r="I88" s="31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3"/>
      <c r="AU88" s="123">
        <f>SUM(I88:AT88)</f>
        <v>328</v>
      </c>
    </row>
    <row r="89" ht="16.5" customHeight="1" spans="1:47" x14ac:dyDescent="0.25">
      <c r="A89" s="24"/>
      <c r="B89" s="35"/>
      <c r="C89" s="131" t="s">
        <v>192</v>
      </c>
      <c r="D89" s="102"/>
      <c r="E89" s="103"/>
      <c r="F89" s="132" t="s">
        <v>193</v>
      </c>
      <c r="G89" s="104"/>
      <c r="H89" s="133"/>
      <c r="I89" s="50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2"/>
      <c r="AU89" s="53">
        <f>SUM(I89:AT89)</f>
        <v>76</v>
      </c>
    </row>
    <row r="90" ht="18" customHeight="1" hidden="1" spans="1:47" x14ac:dyDescent="0.25" outlineLevel="1" collapsed="1">
      <c r="A90" s="24"/>
      <c r="B90" s="35"/>
      <c r="C90" s="129" t="s">
        <v>194</v>
      </c>
      <c r="D90" s="130" t="s">
        <v>94</v>
      </c>
      <c r="E90" s="108"/>
      <c r="F90" s="122" t="s">
        <v>191</v>
      </c>
      <c r="G90" s="110"/>
      <c r="H90" s="111"/>
      <c r="I90" s="59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1"/>
      <c r="AU90" s="62">
        <f>SUM(I90:AT90)</f>
      </c>
    </row>
    <row r="91" ht="16.5" customHeight="1" hidden="1" spans="1:47" x14ac:dyDescent="0.25" outlineLevel="1" collapsed="1">
      <c r="A91" s="24"/>
      <c r="B91" s="35"/>
      <c r="C91" s="131" t="s">
        <v>195</v>
      </c>
      <c r="D91" s="102"/>
      <c r="E91" s="103"/>
      <c r="F91" s="132" t="s">
        <v>193</v>
      </c>
      <c r="G91" s="104"/>
      <c r="H91" s="133"/>
      <c r="I91" s="67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9"/>
      <c r="AU91" s="70">
        <f>SUM(I91:AT91)</f>
      </c>
    </row>
    <row r="92" ht="18" customHeight="1" hidden="1" spans="1:47" x14ac:dyDescent="0.25" outlineLevel="1" collapsed="1">
      <c r="A92" s="24"/>
      <c r="B92" s="35"/>
      <c r="C92" s="129" t="s">
        <v>196</v>
      </c>
      <c r="D92" s="130" t="s">
        <v>100</v>
      </c>
      <c r="E92" s="108"/>
      <c r="F92" s="122" t="s">
        <v>191</v>
      </c>
      <c r="G92" s="110"/>
      <c r="H92" s="111"/>
      <c r="I92" s="59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1"/>
      <c r="AU92" s="62">
        <f>SUM(I92:AT92)</f>
      </c>
    </row>
    <row r="93" ht="16.5" customHeight="1" hidden="1" spans="1:47" x14ac:dyDescent="0.25" outlineLevel="1" collapsed="1">
      <c r="A93" s="24"/>
      <c r="B93" s="35"/>
      <c r="C93" s="131" t="s">
        <v>197</v>
      </c>
      <c r="D93" s="102"/>
      <c r="E93" s="103"/>
      <c r="F93" s="132" t="s">
        <v>193</v>
      </c>
      <c r="G93" s="104"/>
      <c r="H93" s="133"/>
      <c r="I93" s="67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9"/>
      <c r="AU93" s="70">
        <f>SUM(I93:AT93)</f>
      </c>
    </row>
    <row r="94" ht="18" customHeight="1" hidden="1" spans="1:47" x14ac:dyDescent="0.25" outlineLevel="1" collapsed="1">
      <c r="A94" s="24"/>
      <c r="B94" s="35"/>
      <c r="C94" s="129" t="s">
        <v>198</v>
      </c>
      <c r="D94" s="130" t="s">
        <v>106</v>
      </c>
      <c r="E94" s="108"/>
      <c r="F94" s="122" t="s">
        <v>191</v>
      </c>
      <c r="G94" s="110"/>
      <c r="H94" s="111"/>
      <c r="I94" s="134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6"/>
      <c r="AU94" s="137">
        <f>SUM(I94:AT94)</f>
      </c>
    </row>
    <row r="95" ht="16.5" customHeight="1" hidden="1" spans="1:47" x14ac:dyDescent="0.25" outlineLevel="1" collapsed="1">
      <c r="A95" s="24"/>
      <c r="B95" s="116"/>
      <c r="C95" s="131" t="s">
        <v>199</v>
      </c>
      <c r="D95" s="102"/>
      <c r="E95" s="103"/>
      <c r="F95" s="132" t="s">
        <v>193</v>
      </c>
      <c r="G95" s="104"/>
      <c r="H95" s="133"/>
      <c r="I95" s="117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9"/>
      <c r="AU95" s="120">
        <f>SUM(I95:AT95)</f>
      </c>
    </row>
    <row r="96" ht="16.5" customHeight="1" spans="1:47" x14ac:dyDescent="0.25">
      <c r="A96" s="24"/>
      <c r="B96" s="80" t="s">
        <v>200</v>
      </c>
      <c r="C96" s="81"/>
      <c r="D96" s="81"/>
      <c r="E96" s="81"/>
      <c r="F96" s="81"/>
      <c r="G96" s="81"/>
      <c r="H96" s="82"/>
      <c r="I96" s="83">
        <f>SUM(I88:I89)</f>
      </c>
      <c r="J96" s="84">
        <f>SUM(J88:J89)</f>
        <v>17</v>
      </c>
      <c r="K96" s="84">
        <f>SUM(K88:K89)</f>
        <v>4</v>
      </c>
      <c r="L96" s="84">
        <f>SUM(L88:L89)</f>
        <v>6</v>
      </c>
      <c r="M96" s="84">
        <f>SUM(M88:M89)</f>
        <v>9</v>
      </c>
      <c r="N96" s="84">
        <f>SUM(N88:N89)</f>
        <v>6</v>
      </c>
      <c r="O96" s="84">
        <f>SUM(O88:O89)</f>
        <v>13</v>
      </c>
      <c r="P96" s="84">
        <f>SUM(P88:P89)</f>
        <v>60</v>
      </c>
      <c r="Q96" s="84">
        <f>SUM(Q88:Q89)</f>
        <v>3</v>
      </c>
      <c r="R96" s="84">
        <f>SUM(R88:R89)</f>
        <v>12</v>
      </c>
      <c r="S96" s="84">
        <f>SUM(S88:S89)</f>
        <v>10</v>
      </c>
      <c r="T96" s="84">
        <f>SUM(T88:T89)</f>
        <v>4</v>
      </c>
      <c r="U96" s="84">
        <f>SUM(U88:U89)</f>
        <v>7</v>
      </c>
      <c r="V96" s="84">
        <f>SUM(V88:V89)</f>
      </c>
      <c r="W96" s="84">
        <f>SUM(W88:W89)</f>
        <v>11</v>
      </c>
      <c r="X96" s="84">
        <f>SUM(X88:X89)</f>
        <v>5</v>
      </c>
      <c r="Y96" s="84">
        <f>SUM(Y88:Y89)</f>
        <v>23</v>
      </c>
      <c r="Z96" s="84">
        <f>SUM(Z88:Z89)</f>
        <v>41</v>
      </c>
      <c r="AA96" s="84">
        <f>SUM(AA88:AA89)</f>
        <v>14</v>
      </c>
      <c r="AB96" s="84">
        <f>SUM(AB88:AB89)</f>
      </c>
      <c r="AC96" s="84">
        <f>SUM(AC88:AC89)</f>
      </c>
      <c r="AD96" s="84">
        <f>SUM(AD88:AD89)</f>
        <v>9</v>
      </c>
      <c r="AE96" s="84">
        <f>SUM(AE88:AE89)</f>
        <v>4</v>
      </c>
      <c r="AF96" s="84">
        <f>SUM(AF88:AF89)</f>
      </c>
      <c r="AG96" s="84">
        <f>SUM(AG88:AG89)</f>
        <v>5</v>
      </c>
      <c r="AH96" s="84">
        <f>SUM(AH88:AH89)</f>
        <v>16</v>
      </c>
      <c r="AI96" s="84">
        <f>SUM(AI88:AI89)</f>
      </c>
      <c r="AJ96" s="84">
        <f>SUM(AJ88:AJ89)</f>
        <v>4</v>
      </c>
      <c r="AK96" s="84">
        <f>SUM(AK88:AK89)</f>
      </c>
      <c r="AL96" s="84">
        <f>SUM(AL88:AL89)</f>
        <v>4</v>
      </c>
      <c r="AM96" s="84">
        <f>SUM(AM88:AM89)</f>
        <v>8</v>
      </c>
      <c r="AN96" s="84">
        <f>SUM(AN88:AN89)</f>
      </c>
      <c r="AO96" s="84">
        <f>SUM(AO88:AO89)</f>
      </c>
      <c r="AP96" s="84">
        <f>SUM(AP88:AP89)</f>
        <v>18</v>
      </c>
      <c r="AQ96" s="84">
        <f>SUM(AQ88:AQ89)</f>
        <v>42</v>
      </c>
      <c r="AR96" s="84">
        <f>SUM(AR88:AR89)</f>
        <v>20</v>
      </c>
      <c r="AS96" s="84">
        <f>SUM(AS88:AS89)</f>
        <v>21</v>
      </c>
      <c r="AT96" s="84">
        <f>SUM(AT88:AT89)</f>
        <v>8</v>
      </c>
      <c r="AU96" s="85">
        <f>SUM(I96:AT96)</f>
        <v>404</v>
      </c>
    </row>
    <row r="97" ht="15.75" customHeight="1" spans="1:47" x14ac:dyDescent="0.25">
      <c r="A97" s="24"/>
      <c r="B97" s="138" t="s">
        <v>201</v>
      </c>
      <c r="C97" s="106" t="s">
        <v>202</v>
      </c>
      <c r="D97" s="107" t="s">
        <v>83</v>
      </c>
      <c r="E97" s="108"/>
      <c r="F97" s="122" t="s">
        <v>203</v>
      </c>
      <c r="G97" s="110"/>
      <c r="H97" s="111"/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3"/>
      <c r="AU97" s="123">
        <f>SUM(I97:AT97)</f>
        <v>412</v>
      </c>
    </row>
    <row r="98" ht="15.75" customHeight="1" spans="1:47" x14ac:dyDescent="0.25">
      <c r="A98" s="24"/>
      <c r="B98" s="35"/>
      <c r="C98" s="93" t="s">
        <v>204</v>
      </c>
      <c r="D98" s="94"/>
      <c r="E98" s="95"/>
      <c r="F98" s="124" t="s">
        <v>205</v>
      </c>
      <c r="G98" s="97"/>
      <c r="H98" s="125"/>
      <c r="I98" s="41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3"/>
      <c r="AU98" s="44">
        <f>SUM(I98:AT98)</f>
        <v>388</v>
      </c>
    </row>
    <row r="99" ht="15.75" customHeight="1" spans="1:47" x14ac:dyDescent="0.25">
      <c r="A99" s="24"/>
      <c r="B99" s="35"/>
      <c r="C99" s="93" t="s">
        <v>206</v>
      </c>
      <c r="D99" s="94"/>
      <c r="E99" s="95"/>
      <c r="F99" s="96" t="s">
        <v>207</v>
      </c>
      <c r="G99" s="97"/>
      <c r="H99" s="126" t="s">
        <v>208</v>
      </c>
      <c r="I99" s="41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3"/>
      <c r="AU99" s="44">
        <f>SUM(I99:AT99)</f>
        <v>35</v>
      </c>
    </row>
    <row r="100" ht="16.5" customHeight="1" spans="1:47" x14ac:dyDescent="0.25">
      <c r="A100" s="24"/>
      <c r="B100" s="35"/>
      <c r="C100" s="101" t="s">
        <v>209</v>
      </c>
      <c r="D100" s="102"/>
      <c r="E100" s="103"/>
      <c r="F100" s="102"/>
      <c r="G100" s="104"/>
      <c r="H100" s="127" t="s">
        <v>210</v>
      </c>
      <c r="I100" s="50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2"/>
      <c r="AU100" s="53">
        <f>SUM(I100:AT100)</f>
        <v>33</v>
      </c>
    </row>
    <row r="101" ht="15.75" customHeight="1" hidden="1" spans="1:47" x14ac:dyDescent="0.25" outlineLevel="1" collapsed="1">
      <c r="A101" s="24"/>
      <c r="B101" s="35"/>
      <c r="C101" s="106" t="s">
        <v>211</v>
      </c>
      <c r="D101" s="107" t="s">
        <v>94</v>
      </c>
      <c r="E101" s="108"/>
      <c r="F101" s="122" t="s">
        <v>203</v>
      </c>
      <c r="G101" s="110"/>
      <c r="H101" s="111"/>
      <c r="I101" s="59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1"/>
      <c r="AU101" s="62">
        <f>SUM(I101:AT101)</f>
      </c>
    </row>
    <row r="102" ht="15.75" customHeight="1" hidden="1" spans="1:47" x14ac:dyDescent="0.25" outlineLevel="1" collapsed="1">
      <c r="A102" s="24"/>
      <c r="B102" s="35"/>
      <c r="C102" s="93" t="s">
        <v>212</v>
      </c>
      <c r="D102" s="94"/>
      <c r="E102" s="95"/>
      <c r="F102" s="124" t="s">
        <v>205</v>
      </c>
      <c r="G102" s="97"/>
      <c r="H102" s="125"/>
      <c r="I102" s="63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5"/>
      <c r="AU102" s="66">
        <f>SUM(I102:AT102)</f>
      </c>
    </row>
    <row r="103" ht="15.75" customHeight="1" hidden="1" spans="1:47" x14ac:dyDescent="0.25" outlineLevel="1" collapsed="1">
      <c r="A103" s="24"/>
      <c r="B103" s="35"/>
      <c r="C103" s="93" t="s">
        <v>213</v>
      </c>
      <c r="D103" s="94"/>
      <c r="E103" s="95"/>
      <c r="F103" s="96" t="s">
        <v>207</v>
      </c>
      <c r="G103" s="97"/>
      <c r="H103" s="126" t="s">
        <v>208</v>
      </c>
      <c r="I103" s="63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5"/>
      <c r="AU103" s="66">
        <f>SUM(I103:AT103)</f>
      </c>
    </row>
    <row r="104" ht="16.5" customHeight="1" hidden="1" spans="1:47" x14ac:dyDescent="0.25" outlineLevel="1" collapsed="1">
      <c r="A104" s="24"/>
      <c r="B104" s="35"/>
      <c r="C104" s="101" t="s">
        <v>214</v>
      </c>
      <c r="D104" s="102"/>
      <c r="E104" s="103"/>
      <c r="F104" s="102"/>
      <c r="G104" s="104"/>
      <c r="H104" s="127" t="s">
        <v>210</v>
      </c>
      <c r="I104" s="67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9"/>
      <c r="AU104" s="70">
        <f>SUM(I104:AT104)</f>
      </c>
    </row>
    <row r="105" ht="15.75" customHeight="1" hidden="1" spans="1:47" x14ac:dyDescent="0.25" outlineLevel="1" collapsed="1">
      <c r="A105" s="24"/>
      <c r="B105" s="35"/>
      <c r="C105" s="106" t="s">
        <v>215</v>
      </c>
      <c r="D105" s="107" t="s">
        <v>100</v>
      </c>
      <c r="E105" s="108"/>
      <c r="F105" s="122" t="s">
        <v>203</v>
      </c>
      <c r="G105" s="110"/>
      <c r="H105" s="111"/>
      <c r="I105" s="59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1"/>
      <c r="AU105" s="62">
        <f>SUM(I105:AT105)</f>
      </c>
    </row>
    <row r="106" ht="15.75" customHeight="1" hidden="1" spans="1:47" x14ac:dyDescent="0.25" outlineLevel="1" collapsed="1">
      <c r="A106" s="24"/>
      <c r="B106" s="35"/>
      <c r="C106" s="93" t="s">
        <v>216</v>
      </c>
      <c r="D106" s="94"/>
      <c r="E106" s="95"/>
      <c r="F106" s="124" t="s">
        <v>205</v>
      </c>
      <c r="G106" s="97"/>
      <c r="H106" s="125"/>
      <c r="I106" s="63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5"/>
      <c r="AU106" s="66">
        <f>SUM(I106:AT106)</f>
      </c>
    </row>
    <row r="107" ht="15.75" customHeight="1" hidden="1" spans="1:47" x14ac:dyDescent="0.25" outlineLevel="1" collapsed="1">
      <c r="A107" s="24"/>
      <c r="B107" s="35"/>
      <c r="C107" s="93" t="s">
        <v>217</v>
      </c>
      <c r="D107" s="94"/>
      <c r="E107" s="95"/>
      <c r="F107" s="96" t="s">
        <v>207</v>
      </c>
      <c r="G107" s="97"/>
      <c r="H107" s="126" t="s">
        <v>208</v>
      </c>
      <c r="I107" s="63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5"/>
      <c r="AU107" s="66">
        <f>SUM(I107:AT107)</f>
      </c>
    </row>
    <row r="108" ht="16.5" customHeight="1" hidden="1" spans="1:47" x14ac:dyDescent="0.25" outlineLevel="1" collapsed="1">
      <c r="A108" s="24"/>
      <c r="B108" s="35"/>
      <c r="C108" s="101" t="s">
        <v>218</v>
      </c>
      <c r="D108" s="102"/>
      <c r="E108" s="103"/>
      <c r="F108" s="102"/>
      <c r="G108" s="104"/>
      <c r="H108" s="127" t="s">
        <v>210</v>
      </c>
      <c r="I108" s="67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9"/>
      <c r="AU108" s="70">
        <f>SUM(I108:AT108)</f>
      </c>
    </row>
    <row r="109" ht="15.75" customHeight="1" hidden="1" spans="1:47" x14ac:dyDescent="0.25" outlineLevel="1" collapsed="1">
      <c r="A109" s="24"/>
      <c r="B109" s="35"/>
      <c r="C109" s="106" t="s">
        <v>219</v>
      </c>
      <c r="D109" s="107" t="s">
        <v>106</v>
      </c>
      <c r="E109" s="108"/>
      <c r="F109" s="122" t="s">
        <v>203</v>
      </c>
      <c r="G109" s="110"/>
      <c r="H109" s="111"/>
      <c r="I109" s="59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1"/>
      <c r="AU109" s="62">
        <f>SUM(I109:AT109)</f>
      </c>
    </row>
    <row r="110" ht="15.75" customHeight="1" hidden="1" spans="1:47" x14ac:dyDescent="0.25" outlineLevel="1" collapsed="1">
      <c r="A110" s="24"/>
      <c r="B110" s="35"/>
      <c r="C110" s="93" t="s">
        <v>220</v>
      </c>
      <c r="D110" s="94"/>
      <c r="E110" s="95"/>
      <c r="F110" s="124" t="s">
        <v>205</v>
      </c>
      <c r="G110" s="97"/>
      <c r="H110" s="125"/>
      <c r="I110" s="63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5"/>
      <c r="AU110" s="66">
        <f>SUM(I110:AT110)</f>
      </c>
    </row>
    <row r="111" ht="15.75" customHeight="1" hidden="1" spans="1:47" x14ac:dyDescent="0.25" outlineLevel="1" collapsed="1">
      <c r="A111" s="24"/>
      <c r="B111" s="35"/>
      <c r="C111" s="93" t="s">
        <v>221</v>
      </c>
      <c r="D111" s="94"/>
      <c r="E111" s="95"/>
      <c r="F111" s="96" t="s">
        <v>207</v>
      </c>
      <c r="G111" s="97"/>
      <c r="H111" s="126" t="s">
        <v>208</v>
      </c>
      <c r="I111" s="63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5"/>
      <c r="AU111" s="66">
        <f>SUM(I111:AT111)</f>
      </c>
    </row>
    <row r="112" ht="16.5" customHeight="1" hidden="1" spans="1:47" x14ac:dyDescent="0.25" outlineLevel="1" collapsed="1">
      <c r="A112" s="24"/>
      <c r="B112" s="116"/>
      <c r="C112" s="139" t="s">
        <v>222</v>
      </c>
      <c r="D112" s="102"/>
      <c r="E112" s="103"/>
      <c r="F112" s="102"/>
      <c r="G112" s="104"/>
      <c r="H112" s="127" t="s">
        <v>210</v>
      </c>
      <c r="I112" s="76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8"/>
      <c r="AU112" s="70">
        <f>SUM(I112:AT112)</f>
      </c>
    </row>
    <row r="113" ht="16.5" customHeight="1" spans="1:47" x14ac:dyDescent="0.25">
      <c r="A113" s="24"/>
      <c r="B113" s="80" t="s">
        <v>223</v>
      </c>
      <c r="C113" s="81"/>
      <c r="D113" s="81"/>
      <c r="E113" s="81"/>
      <c r="F113" s="81"/>
      <c r="G113" s="81"/>
      <c r="H113" s="82"/>
      <c r="I113" s="83">
        <f>SUM(I97:I100)</f>
      </c>
      <c r="J113" s="84">
        <f>SUM(J97:J100)</f>
        <v>32</v>
      </c>
      <c r="K113" s="84">
        <f>SUM(K97:K100)</f>
        <v>13</v>
      </c>
      <c r="L113" s="84">
        <f>SUM(L97:L100)</f>
        <v>7</v>
      </c>
      <c r="M113" s="84">
        <f>SUM(M97:M100)</f>
        <v>11</v>
      </c>
      <c r="N113" s="84">
        <f>SUM(N97:N100)</f>
        <v>24</v>
      </c>
      <c r="O113" s="84">
        <f>SUM(O97:O100)</f>
        <v>38</v>
      </c>
      <c r="P113" s="84">
        <f>SUM(P97:P100)</f>
        <v>122</v>
      </c>
      <c r="Q113" s="84">
        <f>SUM(Q97:Q100)</f>
        <v>19</v>
      </c>
      <c r="R113" s="84">
        <f>SUM(R97:R100)</f>
        <v>16</v>
      </c>
      <c r="S113" s="84">
        <f>SUM(S97:S100)</f>
        <v>11</v>
      </c>
      <c r="T113" s="84">
        <f>SUM(T97:T100)</f>
        <v>13</v>
      </c>
      <c r="U113" s="84">
        <f>SUM(U97:U100)</f>
        <v>7</v>
      </c>
      <c r="V113" s="84">
        <f>SUM(V97:V100)</f>
        <v>7</v>
      </c>
      <c r="W113" s="84">
        <f>SUM(W97:W100)</f>
        <v>26</v>
      </c>
      <c r="X113" s="84">
        <f>SUM(X97:X100)</f>
        <v>3</v>
      </c>
      <c r="Y113" s="84">
        <f>SUM(Y97:Y100)</f>
        <v>20</v>
      </c>
      <c r="Z113" s="84">
        <f>SUM(Z97:Z100)</f>
        <v>92</v>
      </c>
      <c r="AA113" s="84">
        <f>SUM(AA97:AA100)</f>
        <v>24</v>
      </c>
      <c r="AB113" s="84">
        <f>SUM(AB97:AB100)</f>
      </c>
      <c r="AC113" s="84">
        <f>SUM(AC97:AC100)</f>
      </c>
      <c r="AD113" s="84">
        <f>SUM(AD97:AD100)</f>
        <v>4</v>
      </c>
      <c r="AE113" s="84">
        <f>SUM(AE97:AE100)</f>
        <v>1</v>
      </c>
      <c r="AF113" s="84">
        <f>SUM(AF97:AF100)</f>
        <v>3</v>
      </c>
      <c r="AG113" s="84">
        <f>SUM(AG97:AG100)</f>
        <v>16</v>
      </c>
      <c r="AH113" s="84">
        <f>SUM(AH97:AH100)</f>
        <v>45</v>
      </c>
      <c r="AI113" s="84">
        <f>SUM(AI97:AI100)</f>
      </c>
      <c r="AJ113" s="84">
        <f>SUM(AJ97:AJ100)</f>
        <v>6</v>
      </c>
      <c r="AK113" s="84">
        <f>SUM(AK97:AK100)</f>
        <v>2</v>
      </c>
      <c r="AL113" s="84">
        <f>SUM(AL97:AL100)</f>
        <v>2</v>
      </c>
      <c r="AM113" s="84">
        <f>SUM(AM97:AM100)</f>
        <v>1</v>
      </c>
      <c r="AN113" s="84">
        <f>SUM(AN97:AN100)</f>
      </c>
      <c r="AO113" s="84">
        <f>SUM(AO97:AO100)</f>
      </c>
      <c r="AP113" s="84">
        <f>SUM(AP97:AP100)</f>
        <v>72</v>
      </c>
      <c r="AQ113" s="84">
        <f>SUM(AQ97:AQ100)</f>
        <v>90</v>
      </c>
      <c r="AR113" s="84">
        <f>SUM(AR97:AR100)</f>
        <v>39</v>
      </c>
      <c r="AS113" s="84">
        <f>SUM(AS97:AS100)</f>
        <v>88</v>
      </c>
      <c r="AT113" s="84">
        <f>SUM(AT97:AT100)</f>
        <v>14</v>
      </c>
      <c r="AU113" s="85">
        <f>SUM(I113:AT113)</f>
        <v>868</v>
      </c>
    </row>
    <row r="114" ht="16.5" customHeight="1" spans="1:47" x14ac:dyDescent="0.25">
      <c r="A114" s="24"/>
      <c r="B114" s="128" t="s">
        <v>224</v>
      </c>
      <c r="C114" s="106" t="s">
        <v>225</v>
      </c>
      <c r="D114" s="107" t="s">
        <v>83</v>
      </c>
      <c r="E114" s="108"/>
      <c r="F114" s="122" t="s">
        <v>150</v>
      </c>
      <c r="G114" s="110"/>
      <c r="H114" s="111"/>
      <c r="I114" s="31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3"/>
      <c r="AU114" s="123">
        <f>SUM(I114:AT114)</f>
        <v>443</v>
      </c>
    </row>
    <row r="115" ht="15.75" customHeight="1" spans="1:47" x14ac:dyDescent="0.25">
      <c r="A115" s="24"/>
      <c r="B115" s="35"/>
      <c r="C115" s="93" t="s">
        <v>226</v>
      </c>
      <c r="D115" s="94"/>
      <c r="E115" s="95"/>
      <c r="F115" s="124" t="s">
        <v>227</v>
      </c>
      <c r="G115" s="97"/>
      <c r="H115" s="125"/>
      <c r="I115" s="41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3"/>
      <c r="AU115" s="44">
        <f>SUM(I115:AT115)</f>
        <v>416</v>
      </c>
    </row>
    <row r="116" ht="15.75" customHeight="1" spans="1:47" x14ac:dyDescent="0.25">
      <c r="A116" s="24"/>
      <c r="B116" s="35"/>
      <c r="C116" s="93" t="s">
        <v>228</v>
      </c>
      <c r="D116" s="94"/>
      <c r="E116" s="95"/>
      <c r="F116" s="124" t="s">
        <v>229</v>
      </c>
      <c r="G116" s="97"/>
      <c r="H116" s="125"/>
      <c r="I116" s="41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3"/>
      <c r="AU116" s="44">
        <f>SUM(I116:AT116)</f>
        <v>349</v>
      </c>
    </row>
    <row r="117" ht="15.75" customHeight="1" spans="1:47" x14ac:dyDescent="0.25">
      <c r="A117" s="24"/>
      <c r="B117" s="35"/>
      <c r="C117" s="93" t="s">
        <v>230</v>
      </c>
      <c r="D117" s="94"/>
      <c r="E117" s="95"/>
      <c r="F117" s="96" t="s">
        <v>231</v>
      </c>
      <c r="G117" s="97"/>
      <c r="H117" s="126" t="s">
        <v>117</v>
      </c>
      <c r="I117" s="4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3"/>
      <c r="AU117" s="44">
        <f>SUM(I117:AT117)</f>
        <v>32</v>
      </c>
    </row>
    <row r="118" ht="15.75" customHeight="1" spans="1:47" x14ac:dyDescent="0.25">
      <c r="A118" s="24"/>
      <c r="B118" s="35"/>
      <c r="C118" s="93" t="s">
        <v>232</v>
      </c>
      <c r="D118" s="94"/>
      <c r="E118" s="95"/>
      <c r="F118" s="94"/>
      <c r="G118" s="97"/>
      <c r="H118" s="126" t="s">
        <v>119</v>
      </c>
      <c r="I118" s="41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3"/>
      <c r="AU118" s="44">
        <f>SUM(I118:AT118)</f>
        <v>29</v>
      </c>
    </row>
    <row r="119" ht="15.75" customHeight="1" spans="1:47" x14ac:dyDescent="0.25">
      <c r="A119" s="24"/>
      <c r="B119" s="35"/>
      <c r="C119" s="93" t="s">
        <v>233</v>
      </c>
      <c r="D119" s="94"/>
      <c r="E119" s="95"/>
      <c r="F119" s="94"/>
      <c r="G119" s="97"/>
      <c r="H119" s="126" t="s">
        <v>161</v>
      </c>
      <c r="I119" s="41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3"/>
      <c r="AU119" s="44">
        <f>SUM(I119:AT119)</f>
        <v>37</v>
      </c>
    </row>
    <row r="120" ht="15.75" customHeight="1" spans="1:47" x14ac:dyDescent="0.25">
      <c r="A120" s="24"/>
      <c r="B120" s="35"/>
      <c r="C120" s="101" t="s">
        <v>234</v>
      </c>
      <c r="D120" s="102"/>
      <c r="E120" s="103"/>
      <c r="F120" s="140" t="s">
        <v>235</v>
      </c>
      <c r="G120" s="104"/>
      <c r="H120" s="105" t="s">
        <v>236</v>
      </c>
      <c r="I120" s="50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2"/>
      <c r="AU120" s="53">
        <f>SUM(I120:AT120)</f>
        <v>72</v>
      </c>
    </row>
    <row r="121" ht="15.75" customHeight="1" hidden="1" spans="1:47" x14ac:dyDescent="0.25" outlineLevel="1" collapsed="1">
      <c r="A121" s="24"/>
      <c r="B121" s="35"/>
      <c r="C121" s="106" t="s">
        <v>237</v>
      </c>
      <c r="D121" s="107" t="s">
        <v>94</v>
      </c>
      <c r="E121" s="108"/>
      <c r="F121" s="122" t="s">
        <v>150</v>
      </c>
      <c r="G121" s="110"/>
      <c r="H121" s="111"/>
      <c r="I121" s="59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1"/>
      <c r="AU121" s="62">
        <f>SUM(I121:AT121)</f>
      </c>
    </row>
    <row r="122" ht="15.75" customHeight="1" hidden="1" spans="1:47" x14ac:dyDescent="0.25" outlineLevel="1" collapsed="1">
      <c r="A122" s="24"/>
      <c r="B122" s="35"/>
      <c r="C122" s="93" t="s">
        <v>238</v>
      </c>
      <c r="D122" s="94"/>
      <c r="E122" s="95"/>
      <c r="F122" s="124" t="s">
        <v>227</v>
      </c>
      <c r="G122" s="97"/>
      <c r="H122" s="125"/>
      <c r="I122" s="63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5"/>
      <c r="AU122" s="66">
        <f>SUM(I122:AT122)</f>
      </c>
    </row>
    <row r="123" ht="15.75" customHeight="1" hidden="1" spans="1:47" x14ac:dyDescent="0.25" outlineLevel="1" collapsed="1">
      <c r="A123" s="24"/>
      <c r="B123" s="35"/>
      <c r="C123" s="93" t="s">
        <v>239</v>
      </c>
      <c r="D123" s="94"/>
      <c r="E123" s="95"/>
      <c r="F123" s="124" t="s">
        <v>229</v>
      </c>
      <c r="G123" s="97"/>
      <c r="H123" s="125"/>
      <c r="I123" s="63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5"/>
      <c r="AU123" s="66">
        <f>SUM(I123:AT123)</f>
      </c>
    </row>
    <row r="124" ht="15.75" customHeight="1" hidden="1" spans="1:47" x14ac:dyDescent="0.25" outlineLevel="1" collapsed="1">
      <c r="A124" s="24"/>
      <c r="B124" s="35"/>
      <c r="C124" s="93" t="s">
        <v>240</v>
      </c>
      <c r="D124" s="94"/>
      <c r="E124" s="95"/>
      <c r="F124" s="96" t="s">
        <v>231</v>
      </c>
      <c r="G124" s="97"/>
      <c r="H124" s="126" t="s">
        <v>117</v>
      </c>
      <c r="I124" s="63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5"/>
      <c r="AU124" s="66">
        <f>SUM(I124:AT124)</f>
      </c>
    </row>
    <row r="125" ht="15.75" customHeight="1" hidden="1" spans="1:47" x14ac:dyDescent="0.25" outlineLevel="1" collapsed="1">
      <c r="A125" s="24"/>
      <c r="B125" s="35"/>
      <c r="C125" s="93" t="s">
        <v>241</v>
      </c>
      <c r="D125" s="94"/>
      <c r="E125" s="95"/>
      <c r="F125" s="94"/>
      <c r="G125" s="97"/>
      <c r="H125" s="126" t="s">
        <v>119</v>
      </c>
      <c r="I125" s="63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5"/>
      <c r="AU125" s="66">
        <f>SUM(I125:AT125)</f>
      </c>
    </row>
    <row r="126" ht="15.75" customHeight="1" hidden="1" spans="1:47" x14ac:dyDescent="0.25" outlineLevel="1" collapsed="1">
      <c r="A126" s="24"/>
      <c r="B126" s="35"/>
      <c r="C126" s="93" t="s">
        <v>242</v>
      </c>
      <c r="D126" s="94"/>
      <c r="E126" s="95"/>
      <c r="F126" s="94"/>
      <c r="G126" s="97"/>
      <c r="H126" s="126" t="s">
        <v>161</v>
      </c>
      <c r="I126" s="63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5"/>
      <c r="AU126" s="66">
        <f>SUM(I126:AT126)</f>
      </c>
    </row>
    <row r="127" ht="15.75" customHeight="1" hidden="1" spans="1:47" x14ac:dyDescent="0.25" outlineLevel="1" collapsed="1">
      <c r="A127" s="24"/>
      <c r="B127" s="35"/>
      <c r="C127" s="101" t="s">
        <v>243</v>
      </c>
      <c r="D127" s="102"/>
      <c r="E127" s="103"/>
      <c r="F127" s="140" t="s">
        <v>235</v>
      </c>
      <c r="G127" s="104"/>
      <c r="H127" s="105" t="s">
        <v>236</v>
      </c>
      <c r="I127" s="67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9"/>
      <c r="AU127" s="70">
        <f>SUM(I127:AT127)</f>
      </c>
    </row>
    <row r="128" ht="15.75" customHeight="1" hidden="1" spans="1:47" x14ac:dyDescent="0.25" outlineLevel="1" collapsed="1">
      <c r="A128" s="24"/>
      <c r="B128" s="35"/>
      <c r="C128" s="106" t="s">
        <v>244</v>
      </c>
      <c r="D128" s="107" t="s">
        <v>100</v>
      </c>
      <c r="E128" s="108"/>
      <c r="F128" s="122" t="s">
        <v>150</v>
      </c>
      <c r="G128" s="110"/>
      <c r="H128" s="111"/>
      <c r="I128" s="59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1"/>
      <c r="AU128" s="62">
        <f>SUM(I128:AT128)</f>
      </c>
    </row>
    <row r="129" ht="15.75" customHeight="1" hidden="1" spans="1:47" x14ac:dyDescent="0.25" outlineLevel="1" collapsed="1">
      <c r="A129" s="24"/>
      <c r="B129" s="35"/>
      <c r="C129" s="93" t="s">
        <v>245</v>
      </c>
      <c r="D129" s="94"/>
      <c r="E129" s="95"/>
      <c r="F129" s="124" t="s">
        <v>227</v>
      </c>
      <c r="G129" s="97"/>
      <c r="H129" s="125"/>
      <c r="I129" s="63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5"/>
      <c r="AU129" s="66">
        <f>SUM(I129:AT129)</f>
      </c>
    </row>
    <row r="130" ht="15.75" customHeight="1" hidden="1" spans="1:47" x14ac:dyDescent="0.25" outlineLevel="1" collapsed="1">
      <c r="A130" s="24"/>
      <c r="B130" s="35"/>
      <c r="C130" s="93" t="s">
        <v>246</v>
      </c>
      <c r="D130" s="94"/>
      <c r="E130" s="95"/>
      <c r="F130" s="124" t="s">
        <v>229</v>
      </c>
      <c r="G130" s="97"/>
      <c r="H130" s="125"/>
      <c r="I130" s="63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5"/>
      <c r="AU130" s="66">
        <f>SUM(I130:AT130)</f>
      </c>
    </row>
    <row r="131" ht="15.75" customHeight="1" hidden="1" spans="1:47" x14ac:dyDescent="0.25" outlineLevel="1" collapsed="1">
      <c r="A131" s="24"/>
      <c r="B131" s="35"/>
      <c r="C131" s="93" t="s">
        <v>247</v>
      </c>
      <c r="D131" s="94"/>
      <c r="E131" s="95"/>
      <c r="F131" s="96" t="s">
        <v>231</v>
      </c>
      <c r="G131" s="97"/>
      <c r="H131" s="126" t="s">
        <v>117</v>
      </c>
      <c r="I131" s="63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5"/>
      <c r="AU131" s="66">
        <f>SUM(I131:AT131)</f>
      </c>
    </row>
    <row r="132" ht="15.75" customHeight="1" hidden="1" spans="1:47" x14ac:dyDescent="0.25" outlineLevel="1" collapsed="1">
      <c r="A132" s="24"/>
      <c r="B132" s="35"/>
      <c r="C132" s="93" t="s">
        <v>248</v>
      </c>
      <c r="D132" s="94"/>
      <c r="E132" s="95"/>
      <c r="F132" s="94"/>
      <c r="G132" s="97"/>
      <c r="H132" s="126" t="s">
        <v>119</v>
      </c>
      <c r="I132" s="63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5"/>
      <c r="AU132" s="66">
        <f>SUM(I132:AT132)</f>
      </c>
    </row>
    <row r="133" ht="15.75" customHeight="1" hidden="1" spans="1:47" x14ac:dyDescent="0.25" outlineLevel="1" collapsed="1">
      <c r="A133" s="24"/>
      <c r="B133" s="35"/>
      <c r="C133" s="93" t="s">
        <v>249</v>
      </c>
      <c r="D133" s="94"/>
      <c r="E133" s="95"/>
      <c r="F133" s="94"/>
      <c r="G133" s="97"/>
      <c r="H133" s="126" t="s">
        <v>161</v>
      </c>
      <c r="I133" s="63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5"/>
      <c r="AU133" s="66">
        <f>SUM(I133:AT133)</f>
      </c>
    </row>
    <row r="134" ht="15.75" customHeight="1" hidden="1" spans="1:47" x14ac:dyDescent="0.25" outlineLevel="1" collapsed="1">
      <c r="A134" s="24"/>
      <c r="B134" s="35"/>
      <c r="C134" s="101" t="s">
        <v>250</v>
      </c>
      <c r="D134" s="102"/>
      <c r="E134" s="103"/>
      <c r="F134" s="140" t="s">
        <v>235</v>
      </c>
      <c r="G134" s="104"/>
      <c r="H134" s="105" t="s">
        <v>236</v>
      </c>
      <c r="I134" s="67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9"/>
      <c r="AU134" s="70">
        <f>SUM(I134:AT134)</f>
      </c>
    </row>
    <row r="135" ht="15.75" customHeight="1" hidden="1" spans="1:47" x14ac:dyDescent="0.25" outlineLevel="1" collapsed="1">
      <c r="A135" s="24"/>
      <c r="B135" s="35"/>
      <c r="C135" s="106" t="s">
        <v>251</v>
      </c>
      <c r="D135" s="107" t="s">
        <v>106</v>
      </c>
      <c r="E135" s="108"/>
      <c r="F135" s="122" t="s">
        <v>150</v>
      </c>
      <c r="G135" s="110"/>
      <c r="H135" s="111"/>
      <c r="I135" s="134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6"/>
      <c r="AU135" s="137">
        <f>SUM(I135:AT135)</f>
      </c>
    </row>
    <row r="136" ht="15.75" customHeight="1" hidden="1" spans="1:47" x14ac:dyDescent="0.25" outlineLevel="1" collapsed="1">
      <c r="A136" s="24"/>
      <c r="B136" s="35"/>
      <c r="C136" s="93" t="s">
        <v>252</v>
      </c>
      <c r="D136" s="94"/>
      <c r="E136" s="95"/>
      <c r="F136" s="124" t="s">
        <v>227</v>
      </c>
      <c r="G136" s="97"/>
      <c r="H136" s="125"/>
      <c r="I136" s="112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14"/>
      <c r="AU136" s="115">
        <f>SUM(I136:AT136)</f>
      </c>
    </row>
    <row r="137" ht="15.75" customHeight="1" hidden="1" spans="1:47" x14ac:dyDescent="0.25" outlineLevel="1" collapsed="1">
      <c r="A137" s="24"/>
      <c r="B137" s="35"/>
      <c r="C137" s="93" t="s">
        <v>253</v>
      </c>
      <c r="D137" s="94"/>
      <c r="E137" s="95"/>
      <c r="F137" s="124" t="s">
        <v>229</v>
      </c>
      <c r="G137" s="97"/>
      <c r="H137" s="125"/>
      <c r="I137" s="112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4"/>
      <c r="AU137" s="115">
        <f>SUM(I137:AT137)</f>
      </c>
    </row>
    <row r="138" ht="15.75" customHeight="1" hidden="1" spans="1:47" x14ac:dyDescent="0.25" outlineLevel="1" collapsed="1">
      <c r="A138" s="24"/>
      <c r="B138" s="35"/>
      <c r="C138" s="93" t="s">
        <v>254</v>
      </c>
      <c r="D138" s="94"/>
      <c r="E138" s="95"/>
      <c r="F138" s="96" t="s">
        <v>231</v>
      </c>
      <c r="G138" s="97"/>
      <c r="H138" s="126" t="s">
        <v>117</v>
      </c>
      <c r="I138" s="112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4"/>
      <c r="AU138" s="115">
        <f>SUM(I138:AT138)</f>
      </c>
    </row>
    <row r="139" ht="15.75" customHeight="1" hidden="1" spans="1:47" x14ac:dyDescent="0.25" outlineLevel="1" collapsed="1">
      <c r="A139" s="24"/>
      <c r="B139" s="35"/>
      <c r="C139" s="93" t="s">
        <v>255</v>
      </c>
      <c r="D139" s="94"/>
      <c r="E139" s="95"/>
      <c r="F139" s="94"/>
      <c r="G139" s="97"/>
      <c r="H139" s="126" t="s">
        <v>119</v>
      </c>
      <c r="I139" s="112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4"/>
      <c r="AU139" s="115">
        <f>SUM(I139:AT139)</f>
      </c>
    </row>
    <row r="140" ht="15.75" customHeight="1" hidden="1" spans="1:47" x14ac:dyDescent="0.25" outlineLevel="1" collapsed="1">
      <c r="A140" s="24"/>
      <c r="B140" s="35"/>
      <c r="C140" s="93" t="s">
        <v>256</v>
      </c>
      <c r="D140" s="94"/>
      <c r="E140" s="95"/>
      <c r="F140" s="94"/>
      <c r="G140" s="97"/>
      <c r="H140" s="126" t="s">
        <v>161</v>
      </c>
      <c r="I140" s="112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4"/>
      <c r="AU140" s="115">
        <f>SUM(I140:AT140)</f>
      </c>
    </row>
    <row r="141" ht="15.75" customHeight="1" hidden="1" spans="1:47" x14ac:dyDescent="0.25" outlineLevel="1" collapsed="1">
      <c r="A141" s="24"/>
      <c r="B141" s="116"/>
      <c r="C141" s="101" t="s">
        <v>257</v>
      </c>
      <c r="D141" s="102"/>
      <c r="E141" s="103"/>
      <c r="F141" s="140" t="s">
        <v>235</v>
      </c>
      <c r="G141" s="104"/>
      <c r="H141" s="105" t="s">
        <v>236</v>
      </c>
      <c r="I141" s="117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9"/>
      <c r="AU141" s="120">
        <f>SUM(I141:AT141)</f>
      </c>
    </row>
    <row r="142" ht="16.5" customHeight="1" spans="1:47" x14ac:dyDescent="0.25">
      <c r="A142" s="24"/>
      <c r="B142" s="80" t="s">
        <v>258</v>
      </c>
      <c r="C142" s="81"/>
      <c r="D142" s="81"/>
      <c r="E142" s="81"/>
      <c r="F142" s="81"/>
      <c r="G142" s="81"/>
      <c r="H142" s="82"/>
      <c r="I142" s="83">
        <f>SUM(I114:I120)</f>
      </c>
      <c r="J142" s="84">
        <f>SUM(J114:J120)</f>
        <v>52</v>
      </c>
      <c r="K142" s="84">
        <f>SUM(K114:K120)</f>
        <v>22</v>
      </c>
      <c r="L142" s="84">
        <f>SUM(L114:L120)</f>
        <v>29</v>
      </c>
      <c r="M142" s="84">
        <f>SUM(M114:M120)</f>
        <v>19</v>
      </c>
      <c r="N142" s="84">
        <f>SUM(N114:N120)</f>
        <v>31</v>
      </c>
      <c r="O142" s="84">
        <f>SUM(O114:O120)</f>
        <v>66</v>
      </c>
      <c r="P142" s="84">
        <f>SUM(P114:P120)</f>
        <v>178</v>
      </c>
      <c r="Q142" s="84">
        <f>SUM(Q114:Q120)</f>
        <v>20</v>
      </c>
      <c r="R142" s="84">
        <f>SUM(R114:R120)</f>
        <v>28</v>
      </c>
      <c r="S142" s="84">
        <f>SUM(S114:S120)</f>
        <v>20</v>
      </c>
      <c r="T142" s="84">
        <f>SUM(T114:T120)</f>
        <v>21</v>
      </c>
      <c r="U142" s="84">
        <f>SUM(U114:U120)</f>
        <v>13</v>
      </c>
      <c r="V142" s="84">
        <f>SUM(V114:V120)</f>
        <v>12</v>
      </c>
      <c r="W142" s="84">
        <f>SUM(W114:W120)</f>
        <v>40</v>
      </c>
      <c r="X142" s="84">
        <f>SUM(X114:X120)</f>
        <v>7</v>
      </c>
      <c r="Y142" s="84">
        <f>SUM(Y114:Y120)</f>
        <v>32</v>
      </c>
      <c r="Z142" s="84">
        <f>SUM(Z114:Z120)</f>
        <v>140</v>
      </c>
      <c r="AA142" s="84">
        <f>SUM(AA114:AA120)</f>
        <v>48</v>
      </c>
      <c r="AB142" s="84">
        <f>SUM(AB114:AB120)</f>
      </c>
      <c r="AC142" s="84">
        <f>SUM(AC114:AC120)</f>
        <v>2</v>
      </c>
      <c r="AD142" s="84">
        <f>SUM(AD114:AD120)</f>
        <v>7</v>
      </c>
      <c r="AE142" s="84">
        <f>SUM(AE114:AE120)</f>
        <v>3</v>
      </c>
      <c r="AF142" s="84">
        <f>SUM(AF114:AF120)</f>
        <v>5</v>
      </c>
      <c r="AG142" s="84">
        <f>SUM(AG114:AG120)</f>
        <v>23</v>
      </c>
      <c r="AH142" s="84">
        <f>SUM(AH114:AH120)</f>
        <v>67</v>
      </c>
      <c r="AI142" s="84">
        <f>SUM(AI114:AI120)</f>
      </c>
      <c r="AJ142" s="84">
        <f>SUM(AJ114:AJ120)</f>
        <v>18</v>
      </c>
      <c r="AK142" s="84">
        <f>SUM(AK114:AK120)</f>
        <v>6</v>
      </c>
      <c r="AL142" s="84">
        <f>SUM(AL114:AL120)</f>
        <v>5</v>
      </c>
      <c r="AM142" s="84">
        <f>SUM(AM114:AM120)</f>
        <v>6</v>
      </c>
      <c r="AN142" s="84">
        <f>SUM(AN114:AN120)</f>
      </c>
      <c r="AO142" s="84">
        <f>SUM(AO114:AO120)</f>
      </c>
      <c r="AP142" s="84">
        <f>SUM(AP114:AP120)</f>
        <v>94</v>
      </c>
      <c r="AQ142" s="84">
        <f>SUM(AQ114:AQ120)</f>
        <v>141</v>
      </c>
      <c r="AR142" s="84">
        <f>SUM(AR114:AR120)</f>
        <v>58</v>
      </c>
      <c r="AS142" s="84">
        <f>SUM(AS114:AS120)</f>
        <v>140</v>
      </c>
      <c r="AT142" s="84">
        <f>SUM(AT114:AT120)</f>
        <v>25</v>
      </c>
      <c r="AU142" s="85">
        <f>SUM(I142:AT142)</f>
        <v>1378</v>
      </c>
    </row>
    <row r="143" ht="15.75" customHeight="1" spans="1:47" x14ac:dyDescent="0.25">
      <c r="A143" s="24"/>
      <c r="B143" s="128" t="s">
        <v>259</v>
      </c>
      <c r="C143" s="106" t="s">
        <v>260</v>
      </c>
      <c r="D143" s="107" t="s">
        <v>83</v>
      </c>
      <c r="E143" s="108"/>
      <c r="F143" s="122" t="s">
        <v>150</v>
      </c>
      <c r="G143" s="110"/>
      <c r="H143" s="111"/>
      <c r="I143" s="31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3"/>
      <c r="AU143" s="123">
        <f>SUM(I143:AT143)</f>
      </c>
    </row>
    <row r="144" ht="15.75" customHeight="1" spans="1:47" x14ac:dyDescent="0.25">
      <c r="A144" s="24"/>
      <c r="B144" s="35"/>
      <c r="C144" s="93" t="s">
        <v>261</v>
      </c>
      <c r="D144" s="94"/>
      <c r="E144" s="95"/>
      <c r="F144" s="124" t="s">
        <v>227</v>
      </c>
      <c r="G144" s="97"/>
      <c r="H144" s="125"/>
      <c r="I144" s="41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3"/>
      <c r="AU144" s="44">
        <f>SUM(I144:AT144)</f>
      </c>
    </row>
    <row r="145" ht="15.75" customHeight="1" spans="1:47" x14ac:dyDescent="0.25">
      <c r="A145" s="24"/>
      <c r="B145" s="35"/>
      <c r="C145" s="93" t="s">
        <v>262</v>
      </c>
      <c r="D145" s="94"/>
      <c r="E145" s="95"/>
      <c r="F145" s="124" t="s">
        <v>229</v>
      </c>
      <c r="G145" s="97"/>
      <c r="H145" s="125"/>
      <c r="I145" s="41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3"/>
      <c r="AU145" s="44">
        <f>SUM(I145:AT145)</f>
      </c>
    </row>
    <row r="146" ht="15.75" customHeight="1" spans="1:47" x14ac:dyDescent="0.25">
      <c r="A146" s="24"/>
      <c r="B146" s="35"/>
      <c r="C146" s="93" t="s">
        <v>263</v>
      </c>
      <c r="D146" s="94"/>
      <c r="E146" s="95"/>
      <c r="F146" s="96" t="s">
        <v>231</v>
      </c>
      <c r="G146" s="97"/>
      <c r="H146" s="126" t="s">
        <v>117</v>
      </c>
      <c r="I146" s="41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3"/>
      <c r="AU146" s="44">
        <f>SUM(I146:AT146)</f>
      </c>
    </row>
    <row r="147" ht="15.75" customHeight="1" spans="1:47" x14ac:dyDescent="0.25">
      <c r="A147" s="24"/>
      <c r="B147" s="35"/>
      <c r="C147" s="93" t="s">
        <v>264</v>
      </c>
      <c r="D147" s="94"/>
      <c r="E147" s="95"/>
      <c r="F147" s="94"/>
      <c r="G147" s="97"/>
      <c r="H147" s="126" t="s">
        <v>119</v>
      </c>
      <c r="I147" s="41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3"/>
      <c r="AU147" s="44">
        <f>SUM(I147:AT147)</f>
      </c>
    </row>
    <row r="148" ht="15.75" customHeight="1" spans="1:47" x14ac:dyDescent="0.25">
      <c r="A148" s="24"/>
      <c r="B148" s="35"/>
      <c r="C148" s="93" t="s">
        <v>265</v>
      </c>
      <c r="D148" s="94"/>
      <c r="E148" s="95"/>
      <c r="F148" s="94"/>
      <c r="G148" s="97"/>
      <c r="H148" s="126" t="s">
        <v>161</v>
      </c>
      <c r="I148" s="41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3"/>
      <c r="AU148" s="44">
        <f>SUM(I148:AT148)</f>
      </c>
    </row>
    <row r="149" ht="15.75" customHeight="1" spans="1:47" x14ac:dyDescent="0.25">
      <c r="A149" s="24"/>
      <c r="B149" s="35"/>
      <c r="C149" s="101" t="s">
        <v>266</v>
      </c>
      <c r="D149" s="102"/>
      <c r="E149" s="103"/>
      <c r="F149" s="140" t="s">
        <v>235</v>
      </c>
      <c r="G149" s="104"/>
      <c r="H149" s="105" t="s">
        <v>236</v>
      </c>
      <c r="I149" s="50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2"/>
      <c r="AU149" s="53">
        <f>SUM(I149:AT149)</f>
      </c>
    </row>
    <row r="150" ht="15.75" customHeight="1" hidden="1" spans="1:47" x14ac:dyDescent="0.25" outlineLevel="1" collapsed="1">
      <c r="A150" s="24"/>
      <c r="B150" s="35"/>
      <c r="C150" s="106" t="s">
        <v>267</v>
      </c>
      <c r="D150" s="107" t="s">
        <v>94</v>
      </c>
      <c r="E150" s="108"/>
      <c r="F150" s="122" t="s">
        <v>150</v>
      </c>
      <c r="G150" s="110"/>
      <c r="H150" s="111"/>
      <c r="I150" s="59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1"/>
      <c r="AU150" s="62">
        <f>SUM(I150:AT150)</f>
      </c>
    </row>
    <row r="151" ht="15.75" customHeight="1" hidden="1" spans="1:47" x14ac:dyDescent="0.25" outlineLevel="1" collapsed="1">
      <c r="A151" s="24"/>
      <c r="B151" s="35"/>
      <c r="C151" s="93" t="s">
        <v>268</v>
      </c>
      <c r="D151" s="94"/>
      <c r="E151" s="95"/>
      <c r="F151" s="124" t="s">
        <v>227</v>
      </c>
      <c r="G151" s="97"/>
      <c r="H151" s="125"/>
      <c r="I151" s="63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5"/>
      <c r="AU151" s="66">
        <f>SUM(I151:AT151)</f>
      </c>
    </row>
    <row r="152" ht="15.75" customHeight="1" hidden="1" spans="1:47" x14ac:dyDescent="0.25" outlineLevel="1" collapsed="1">
      <c r="A152" s="24"/>
      <c r="B152" s="35"/>
      <c r="C152" s="93" t="s">
        <v>269</v>
      </c>
      <c r="D152" s="94"/>
      <c r="E152" s="95"/>
      <c r="F152" s="124" t="s">
        <v>229</v>
      </c>
      <c r="G152" s="97"/>
      <c r="H152" s="125"/>
      <c r="I152" s="63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5"/>
      <c r="AU152" s="66">
        <f>SUM(I152:AT152)</f>
      </c>
    </row>
    <row r="153" ht="15.75" customHeight="1" hidden="1" spans="1:47" x14ac:dyDescent="0.25" outlineLevel="1" collapsed="1">
      <c r="A153" s="24"/>
      <c r="B153" s="35"/>
      <c r="C153" s="93" t="s">
        <v>270</v>
      </c>
      <c r="D153" s="94"/>
      <c r="E153" s="95"/>
      <c r="F153" s="96" t="s">
        <v>231</v>
      </c>
      <c r="G153" s="97"/>
      <c r="H153" s="126" t="s">
        <v>117</v>
      </c>
      <c r="I153" s="63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5"/>
      <c r="AU153" s="66">
        <f>SUM(I153:AT153)</f>
      </c>
    </row>
    <row r="154" ht="15.75" customHeight="1" hidden="1" spans="1:47" x14ac:dyDescent="0.25" outlineLevel="1" collapsed="1">
      <c r="A154" s="24"/>
      <c r="B154" s="35"/>
      <c r="C154" s="93" t="s">
        <v>271</v>
      </c>
      <c r="D154" s="94"/>
      <c r="E154" s="95"/>
      <c r="F154" s="94"/>
      <c r="G154" s="97"/>
      <c r="H154" s="126" t="s">
        <v>119</v>
      </c>
      <c r="I154" s="63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5"/>
      <c r="AU154" s="66">
        <f>SUM(I154:AT154)</f>
      </c>
    </row>
    <row r="155" ht="15.75" customHeight="1" hidden="1" spans="1:47" x14ac:dyDescent="0.25" outlineLevel="1" collapsed="1">
      <c r="A155" s="24"/>
      <c r="B155" s="35"/>
      <c r="C155" s="93" t="s">
        <v>272</v>
      </c>
      <c r="D155" s="94"/>
      <c r="E155" s="95"/>
      <c r="F155" s="94"/>
      <c r="G155" s="97"/>
      <c r="H155" s="126" t="s">
        <v>161</v>
      </c>
      <c r="I155" s="63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5"/>
      <c r="AU155" s="66">
        <f>SUM(I155:AT155)</f>
      </c>
    </row>
    <row r="156" ht="15.75" customHeight="1" hidden="1" spans="1:47" x14ac:dyDescent="0.25" outlineLevel="1" collapsed="1">
      <c r="A156" s="24"/>
      <c r="B156" s="35"/>
      <c r="C156" s="101" t="s">
        <v>273</v>
      </c>
      <c r="D156" s="102"/>
      <c r="E156" s="103"/>
      <c r="F156" s="140" t="s">
        <v>235</v>
      </c>
      <c r="G156" s="104"/>
      <c r="H156" s="105" t="s">
        <v>236</v>
      </c>
      <c r="I156" s="67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9"/>
      <c r="AU156" s="70">
        <f>SUM(I156:AT156)</f>
      </c>
    </row>
    <row r="157" ht="15.75" customHeight="1" hidden="1" spans="1:47" x14ac:dyDescent="0.25" outlineLevel="1" collapsed="1">
      <c r="A157" s="24"/>
      <c r="B157" s="35"/>
      <c r="C157" s="106" t="s">
        <v>274</v>
      </c>
      <c r="D157" s="107" t="s">
        <v>100</v>
      </c>
      <c r="E157" s="108"/>
      <c r="F157" s="122" t="s">
        <v>150</v>
      </c>
      <c r="G157" s="110"/>
      <c r="H157" s="111"/>
      <c r="I157" s="59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1"/>
      <c r="AU157" s="62">
        <f>SUM(I157:AT157)</f>
      </c>
    </row>
    <row r="158" ht="15.75" customHeight="1" hidden="1" spans="1:47" x14ac:dyDescent="0.25" outlineLevel="1" collapsed="1">
      <c r="A158" s="24"/>
      <c r="B158" s="35"/>
      <c r="C158" s="93" t="s">
        <v>275</v>
      </c>
      <c r="D158" s="94"/>
      <c r="E158" s="95"/>
      <c r="F158" s="124" t="s">
        <v>227</v>
      </c>
      <c r="G158" s="97"/>
      <c r="H158" s="125"/>
      <c r="I158" s="63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5"/>
      <c r="AU158" s="66">
        <f>SUM(I158:AT158)</f>
      </c>
    </row>
    <row r="159" ht="15.75" customHeight="1" hidden="1" spans="1:47" x14ac:dyDescent="0.25" outlineLevel="1" collapsed="1">
      <c r="A159" s="24"/>
      <c r="B159" s="35"/>
      <c r="C159" s="93" t="s">
        <v>276</v>
      </c>
      <c r="D159" s="94"/>
      <c r="E159" s="95"/>
      <c r="F159" s="124" t="s">
        <v>229</v>
      </c>
      <c r="G159" s="97"/>
      <c r="H159" s="125"/>
      <c r="I159" s="63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5"/>
      <c r="AU159" s="66">
        <f>SUM(I159:AT159)</f>
      </c>
    </row>
    <row r="160" ht="15.75" customHeight="1" hidden="1" spans="1:47" x14ac:dyDescent="0.25" outlineLevel="1" collapsed="1">
      <c r="A160" s="24"/>
      <c r="B160" s="35"/>
      <c r="C160" s="93" t="s">
        <v>277</v>
      </c>
      <c r="D160" s="94"/>
      <c r="E160" s="95"/>
      <c r="F160" s="96" t="s">
        <v>231</v>
      </c>
      <c r="G160" s="97"/>
      <c r="H160" s="126" t="s">
        <v>117</v>
      </c>
      <c r="I160" s="63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5"/>
      <c r="AU160" s="66">
        <f>SUM(I160:AT160)</f>
      </c>
    </row>
    <row r="161" ht="15.75" customHeight="1" hidden="1" spans="1:47" x14ac:dyDescent="0.25" outlineLevel="1" collapsed="1">
      <c r="A161" s="24"/>
      <c r="B161" s="35"/>
      <c r="C161" s="93" t="s">
        <v>278</v>
      </c>
      <c r="D161" s="94"/>
      <c r="E161" s="95"/>
      <c r="F161" s="94"/>
      <c r="G161" s="97"/>
      <c r="H161" s="126" t="s">
        <v>119</v>
      </c>
      <c r="I161" s="63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5"/>
      <c r="AU161" s="66">
        <f>SUM(I161:AT161)</f>
      </c>
    </row>
    <row r="162" ht="15.75" customHeight="1" hidden="1" spans="1:47" x14ac:dyDescent="0.25" outlineLevel="1" collapsed="1">
      <c r="A162" s="24"/>
      <c r="B162" s="35"/>
      <c r="C162" s="93" t="s">
        <v>279</v>
      </c>
      <c r="D162" s="94"/>
      <c r="E162" s="95"/>
      <c r="F162" s="94"/>
      <c r="G162" s="97"/>
      <c r="H162" s="126" t="s">
        <v>161</v>
      </c>
      <c r="I162" s="63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5"/>
      <c r="AU162" s="66">
        <f>SUM(I162:AT162)</f>
      </c>
    </row>
    <row r="163" ht="15.75" customHeight="1" hidden="1" spans="1:47" x14ac:dyDescent="0.25" outlineLevel="1" collapsed="1">
      <c r="A163" s="24"/>
      <c r="B163" s="35"/>
      <c r="C163" s="101" t="s">
        <v>280</v>
      </c>
      <c r="D163" s="102"/>
      <c r="E163" s="103"/>
      <c r="F163" s="140" t="s">
        <v>235</v>
      </c>
      <c r="G163" s="104"/>
      <c r="H163" s="105" t="s">
        <v>236</v>
      </c>
      <c r="I163" s="67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9"/>
      <c r="AU163" s="70">
        <f>SUM(I163:AT163)</f>
      </c>
    </row>
    <row r="164" ht="15.75" customHeight="1" hidden="1" spans="1:47" x14ac:dyDescent="0.25" outlineLevel="1" collapsed="1">
      <c r="A164" s="24"/>
      <c r="B164" s="35"/>
      <c r="C164" s="106" t="s">
        <v>281</v>
      </c>
      <c r="D164" s="107" t="s">
        <v>106</v>
      </c>
      <c r="E164" s="108"/>
      <c r="F164" s="122" t="s">
        <v>150</v>
      </c>
      <c r="G164" s="110"/>
      <c r="H164" s="111"/>
      <c r="I164" s="134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36"/>
      <c r="AU164" s="137">
        <f>SUM(I164:AT164)</f>
      </c>
    </row>
    <row r="165" ht="15.75" customHeight="1" hidden="1" spans="1:47" x14ac:dyDescent="0.25" outlineLevel="1" collapsed="1">
      <c r="A165" s="24"/>
      <c r="B165" s="35"/>
      <c r="C165" s="93" t="s">
        <v>282</v>
      </c>
      <c r="D165" s="94"/>
      <c r="E165" s="95"/>
      <c r="F165" s="124" t="s">
        <v>227</v>
      </c>
      <c r="G165" s="97"/>
      <c r="H165" s="125"/>
      <c r="I165" s="112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4"/>
      <c r="AU165" s="115">
        <f>SUM(I165:AT165)</f>
      </c>
    </row>
    <row r="166" ht="15.75" customHeight="1" hidden="1" spans="1:47" x14ac:dyDescent="0.25" outlineLevel="1" collapsed="1">
      <c r="A166" s="24"/>
      <c r="B166" s="35"/>
      <c r="C166" s="93" t="s">
        <v>283</v>
      </c>
      <c r="D166" s="94"/>
      <c r="E166" s="95"/>
      <c r="F166" s="124" t="s">
        <v>229</v>
      </c>
      <c r="G166" s="97"/>
      <c r="H166" s="125"/>
      <c r="I166" s="112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4"/>
      <c r="AU166" s="115">
        <f>SUM(I166:AT166)</f>
      </c>
    </row>
    <row r="167" ht="15.75" customHeight="1" hidden="1" spans="1:47" x14ac:dyDescent="0.25" outlineLevel="1" collapsed="1">
      <c r="A167" s="24"/>
      <c r="B167" s="35"/>
      <c r="C167" s="93" t="s">
        <v>284</v>
      </c>
      <c r="D167" s="94"/>
      <c r="E167" s="95"/>
      <c r="F167" s="96" t="s">
        <v>231</v>
      </c>
      <c r="G167" s="97"/>
      <c r="H167" s="126" t="s">
        <v>117</v>
      </c>
      <c r="I167" s="112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4"/>
      <c r="AU167" s="115">
        <f>SUM(I167:AT167)</f>
      </c>
    </row>
    <row r="168" ht="15.75" customHeight="1" hidden="1" spans="1:47" x14ac:dyDescent="0.25" outlineLevel="1" collapsed="1">
      <c r="A168" s="24"/>
      <c r="B168" s="35"/>
      <c r="C168" s="93" t="s">
        <v>285</v>
      </c>
      <c r="D168" s="94"/>
      <c r="E168" s="95"/>
      <c r="F168" s="94"/>
      <c r="G168" s="97"/>
      <c r="H168" s="126" t="s">
        <v>119</v>
      </c>
      <c r="I168" s="112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4"/>
      <c r="AU168" s="115">
        <f>SUM(I168:AT168)</f>
      </c>
    </row>
    <row r="169" ht="15.75" customHeight="1" hidden="1" spans="1:47" x14ac:dyDescent="0.25" outlineLevel="1" collapsed="1">
      <c r="A169" s="24"/>
      <c r="B169" s="35"/>
      <c r="C169" s="93" t="s">
        <v>286</v>
      </c>
      <c r="D169" s="94"/>
      <c r="E169" s="95"/>
      <c r="F169" s="94"/>
      <c r="G169" s="97"/>
      <c r="H169" s="126" t="s">
        <v>161</v>
      </c>
      <c r="I169" s="112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4"/>
      <c r="AU169" s="115">
        <f>SUM(I169:AT169)</f>
      </c>
    </row>
    <row r="170" ht="15.75" customHeight="1" hidden="1" spans="1:47" x14ac:dyDescent="0.25" outlineLevel="1" collapsed="1">
      <c r="A170" s="24"/>
      <c r="B170" s="116"/>
      <c r="C170" s="101" t="s">
        <v>287</v>
      </c>
      <c r="D170" s="102"/>
      <c r="E170" s="103"/>
      <c r="F170" s="140" t="s">
        <v>235</v>
      </c>
      <c r="G170" s="104"/>
      <c r="H170" s="105" t="s">
        <v>236</v>
      </c>
      <c r="I170" s="117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8"/>
      <c r="AJ170" s="118"/>
      <c r="AK170" s="118"/>
      <c r="AL170" s="118"/>
      <c r="AM170" s="118"/>
      <c r="AN170" s="118"/>
      <c r="AO170" s="118"/>
      <c r="AP170" s="118"/>
      <c r="AQ170" s="118"/>
      <c r="AR170" s="118"/>
      <c r="AS170" s="118"/>
      <c r="AT170" s="119"/>
      <c r="AU170" s="120">
        <f>SUM(I170:AT170)</f>
      </c>
    </row>
    <row r="171" ht="16.5" customHeight="1" spans="1:47" x14ac:dyDescent="0.25">
      <c r="A171" s="24"/>
      <c r="B171" s="80" t="s">
        <v>288</v>
      </c>
      <c r="C171" s="81"/>
      <c r="D171" s="81"/>
      <c r="E171" s="81"/>
      <c r="F171" s="81"/>
      <c r="G171" s="81"/>
      <c r="H171" s="82"/>
      <c r="I171" s="83">
        <f>SUM(I143:I149)</f>
      </c>
      <c r="J171" s="84">
        <f>SUM(J143:J149)</f>
      </c>
      <c r="K171" s="84">
        <f>SUM(K143:K149)</f>
      </c>
      <c r="L171" s="84">
        <f>SUM(L143:L149)</f>
      </c>
      <c r="M171" s="84">
        <f>SUM(M143:M149)</f>
      </c>
      <c r="N171" s="84">
        <f>SUM(N143:N149)</f>
      </c>
      <c r="O171" s="84">
        <f>SUM(O143:O149)</f>
      </c>
      <c r="P171" s="84">
        <f>SUM(P143:P149)</f>
      </c>
      <c r="Q171" s="84">
        <f>SUM(Q143:Q149)</f>
      </c>
      <c r="R171" s="84">
        <f>SUM(R143:R149)</f>
      </c>
      <c r="S171" s="84">
        <f>SUM(S143:S149)</f>
      </c>
      <c r="T171" s="84">
        <f>SUM(T143:T149)</f>
      </c>
      <c r="U171" s="84">
        <f>SUM(U143:U149)</f>
      </c>
      <c r="V171" s="84">
        <f>SUM(V143:V149)</f>
      </c>
      <c r="W171" s="84">
        <f>SUM(W143:W149)</f>
      </c>
      <c r="X171" s="84">
        <f>SUM(X143:X149)</f>
      </c>
      <c r="Y171" s="84">
        <f>SUM(Y143:Y149)</f>
      </c>
      <c r="Z171" s="84">
        <f>SUM(Z143:Z149)</f>
      </c>
      <c r="AA171" s="84">
        <f>SUM(AA143:AA149)</f>
      </c>
      <c r="AB171" s="84">
        <f>SUM(AB143:AB149)</f>
      </c>
      <c r="AC171" s="84">
        <f>SUM(AC143:AC149)</f>
      </c>
      <c r="AD171" s="84">
        <f>SUM(AD143:AD149)</f>
      </c>
      <c r="AE171" s="84">
        <f>SUM(AE143:AE149)</f>
      </c>
      <c r="AF171" s="84">
        <f>SUM(AF143:AF149)</f>
      </c>
      <c r="AG171" s="84">
        <f>SUM(AG143:AG149)</f>
      </c>
      <c r="AH171" s="84">
        <f>SUM(AH143:AH149)</f>
      </c>
      <c r="AI171" s="84">
        <f>SUM(AI143:AI149)</f>
      </c>
      <c r="AJ171" s="84">
        <f>SUM(AJ143:AJ149)</f>
      </c>
      <c r="AK171" s="84">
        <f>SUM(AK143:AK149)</f>
      </c>
      <c r="AL171" s="84">
        <f>SUM(AL143:AL149)</f>
      </c>
      <c r="AM171" s="84">
        <f>SUM(AM143:AM149)</f>
      </c>
      <c r="AN171" s="84">
        <f>SUM(AN143:AN149)</f>
      </c>
      <c r="AO171" s="84">
        <f>SUM(AO143:AO149)</f>
      </c>
      <c r="AP171" s="84">
        <f>SUM(AP143:AP149)</f>
      </c>
      <c r="AQ171" s="84">
        <f>SUM(AQ143:AQ149)</f>
      </c>
      <c r="AR171" s="84">
        <f>SUM(AR143:AR149)</f>
      </c>
      <c r="AS171" s="84">
        <f>SUM(AS143:AS149)</f>
      </c>
      <c r="AT171" s="84">
        <f>SUM(AT143:AT149)</f>
      </c>
      <c r="AU171" s="85">
        <f>SUM(I171:AT171)</f>
      </c>
    </row>
    <row r="172" ht="16.5" customHeight="1" spans="1:47" x14ac:dyDescent="0.25">
      <c r="A172" s="24"/>
      <c r="B172" s="121" t="s">
        <v>289</v>
      </c>
      <c r="C172" s="106" t="s">
        <v>290</v>
      </c>
      <c r="D172" s="107" t="s">
        <v>83</v>
      </c>
      <c r="E172" s="108"/>
      <c r="F172" s="122" t="s">
        <v>291</v>
      </c>
      <c r="G172" s="110"/>
      <c r="H172" s="111"/>
      <c r="I172" s="31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3"/>
      <c r="AU172" s="123">
        <f>SUM(I172:AT172)</f>
        <v>460</v>
      </c>
    </row>
    <row r="173" ht="16.5" customHeight="1" spans="1:47" x14ac:dyDescent="0.25">
      <c r="A173" s="24"/>
      <c r="B173" s="35"/>
      <c r="C173" s="93" t="s">
        <v>292</v>
      </c>
      <c r="D173" s="94"/>
      <c r="E173" s="95"/>
      <c r="F173" s="124" t="s">
        <v>293</v>
      </c>
      <c r="G173" s="97"/>
      <c r="H173" s="125"/>
      <c r="I173" s="41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3"/>
      <c r="AU173" s="44">
        <f>SUM(I173:AT173)</f>
        <v>261</v>
      </c>
    </row>
    <row r="174" ht="16.5" customHeight="1" spans="1:47" x14ac:dyDescent="0.25">
      <c r="A174" s="24"/>
      <c r="B174" s="35"/>
      <c r="C174" s="93" t="s">
        <v>294</v>
      </c>
      <c r="D174" s="94"/>
      <c r="E174" s="95"/>
      <c r="F174" s="100" t="s">
        <v>207</v>
      </c>
      <c r="G174" s="97"/>
      <c r="H174" s="99" t="s">
        <v>295</v>
      </c>
      <c r="I174" s="41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3"/>
      <c r="AU174" s="44">
        <f>SUM(I174:AT174)</f>
        <v>85</v>
      </c>
    </row>
    <row r="175" ht="16.5" customHeight="1" spans="1:47" x14ac:dyDescent="0.25">
      <c r="A175" s="24"/>
      <c r="B175" s="35"/>
      <c r="C175" s="141" t="s">
        <v>296</v>
      </c>
      <c r="D175" s="102"/>
      <c r="E175" s="103"/>
      <c r="F175" s="102"/>
      <c r="G175" s="104"/>
      <c r="H175" s="142" t="s">
        <v>297</v>
      </c>
      <c r="I175" s="50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2"/>
      <c r="AU175" s="53">
        <f>SUM(I175:AT175)</f>
        <v>232</v>
      </c>
    </row>
    <row r="176" ht="16.5" customHeight="1" hidden="1" spans="1:47" x14ac:dyDescent="0.25" outlineLevel="1" collapsed="1">
      <c r="A176" s="24"/>
      <c r="B176" s="35"/>
      <c r="C176" s="106" t="s">
        <v>298</v>
      </c>
      <c r="D176" s="107" t="s">
        <v>94</v>
      </c>
      <c r="E176" s="108"/>
      <c r="F176" s="122" t="s">
        <v>291</v>
      </c>
      <c r="G176" s="110"/>
      <c r="H176" s="111"/>
      <c r="I176" s="59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1"/>
      <c r="AU176" s="62">
        <f>SUM(I176:AT176)</f>
      </c>
    </row>
    <row r="177" ht="16.5" customHeight="1" hidden="1" spans="1:47" x14ac:dyDescent="0.25" outlineLevel="1" collapsed="1">
      <c r="A177" s="24"/>
      <c r="B177" s="35"/>
      <c r="C177" s="93" t="s">
        <v>299</v>
      </c>
      <c r="D177" s="94"/>
      <c r="E177" s="95"/>
      <c r="F177" s="124" t="s">
        <v>293</v>
      </c>
      <c r="G177" s="97"/>
      <c r="H177" s="125"/>
      <c r="I177" s="63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5"/>
      <c r="AU177" s="66">
        <f>SUM(I177:AT177)</f>
      </c>
    </row>
    <row r="178" ht="16.5" customHeight="1" hidden="1" spans="1:47" x14ac:dyDescent="0.25" outlineLevel="1" collapsed="1">
      <c r="A178" s="24"/>
      <c r="B178" s="35"/>
      <c r="C178" s="93" t="s">
        <v>300</v>
      </c>
      <c r="D178" s="94"/>
      <c r="E178" s="95"/>
      <c r="F178" s="100" t="s">
        <v>207</v>
      </c>
      <c r="G178" s="97"/>
      <c r="H178" s="99" t="s">
        <v>295</v>
      </c>
      <c r="I178" s="63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5"/>
      <c r="AU178" s="66">
        <f>SUM(I178:AT178)</f>
      </c>
    </row>
    <row r="179" ht="16.5" customHeight="1" hidden="1" spans="1:47" x14ac:dyDescent="0.25" outlineLevel="1" collapsed="1">
      <c r="A179" s="24"/>
      <c r="B179" s="35"/>
      <c r="C179" s="141" t="s">
        <v>301</v>
      </c>
      <c r="D179" s="102"/>
      <c r="E179" s="103"/>
      <c r="F179" s="102"/>
      <c r="G179" s="104"/>
      <c r="H179" s="142" t="s">
        <v>297</v>
      </c>
      <c r="I179" s="67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9"/>
      <c r="AU179" s="70">
        <f>SUM(I179:AT179)</f>
      </c>
    </row>
    <row r="180" ht="16.5" customHeight="1" hidden="1" spans="1:47" x14ac:dyDescent="0.25" outlineLevel="1" collapsed="1">
      <c r="A180" s="24"/>
      <c r="B180" s="35"/>
      <c r="C180" s="106" t="s">
        <v>302</v>
      </c>
      <c r="D180" s="107" t="s">
        <v>100</v>
      </c>
      <c r="E180" s="108"/>
      <c r="F180" s="122" t="s">
        <v>291</v>
      </c>
      <c r="G180" s="110"/>
      <c r="H180" s="111"/>
      <c r="I180" s="59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1"/>
      <c r="AU180" s="62">
        <f>SUM(I180:AT180)</f>
      </c>
    </row>
    <row r="181" ht="16.5" customHeight="1" hidden="1" spans="1:47" x14ac:dyDescent="0.25" outlineLevel="1" collapsed="1">
      <c r="A181" s="24"/>
      <c r="B181" s="35"/>
      <c r="C181" s="93" t="s">
        <v>303</v>
      </c>
      <c r="D181" s="94"/>
      <c r="E181" s="95"/>
      <c r="F181" s="124" t="s">
        <v>293</v>
      </c>
      <c r="G181" s="97"/>
      <c r="H181" s="125"/>
      <c r="I181" s="63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5"/>
      <c r="AU181" s="66">
        <f>SUM(I181:AT181)</f>
      </c>
    </row>
    <row r="182" ht="16.5" customHeight="1" hidden="1" spans="1:47" x14ac:dyDescent="0.25" outlineLevel="1" collapsed="1">
      <c r="A182" s="24"/>
      <c r="B182" s="35"/>
      <c r="C182" s="93" t="s">
        <v>304</v>
      </c>
      <c r="D182" s="94"/>
      <c r="E182" s="95"/>
      <c r="F182" s="100" t="s">
        <v>207</v>
      </c>
      <c r="G182" s="97"/>
      <c r="H182" s="99" t="s">
        <v>295</v>
      </c>
      <c r="I182" s="63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5"/>
      <c r="AU182" s="66">
        <f>SUM(I182:AT182)</f>
      </c>
    </row>
    <row r="183" ht="16.5" customHeight="1" hidden="1" spans="1:47" x14ac:dyDescent="0.25" outlineLevel="1" collapsed="1">
      <c r="A183" s="24"/>
      <c r="B183" s="35"/>
      <c r="C183" s="141" t="s">
        <v>305</v>
      </c>
      <c r="D183" s="102"/>
      <c r="E183" s="103"/>
      <c r="F183" s="102"/>
      <c r="G183" s="104"/>
      <c r="H183" s="142" t="s">
        <v>297</v>
      </c>
      <c r="I183" s="67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9"/>
      <c r="AU183" s="70">
        <f>SUM(I183:AT183)</f>
      </c>
    </row>
    <row r="184" ht="16.5" customHeight="1" hidden="1" spans="1:47" x14ac:dyDescent="0.25" outlineLevel="1" collapsed="1">
      <c r="A184" s="24"/>
      <c r="B184" s="35"/>
      <c r="C184" s="106" t="s">
        <v>306</v>
      </c>
      <c r="D184" s="107" t="s">
        <v>106</v>
      </c>
      <c r="E184" s="108"/>
      <c r="F184" s="122" t="s">
        <v>291</v>
      </c>
      <c r="G184" s="110"/>
      <c r="H184" s="111"/>
      <c r="I184" s="134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/>
      <c r="AT184" s="136"/>
      <c r="AU184" s="137">
        <f>SUM(I184:AT184)</f>
      </c>
    </row>
    <row r="185" ht="16.5" customHeight="1" hidden="1" spans="1:47" x14ac:dyDescent="0.25" outlineLevel="1" collapsed="1">
      <c r="A185" s="24"/>
      <c r="B185" s="35"/>
      <c r="C185" s="93" t="s">
        <v>307</v>
      </c>
      <c r="D185" s="94"/>
      <c r="E185" s="95"/>
      <c r="F185" s="124" t="s">
        <v>293</v>
      </c>
      <c r="G185" s="97"/>
      <c r="H185" s="125"/>
      <c r="I185" s="112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4"/>
      <c r="AU185" s="115">
        <f>SUM(I185:AT185)</f>
      </c>
    </row>
    <row r="186" ht="16.5" customHeight="1" hidden="1" spans="1:47" x14ac:dyDescent="0.25" outlineLevel="1" collapsed="1">
      <c r="A186" s="24"/>
      <c r="B186" s="35"/>
      <c r="C186" s="93" t="s">
        <v>308</v>
      </c>
      <c r="D186" s="94"/>
      <c r="E186" s="95"/>
      <c r="F186" s="100" t="s">
        <v>207</v>
      </c>
      <c r="G186" s="97"/>
      <c r="H186" s="99" t="s">
        <v>295</v>
      </c>
      <c r="I186" s="112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4"/>
      <c r="AU186" s="115">
        <f>SUM(I186:AT186)</f>
      </c>
    </row>
    <row r="187" ht="16.5" customHeight="1" hidden="1" spans="1:47" x14ac:dyDescent="0.25" outlineLevel="1" collapsed="1">
      <c r="A187" s="24"/>
      <c r="B187" s="116"/>
      <c r="C187" s="141" t="s">
        <v>309</v>
      </c>
      <c r="D187" s="102"/>
      <c r="E187" s="103"/>
      <c r="F187" s="102"/>
      <c r="G187" s="104"/>
      <c r="H187" s="142" t="s">
        <v>297</v>
      </c>
      <c r="I187" s="117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9"/>
      <c r="AU187" s="120">
        <f>SUM(I187:AT187)</f>
      </c>
    </row>
    <row r="188" ht="16.5" customHeight="1" spans="1:47" x14ac:dyDescent="0.25">
      <c r="A188" s="24"/>
      <c r="B188" s="80" t="s">
        <v>310</v>
      </c>
      <c r="C188" s="81"/>
      <c r="D188" s="81"/>
      <c r="E188" s="81"/>
      <c r="F188" s="81"/>
      <c r="G188" s="81"/>
      <c r="H188" s="82"/>
      <c r="I188" s="83">
        <f>SUM(I172:I175)</f>
      </c>
      <c r="J188" s="84">
        <f>SUM(J172:J175)</f>
        <v>45</v>
      </c>
      <c r="K188" s="84">
        <f>SUM(K172:K175)</f>
        <v>23</v>
      </c>
      <c r="L188" s="84">
        <f>SUM(L172:L175)</f>
        <v>14</v>
      </c>
      <c r="M188" s="84">
        <f>SUM(M172:M175)</f>
        <v>24</v>
      </c>
      <c r="N188" s="84">
        <f>SUM(N172:N175)</f>
        <v>13</v>
      </c>
      <c r="O188" s="84">
        <f>SUM(O172:O175)</f>
        <v>62</v>
      </c>
      <c r="P188" s="84">
        <f>SUM(P172:P175)</f>
        <v>20</v>
      </c>
      <c r="Q188" s="84">
        <f>SUM(Q172:Q175)</f>
        <v>8</v>
      </c>
      <c r="R188" s="84">
        <f>SUM(R172:R175)</f>
        <v>24</v>
      </c>
      <c r="S188" s="84">
        <f>SUM(S172:S175)</f>
        <v>24</v>
      </c>
      <c r="T188" s="84">
        <f>SUM(T172:T175)</f>
        <v>13</v>
      </c>
      <c r="U188" s="84">
        <f>SUM(U172:U175)</f>
        <v>9</v>
      </c>
      <c r="V188" s="84">
        <f>SUM(V172:V175)</f>
        <v>18</v>
      </c>
      <c r="W188" s="84">
        <f>SUM(W172:W175)</f>
        <v>26</v>
      </c>
      <c r="X188" s="84">
        <f>SUM(X172:X175)</f>
        <v>11</v>
      </c>
      <c r="Y188" s="84">
        <f>SUM(Y172:Y175)</f>
        <v>41</v>
      </c>
      <c r="Z188" s="84">
        <f>SUM(Z172:Z175)</f>
        <v>105</v>
      </c>
      <c r="AA188" s="84">
        <f>SUM(AA172:AA175)</f>
        <v>47</v>
      </c>
      <c r="AB188" s="84">
        <f>SUM(AB172:AB175)</f>
      </c>
      <c r="AC188" s="84">
        <f>SUM(AC172:AC175)</f>
        <v>6</v>
      </c>
      <c r="AD188" s="84">
        <f>SUM(AD172:AD175)</f>
        <v>18</v>
      </c>
      <c r="AE188" s="84">
        <f>SUM(AE172:AE175)</f>
        <v>4</v>
      </c>
      <c r="AF188" s="84">
        <f>SUM(AF172:AF175)</f>
        <v>8</v>
      </c>
      <c r="AG188" s="84">
        <f>SUM(AG172:AG175)</f>
        <v>23</v>
      </c>
      <c r="AH188" s="84">
        <f>SUM(AH172:AH175)</f>
        <v>50</v>
      </c>
      <c r="AI188" s="84">
        <f>SUM(AI172:AI175)</f>
      </c>
      <c r="AJ188" s="84">
        <f>SUM(AJ172:AJ175)</f>
        <v>13</v>
      </c>
      <c r="AK188" s="84">
        <f>SUM(AK172:AK175)</f>
        <v>5</v>
      </c>
      <c r="AL188" s="84">
        <f>SUM(AL172:AL175)</f>
        <v>3</v>
      </c>
      <c r="AM188" s="84">
        <f>SUM(AM172:AM175)</f>
        <v>5</v>
      </c>
      <c r="AN188" s="84">
        <f>SUM(AN172:AN175)</f>
      </c>
      <c r="AO188" s="84">
        <f>SUM(AO172:AO175)</f>
      </c>
      <c r="AP188" s="84">
        <f>SUM(AP172:AP175)</f>
        <v>61</v>
      </c>
      <c r="AQ188" s="84">
        <f>SUM(AQ172:AQ175)</f>
        <v>124</v>
      </c>
      <c r="AR188" s="84">
        <f>SUM(AR172:AR175)</f>
        <v>55</v>
      </c>
      <c r="AS188" s="84">
        <f>SUM(AS172:AS175)</f>
        <v>114</v>
      </c>
      <c r="AT188" s="84">
        <f>SUM(AT172:AT175)</f>
        <v>22</v>
      </c>
      <c r="AU188" s="85">
        <f>SUM(I188:AT188)</f>
        <v>1038</v>
      </c>
    </row>
    <row r="189" ht="16.5" customHeight="1" spans="1:47" x14ac:dyDescent="0.25">
      <c r="A189" s="24"/>
      <c r="B189" s="121" t="s">
        <v>311</v>
      </c>
      <c r="C189" s="54" t="s">
        <v>312</v>
      </c>
      <c r="D189" s="107" t="s">
        <v>83</v>
      </c>
      <c r="E189" s="108"/>
      <c r="F189" s="122" t="s">
        <v>313</v>
      </c>
      <c r="G189" s="110"/>
      <c r="H189" s="111"/>
      <c r="I189" s="143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5"/>
      <c r="AU189" s="146">
        <f>SUM(I189:AT189)</f>
        <v>105</v>
      </c>
    </row>
    <row r="190" ht="16.5" customHeight="1" spans="1:47" x14ac:dyDescent="0.25">
      <c r="A190" s="24"/>
      <c r="B190" s="35"/>
      <c r="C190" s="36" t="s">
        <v>314</v>
      </c>
      <c r="D190" s="94"/>
      <c r="E190" s="95"/>
      <c r="F190" s="124" t="s">
        <v>315</v>
      </c>
      <c r="G190" s="97"/>
      <c r="H190" s="125"/>
      <c r="I190" s="147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  <c r="AD190" s="148"/>
      <c r="AE190" s="148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9"/>
      <c r="AU190" s="150">
        <f>SUM(I190:AT190)</f>
      </c>
    </row>
    <row r="191" ht="16.5" customHeight="1" spans="1:47" x14ac:dyDescent="0.25">
      <c r="A191" s="24"/>
      <c r="B191" s="35"/>
      <c r="C191" s="36" t="s">
        <v>316</v>
      </c>
      <c r="D191" s="94"/>
      <c r="E191" s="95"/>
      <c r="F191" s="151" t="s">
        <v>317</v>
      </c>
      <c r="G191" s="152"/>
      <c r="H191" s="152"/>
      <c r="I191" s="41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3"/>
      <c r="AU191" s="44">
        <f>SUM(I191:AT191)</f>
        <v>73</v>
      </c>
    </row>
    <row r="192" ht="16.5" customHeight="1" spans="1:47" x14ac:dyDescent="0.25">
      <c r="A192" s="24"/>
      <c r="B192" s="35"/>
      <c r="C192" s="36" t="s">
        <v>318</v>
      </c>
      <c r="D192" s="94"/>
      <c r="E192" s="95"/>
      <c r="F192" s="151" t="s">
        <v>319</v>
      </c>
      <c r="G192" s="152"/>
      <c r="H192" s="152"/>
      <c r="I192" s="41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3"/>
      <c r="AU192" s="44">
        <f>SUM(I192:AT192)</f>
        <v>75</v>
      </c>
    </row>
    <row r="193" ht="16.5" customHeight="1" spans="1:47" x14ac:dyDescent="0.25">
      <c r="A193" s="24"/>
      <c r="B193" s="35"/>
      <c r="C193" s="36" t="s">
        <v>320</v>
      </c>
      <c r="D193" s="94"/>
      <c r="E193" s="95"/>
      <c r="F193" s="151" t="s">
        <v>321</v>
      </c>
      <c r="G193" s="152"/>
      <c r="H193" s="152"/>
      <c r="I193" s="41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3"/>
      <c r="AU193" s="44">
        <f>SUM(I193:AT193)</f>
        <v>34</v>
      </c>
    </row>
    <row r="194" ht="16.5" customHeight="1" spans="1:47" x14ac:dyDescent="0.25">
      <c r="A194" s="24"/>
      <c r="B194" s="35"/>
      <c r="C194" s="36" t="s">
        <v>322</v>
      </c>
      <c r="D194" s="94"/>
      <c r="E194" s="95"/>
      <c r="F194" s="151" t="s">
        <v>124</v>
      </c>
      <c r="G194" s="152"/>
      <c r="H194" s="152"/>
      <c r="I194" s="41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3"/>
      <c r="AU194" s="44">
        <f>SUM(I194:AT194)</f>
        <v>4</v>
      </c>
    </row>
    <row r="195" ht="16.5" customHeight="1" spans="1:47" x14ac:dyDescent="0.25">
      <c r="A195" s="24"/>
      <c r="B195" s="35"/>
      <c r="C195" s="36" t="s">
        <v>323</v>
      </c>
      <c r="D195" s="94"/>
      <c r="E195" s="95"/>
      <c r="F195" s="151" t="s">
        <v>324</v>
      </c>
      <c r="G195" s="152"/>
      <c r="H195" s="152"/>
      <c r="I195" s="41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3"/>
      <c r="AU195" s="44">
        <f>SUM(I195:AT195)</f>
      </c>
    </row>
    <row r="196" ht="15.75" customHeight="1" spans="1:47" x14ac:dyDescent="0.25">
      <c r="A196" s="24"/>
      <c r="B196" s="35"/>
      <c r="C196" s="45" t="s">
        <v>325</v>
      </c>
      <c r="D196" s="102"/>
      <c r="E196" s="103"/>
      <c r="F196" s="132" t="s">
        <v>326</v>
      </c>
      <c r="G196" s="104"/>
      <c r="H196" s="133"/>
      <c r="I196" s="50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2"/>
      <c r="AU196" s="53">
        <f>SUM(I196:AT196)</f>
      </c>
    </row>
    <row r="197" ht="16.5" customHeight="1" hidden="1" spans="1:47" x14ac:dyDescent="0.25" outlineLevel="1" collapsed="1">
      <c r="A197" s="24"/>
      <c r="B197" s="35"/>
      <c r="C197" s="54" t="s">
        <v>327</v>
      </c>
      <c r="D197" s="107" t="s">
        <v>94</v>
      </c>
      <c r="E197" s="108"/>
      <c r="F197" s="122" t="s">
        <v>313</v>
      </c>
      <c r="G197" s="110"/>
      <c r="H197" s="111"/>
      <c r="I197" s="59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1"/>
      <c r="AU197" s="62">
        <f>SUM(I197:AT197)</f>
      </c>
    </row>
    <row r="198" ht="16.5" customHeight="1" hidden="1" spans="1:47" x14ac:dyDescent="0.25" outlineLevel="1" collapsed="1">
      <c r="A198" s="24"/>
      <c r="B198" s="35"/>
      <c r="C198" s="36" t="s">
        <v>328</v>
      </c>
      <c r="D198" s="94"/>
      <c r="E198" s="95"/>
      <c r="F198" s="124" t="s">
        <v>315</v>
      </c>
      <c r="G198" s="97"/>
      <c r="H198" s="125"/>
      <c r="I198" s="63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5"/>
      <c r="AU198" s="66">
        <f>SUM(I198:AT198)</f>
      </c>
    </row>
    <row r="199" ht="16.5" customHeight="1" hidden="1" spans="1:47" x14ac:dyDescent="0.25" outlineLevel="1" collapsed="1">
      <c r="A199" s="24"/>
      <c r="B199" s="35"/>
      <c r="C199" s="36" t="s">
        <v>329</v>
      </c>
      <c r="D199" s="94"/>
      <c r="E199" s="95"/>
      <c r="F199" s="151" t="s">
        <v>317</v>
      </c>
      <c r="G199" s="152"/>
      <c r="H199" s="152"/>
      <c r="I199" s="63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5"/>
      <c r="AU199" s="66">
        <f>SUM(I199:AT199)</f>
      </c>
    </row>
    <row r="200" ht="16.5" customHeight="1" hidden="1" spans="1:47" x14ac:dyDescent="0.25" outlineLevel="1" collapsed="1">
      <c r="A200" s="24"/>
      <c r="B200" s="35"/>
      <c r="C200" s="36" t="s">
        <v>330</v>
      </c>
      <c r="D200" s="94"/>
      <c r="E200" s="95"/>
      <c r="F200" s="151" t="s">
        <v>319</v>
      </c>
      <c r="G200" s="152"/>
      <c r="H200" s="152"/>
      <c r="I200" s="63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5"/>
      <c r="AU200" s="66">
        <f>SUM(I200:AT200)</f>
      </c>
    </row>
    <row r="201" ht="16.5" customHeight="1" hidden="1" spans="1:47" x14ac:dyDescent="0.25" outlineLevel="1" collapsed="1">
      <c r="A201" s="24"/>
      <c r="B201" s="35"/>
      <c r="C201" s="36" t="s">
        <v>331</v>
      </c>
      <c r="D201" s="94"/>
      <c r="E201" s="95"/>
      <c r="F201" s="151" t="s">
        <v>321</v>
      </c>
      <c r="G201" s="152"/>
      <c r="H201" s="152"/>
      <c r="I201" s="63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5"/>
      <c r="AU201" s="66">
        <f>SUM(I201:AT201)</f>
      </c>
    </row>
    <row r="202" ht="16.5" customHeight="1" hidden="1" spans="1:47" x14ac:dyDescent="0.25" outlineLevel="1" collapsed="1">
      <c r="A202" s="24"/>
      <c r="B202" s="35"/>
      <c r="C202" s="36" t="s">
        <v>332</v>
      </c>
      <c r="D202" s="94"/>
      <c r="E202" s="95"/>
      <c r="F202" s="151" t="s">
        <v>124</v>
      </c>
      <c r="G202" s="152"/>
      <c r="H202" s="152"/>
      <c r="I202" s="63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5"/>
      <c r="AU202" s="66">
        <f>SUM(I202:AT202)</f>
      </c>
    </row>
    <row r="203" ht="16.5" customHeight="1" hidden="1" spans="1:47" x14ac:dyDescent="0.25" outlineLevel="1" collapsed="1">
      <c r="A203" s="24"/>
      <c r="B203" s="35"/>
      <c r="C203" s="36" t="s">
        <v>333</v>
      </c>
      <c r="D203" s="94"/>
      <c r="E203" s="95"/>
      <c r="F203" s="151" t="s">
        <v>324</v>
      </c>
      <c r="G203" s="152"/>
      <c r="H203" s="152"/>
      <c r="I203" s="63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5"/>
      <c r="AU203" s="66">
        <f>SUM(I203:AT203)</f>
      </c>
    </row>
    <row r="204" ht="15.75" customHeight="1" hidden="1" spans="1:47" x14ac:dyDescent="0.25" outlineLevel="1" collapsed="1">
      <c r="A204" s="24"/>
      <c r="B204" s="35"/>
      <c r="C204" s="45" t="s">
        <v>334</v>
      </c>
      <c r="D204" s="102"/>
      <c r="E204" s="103"/>
      <c r="F204" s="132" t="s">
        <v>326</v>
      </c>
      <c r="G204" s="104"/>
      <c r="H204" s="133"/>
      <c r="I204" s="67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9"/>
      <c r="AU204" s="70">
        <f>SUM(I204:AT204)</f>
      </c>
    </row>
    <row r="205" ht="16.5" customHeight="1" hidden="1" spans="1:47" x14ac:dyDescent="0.25" outlineLevel="1" collapsed="1">
      <c r="A205" s="24"/>
      <c r="B205" s="35"/>
      <c r="C205" s="54" t="s">
        <v>335</v>
      </c>
      <c r="D205" s="107" t="s">
        <v>100</v>
      </c>
      <c r="E205" s="108"/>
      <c r="F205" s="122" t="s">
        <v>313</v>
      </c>
      <c r="G205" s="110"/>
      <c r="H205" s="111"/>
      <c r="I205" s="59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1"/>
      <c r="AU205" s="62">
        <f>SUM(I205:AT205)</f>
      </c>
    </row>
    <row r="206" ht="16.5" customHeight="1" hidden="1" spans="1:47" x14ac:dyDescent="0.25" outlineLevel="1" collapsed="1">
      <c r="A206" s="24"/>
      <c r="B206" s="35"/>
      <c r="C206" s="36" t="s">
        <v>336</v>
      </c>
      <c r="D206" s="94"/>
      <c r="E206" s="95"/>
      <c r="F206" s="124" t="s">
        <v>315</v>
      </c>
      <c r="G206" s="97"/>
      <c r="H206" s="125"/>
      <c r="I206" s="63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5"/>
      <c r="AU206" s="66">
        <f>SUM(I206:AT206)</f>
      </c>
    </row>
    <row r="207" ht="16.5" customHeight="1" hidden="1" spans="1:47" x14ac:dyDescent="0.25" outlineLevel="1" collapsed="1">
      <c r="A207" s="24"/>
      <c r="B207" s="35"/>
      <c r="C207" s="36" t="s">
        <v>337</v>
      </c>
      <c r="D207" s="94"/>
      <c r="E207" s="95"/>
      <c r="F207" s="151" t="s">
        <v>317</v>
      </c>
      <c r="G207" s="152"/>
      <c r="H207" s="152"/>
      <c r="I207" s="63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5"/>
      <c r="AU207" s="66">
        <f>SUM(I207:AT207)</f>
      </c>
    </row>
    <row r="208" ht="16.5" customHeight="1" hidden="1" spans="1:47" x14ac:dyDescent="0.25" outlineLevel="1" collapsed="1">
      <c r="A208" s="24"/>
      <c r="B208" s="35"/>
      <c r="C208" s="36" t="s">
        <v>338</v>
      </c>
      <c r="D208" s="94"/>
      <c r="E208" s="95"/>
      <c r="F208" s="151" t="s">
        <v>319</v>
      </c>
      <c r="G208" s="152"/>
      <c r="H208" s="152"/>
      <c r="I208" s="63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5"/>
      <c r="AU208" s="66">
        <f>SUM(I208:AT208)</f>
      </c>
    </row>
    <row r="209" ht="16.5" customHeight="1" hidden="1" spans="1:47" x14ac:dyDescent="0.25" outlineLevel="1" collapsed="1">
      <c r="A209" s="24"/>
      <c r="B209" s="35"/>
      <c r="C209" s="36" t="s">
        <v>339</v>
      </c>
      <c r="D209" s="94"/>
      <c r="E209" s="95"/>
      <c r="F209" s="151" t="s">
        <v>321</v>
      </c>
      <c r="G209" s="152"/>
      <c r="H209" s="152"/>
      <c r="I209" s="63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5"/>
      <c r="AU209" s="66">
        <f>SUM(I209:AT209)</f>
      </c>
    </row>
    <row r="210" ht="16.5" customHeight="1" hidden="1" spans="1:47" x14ac:dyDescent="0.25" outlineLevel="1" collapsed="1">
      <c r="A210" s="24"/>
      <c r="B210" s="35"/>
      <c r="C210" s="36" t="s">
        <v>340</v>
      </c>
      <c r="D210" s="94"/>
      <c r="E210" s="95"/>
      <c r="F210" s="151" t="s">
        <v>124</v>
      </c>
      <c r="G210" s="152"/>
      <c r="H210" s="152"/>
      <c r="I210" s="63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5"/>
      <c r="AU210" s="66">
        <f>SUM(I210:AT210)</f>
      </c>
    </row>
    <row r="211" ht="16.5" customHeight="1" hidden="1" spans="1:47" x14ac:dyDescent="0.25" outlineLevel="1" collapsed="1">
      <c r="A211" s="24"/>
      <c r="B211" s="35"/>
      <c r="C211" s="36" t="s">
        <v>341</v>
      </c>
      <c r="D211" s="94"/>
      <c r="E211" s="95"/>
      <c r="F211" s="151" t="s">
        <v>324</v>
      </c>
      <c r="G211" s="152"/>
      <c r="H211" s="152"/>
      <c r="I211" s="63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5"/>
      <c r="AU211" s="66">
        <f>SUM(I211:AT211)</f>
      </c>
    </row>
    <row r="212" ht="15.75" customHeight="1" hidden="1" spans="1:47" x14ac:dyDescent="0.25" outlineLevel="1" collapsed="1">
      <c r="A212" s="24"/>
      <c r="B212" s="35"/>
      <c r="C212" s="45" t="s">
        <v>342</v>
      </c>
      <c r="D212" s="102"/>
      <c r="E212" s="103"/>
      <c r="F212" s="132" t="s">
        <v>326</v>
      </c>
      <c r="G212" s="104"/>
      <c r="H212" s="133"/>
      <c r="I212" s="67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9"/>
      <c r="AU212" s="70">
        <f>SUM(I212:AT212)</f>
      </c>
    </row>
    <row r="213" ht="16.5" customHeight="1" hidden="1" spans="1:47" x14ac:dyDescent="0.25" outlineLevel="1" collapsed="1">
      <c r="A213" s="24"/>
      <c r="B213" s="35"/>
      <c r="C213" s="54" t="s">
        <v>343</v>
      </c>
      <c r="D213" s="107" t="s">
        <v>106</v>
      </c>
      <c r="E213" s="108"/>
      <c r="F213" s="122" t="s">
        <v>313</v>
      </c>
      <c r="G213" s="110"/>
      <c r="H213" s="111"/>
      <c r="I213" s="59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1"/>
      <c r="AU213" s="62">
        <f>SUM(I213:AT213)</f>
      </c>
    </row>
    <row r="214" ht="16.5" customHeight="1" hidden="1" spans="1:47" x14ac:dyDescent="0.25" outlineLevel="1" collapsed="1">
      <c r="A214" s="24"/>
      <c r="B214" s="35"/>
      <c r="C214" s="36" t="s">
        <v>344</v>
      </c>
      <c r="D214" s="94"/>
      <c r="E214" s="95"/>
      <c r="F214" s="124" t="s">
        <v>315</v>
      </c>
      <c r="G214" s="97"/>
      <c r="H214" s="125"/>
      <c r="I214" s="63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5"/>
      <c r="AU214" s="66">
        <f>SUM(I214:AT214)</f>
      </c>
    </row>
    <row r="215" ht="16.5" customHeight="1" hidden="1" spans="1:47" x14ac:dyDescent="0.25" outlineLevel="1" collapsed="1">
      <c r="A215" s="24"/>
      <c r="B215" s="35"/>
      <c r="C215" s="36" t="s">
        <v>345</v>
      </c>
      <c r="D215" s="94"/>
      <c r="E215" s="95"/>
      <c r="F215" s="151" t="s">
        <v>317</v>
      </c>
      <c r="G215" s="152"/>
      <c r="H215" s="152"/>
      <c r="I215" s="63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5"/>
      <c r="AU215" s="66">
        <f>SUM(I215:AT215)</f>
      </c>
    </row>
    <row r="216" ht="16.5" customHeight="1" hidden="1" spans="1:47" x14ac:dyDescent="0.25" outlineLevel="1" collapsed="1">
      <c r="A216" s="24"/>
      <c r="B216" s="35"/>
      <c r="C216" s="36" t="s">
        <v>346</v>
      </c>
      <c r="D216" s="94"/>
      <c r="E216" s="95"/>
      <c r="F216" s="151" t="s">
        <v>319</v>
      </c>
      <c r="G216" s="152"/>
      <c r="H216" s="152"/>
      <c r="I216" s="63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5"/>
      <c r="AU216" s="66">
        <f>SUM(I216:AT216)</f>
      </c>
    </row>
    <row r="217" ht="16.5" customHeight="1" hidden="1" spans="1:47" x14ac:dyDescent="0.25" outlineLevel="1" collapsed="1">
      <c r="A217" s="24"/>
      <c r="B217" s="35"/>
      <c r="C217" s="36" t="s">
        <v>347</v>
      </c>
      <c r="D217" s="94"/>
      <c r="E217" s="95"/>
      <c r="F217" s="151" t="s">
        <v>321</v>
      </c>
      <c r="G217" s="152"/>
      <c r="H217" s="152"/>
      <c r="I217" s="63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5"/>
      <c r="AU217" s="66">
        <f>SUM(I217:AT217)</f>
      </c>
    </row>
    <row r="218" ht="16.5" customHeight="1" hidden="1" spans="1:47" x14ac:dyDescent="0.25" outlineLevel="1" collapsed="1">
      <c r="A218" s="24"/>
      <c r="B218" s="35"/>
      <c r="C218" s="36" t="s">
        <v>348</v>
      </c>
      <c r="D218" s="94"/>
      <c r="E218" s="95"/>
      <c r="F218" s="151" t="s">
        <v>124</v>
      </c>
      <c r="G218" s="152"/>
      <c r="H218" s="152"/>
      <c r="I218" s="63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5"/>
      <c r="AU218" s="66">
        <f>SUM(I218:AT218)</f>
      </c>
    </row>
    <row r="219" ht="16.5" customHeight="1" hidden="1" spans="1:47" x14ac:dyDescent="0.25" outlineLevel="1" collapsed="1">
      <c r="A219" s="24"/>
      <c r="B219" s="35"/>
      <c r="C219" s="36" t="s">
        <v>349</v>
      </c>
      <c r="D219" s="94"/>
      <c r="E219" s="95"/>
      <c r="F219" s="151" t="s">
        <v>324</v>
      </c>
      <c r="G219" s="152"/>
      <c r="H219" s="152"/>
      <c r="I219" s="63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5"/>
      <c r="AU219" s="66">
        <f>SUM(I219:AT219)</f>
      </c>
    </row>
    <row r="220" ht="15.75" customHeight="1" hidden="1" spans="1:47" x14ac:dyDescent="0.25" outlineLevel="1" collapsed="1">
      <c r="A220" s="24"/>
      <c r="B220" s="116"/>
      <c r="C220" s="45" t="s">
        <v>350</v>
      </c>
      <c r="D220" s="102"/>
      <c r="E220" s="103"/>
      <c r="F220" s="132" t="s">
        <v>326</v>
      </c>
      <c r="G220" s="104"/>
      <c r="H220" s="133"/>
      <c r="I220" s="76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8"/>
      <c r="AU220" s="70">
        <f>SUM(I220:AT220)</f>
      </c>
    </row>
    <row r="221" ht="16.5" customHeight="1" spans="1:47" x14ac:dyDescent="0.25">
      <c r="A221" s="24"/>
      <c r="B221" s="80" t="s">
        <v>351</v>
      </c>
      <c r="C221" s="81"/>
      <c r="D221" s="81"/>
      <c r="E221" s="81"/>
      <c r="F221" s="81"/>
      <c r="G221" s="81"/>
      <c r="H221" s="82"/>
      <c r="I221" s="83">
        <f>SUM(I189:I196)</f>
      </c>
      <c r="J221" s="84">
        <f>SUM(J189:J196)</f>
        <v>2</v>
      </c>
      <c r="K221" s="84">
        <f>SUM(K189:K196)</f>
        <v>1</v>
      </c>
      <c r="L221" s="84">
        <f>SUM(L189:L196)</f>
        <v>7</v>
      </c>
      <c r="M221" s="84">
        <f>SUM(M189:M196)</f>
      </c>
      <c r="N221" s="84">
        <f>SUM(N189:N196)</f>
        <v>10</v>
      </c>
      <c r="O221" s="84">
        <f>SUM(O189:O196)</f>
        <v>20</v>
      </c>
      <c r="P221" s="84">
        <f>SUM(P189:P196)</f>
      </c>
      <c r="Q221" s="84">
        <f>SUM(Q189:Q196)</f>
        <v>7</v>
      </c>
      <c r="R221" s="84">
        <f>SUM(R189:R196)</f>
        <v>5</v>
      </c>
      <c r="S221" s="84">
        <f>SUM(S189:S196)</f>
        <v>20</v>
      </c>
      <c r="T221" s="84">
        <f>SUM(T189:T196)</f>
      </c>
      <c r="U221" s="84">
        <f>SUM(U189:U196)</f>
        <v>10</v>
      </c>
      <c r="V221" s="84">
        <f>SUM(V189:V196)</f>
        <v>10</v>
      </c>
      <c r="W221" s="84">
        <f>SUM(W189:W196)</f>
      </c>
      <c r="X221" s="84">
        <f>SUM(X189:X196)</f>
        <v>2</v>
      </c>
      <c r="Y221" s="84">
        <f>SUM(Y189:Y196)</f>
      </c>
      <c r="Z221" s="84">
        <f>SUM(Z189:Z196)</f>
        <v>27</v>
      </c>
      <c r="AA221" s="84">
        <f>SUM(AA189:AA196)</f>
        <v>36</v>
      </c>
      <c r="AB221" s="84">
        <f>SUM(AB189:AB196)</f>
      </c>
      <c r="AC221" s="84">
        <f>SUM(AC189:AC196)</f>
      </c>
      <c r="AD221" s="84">
        <f>SUM(AD189:AD196)</f>
        <v>4</v>
      </c>
      <c r="AE221" s="84">
        <f>SUM(AE189:AE196)</f>
      </c>
      <c r="AF221" s="84">
        <f>SUM(AF189:AF196)</f>
      </c>
      <c r="AG221" s="84">
        <f>SUM(AG189:AG196)</f>
        <v>34</v>
      </c>
      <c r="AH221" s="84">
        <f>SUM(AH189:AH196)</f>
        <v>20</v>
      </c>
      <c r="AI221" s="84">
        <f>SUM(AI189:AI196)</f>
      </c>
      <c r="AJ221" s="84">
        <f>SUM(AJ189:AJ196)</f>
        <v>1</v>
      </c>
      <c r="AK221" s="84">
        <f>SUM(AK189:AK196)</f>
        <v>1</v>
      </c>
      <c r="AL221" s="84">
        <f>SUM(AL189:AL196)</f>
        <v>1</v>
      </c>
      <c r="AM221" s="84">
        <f>SUM(AM189:AM196)</f>
      </c>
      <c r="AN221" s="84">
        <f>SUM(AN189:AN196)</f>
      </c>
      <c r="AO221" s="84">
        <f>SUM(AO189:AO196)</f>
      </c>
      <c r="AP221" s="84">
        <f>SUM(AP189:AP196)</f>
        <v>1</v>
      </c>
      <c r="AQ221" s="84">
        <f>SUM(AQ189:AQ196)</f>
        <v>30</v>
      </c>
      <c r="AR221" s="84">
        <f>SUM(AR189:AR196)</f>
        <v>4</v>
      </c>
      <c r="AS221" s="84">
        <f>SUM(AS189:AS196)</f>
        <v>28</v>
      </c>
      <c r="AT221" s="84">
        <f>SUM(AT189:AT196)</f>
        <v>10</v>
      </c>
      <c r="AU221" s="85">
        <f>SUM(I221:AT221)</f>
        <v>291</v>
      </c>
    </row>
    <row r="222" ht="25.5" customHeight="1" spans="1:47" x14ac:dyDescent="0.25">
      <c r="A222" s="24"/>
      <c r="B222" s="121" t="s">
        <v>352</v>
      </c>
      <c r="C222" s="153" t="s">
        <v>353</v>
      </c>
      <c r="D222" s="154" t="s">
        <v>83</v>
      </c>
      <c r="E222" s="108"/>
      <c r="F222" s="155" t="s">
        <v>236</v>
      </c>
      <c r="G222" s="108"/>
      <c r="H222" s="156" t="s">
        <v>354</v>
      </c>
      <c r="I222" s="31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3"/>
      <c r="AU222" s="123">
        <f>SUM(I222:AT222)</f>
        <v>8</v>
      </c>
    </row>
    <row r="223" ht="25.5" customHeight="1" spans="1:47" x14ac:dyDescent="0.25">
      <c r="A223" s="24"/>
      <c r="B223" s="35"/>
      <c r="C223" s="157" t="s">
        <v>355</v>
      </c>
      <c r="D223" s="94"/>
      <c r="E223" s="95"/>
      <c r="F223" s="94"/>
      <c r="G223" s="95"/>
      <c r="H223" s="151" t="s">
        <v>356</v>
      </c>
      <c r="I223" s="41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3"/>
      <c r="AU223" s="44">
        <f>SUM(I223:AT223)</f>
      </c>
    </row>
    <row r="224" ht="25.5" customHeight="1" spans="1:47" x14ac:dyDescent="0.25">
      <c r="A224" s="24"/>
      <c r="B224" s="35"/>
      <c r="C224" s="157" t="s">
        <v>357</v>
      </c>
      <c r="D224" s="94"/>
      <c r="E224" s="95"/>
      <c r="F224" s="94"/>
      <c r="G224" s="95"/>
      <c r="H224" s="151" t="s">
        <v>358</v>
      </c>
      <c r="I224" s="147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148"/>
      <c r="AE224" s="148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  <c r="AT224" s="149"/>
      <c r="AU224" s="150">
        <f>SUM(I224:AT224)</f>
      </c>
    </row>
    <row r="225" ht="26.25" customHeight="1" spans="1:47" x14ac:dyDescent="0.25">
      <c r="A225" s="24"/>
      <c r="B225" s="35"/>
      <c r="C225" s="157" t="s">
        <v>359</v>
      </c>
      <c r="D225" s="94"/>
      <c r="E225" s="95"/>
      <c r="F225" s="102"/>
      <c r="G225" s="103"/>
      <c r="H225" s="158" t="s">
        <v>360</v>
      </c>
      <c r="I225" s="159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  <c r="AE225" s="160"/>
      <c r="AF225" s="160"/>
      <c r="AG225" s="160"/>
      <c r="AH225" s="160"/>
      <c r="AI225" s="160"/>
      <c r="AJ225" s="160"/>
      <c r="AK225" s="160"/>
      <c r="AL225" s="160"/>
      <c r="AM225" s="160"/>
      <c r="AN225" s="160"/>
      <c r="AO225" s="160"/>
      <c r="AP225" s="160"/>
      <c r="AQ225" s="160"/>
      <c r="AR225" s="160"/>
      <c r="AS225" s="160"/>
      <c r="AT225" s="161"/>
      <c r="AU225" s="162">
        <f>SUM(I225:AT225)</f>
      </c>
    </row>
    <row r="226" ht="16.5" customHeight="1" spans="1:47" x14ac:dyDescent="0.25">
      <c r="A226" s="24"/>
      <c r="B226" s="35"/>
      <c r="C226" s="157" t="s">
        <v>361</v>
      </c>
      <c r="D226" s="94"/>
      <c r="E226" s="95"/>
      <c r="F226" s="155" t="s">
        <v>362</v>
      </c>
      <c r="G226" s="108"/>
      <c r="H226" s="163" t="s">
        <v>117</v>
      </c>
      <c r="I226" s="164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6"/>
      <c r="AU226" s="123">
        <f>SUM(I226:AT226)</f>
      </c>
    </row>
    <row r="227" ht="16.5" customHeight="1" spans="1:47" x14ac:dyDescent="0.25">
      <c r="A227" s="24"/>
      <c r="B227" s="35"/>
      <c r="C227" s="157" t="s">
        <v>363</v>
      </c>
      <c r="D227" s="94"/>
      <c r="E227" s="95"/>
      <c r="F227" s="94"/>
      <c r="G227" s="95"/>
      <c r="H227" s="167" t="s">
        <v>119</v>
      </c>
      <c r="I227" s="41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3"/>
      <c r="AU227" s="44">
        <f>SUM(I227:AT227)</f>
      </c>
    </row>
    <row r="228" ht="16.5" customHeight="1" spans="1:47" x14ac:dyDescent="0.25">
      <c r="A228" s="24"/>
      <c r="B228" s="35"/>
      <c r="C228" s="168" t="s">
        <v>364</v>
      </c>
      <c r="D228" s="102"/>
      <c r="E228" s="103"/>
      <c r="F228" s="102"/>
      <c r="G228" s="103"/>
      <c r="H228" s="169" t="s">
        <v>161</v>
      </c>
      <c r="I228" s="50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2"/>
      <c r="AU228" s="53">
        <f>SUM(I228:AT228)</f>
      </c>
    </row>
    <row r="229" ht="25.5" customHeight="1" hidden="1" spans="1:47" x14ac:dyDescent="0.25" outlineLevel="1" collapsed="1">
      <c r="A229" s="24"/>
      <c r="B229" s="35"/>
      <c r="C229" s="153" t="s">
        <v>365</v>
      </c>
      <c r="D229" s="154" t="s">
        <v>94</v>
      </c>
      <c r="E229" s="108"/>
      <c r="F229" s="155" t="s">
        <v>236</v>
      </c>
      <c r="G229" s="108"/>
      <c r="H229" s="156" t="s">
        <v>354</v>
      </c>
      <c r="I229" s="59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1"/>
      <c r="AU229" s="62">
        <f>SUM(I229:AT229)</f>
      </c>
    </row>
    <row r="230" ht="25.5" customHeight="1" hidden="1" spans="1:47" x14ac:dyDescent="0.25" outlineLevel="1" collapsed="1">
      <c r="A230" s="24"/>
      <c r="B230" s="35"/>
      <c r="C230" s="157" t="s">
        <v>366</v>
      </c>
      <c r="D230" s="94"/>
      <c r="E230" s="95"/>
      <c r="F230" s="94"/>
      <c r="G230" s="95"/>
      <c r="H230" s="151" t="s">
        <v>356</v>
      </c>
      <c r="I230" s="63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5"/>
      <c r="AU230" s="66">
        <f>SUM(I230:AT230)</f>
      </c>
    </row>
    <row r="231" ht="25.5" customHeight="1" hidden="1" spans="1:47" x14ac:dyDescent="0.25" outlineLevel="1" collapsed="1">
      <c r="A231" s="24"/>
      <c r="B231" s="35"/>
      <c r="C231" s="157" t="s">
        <v>367</v>
      </c>
      <c r="D231" s="94"/>
      <c r="E231" s="95"/>
      <c r="F231" s="94"/>
      <c r="G231" s="95"/>
      <c r="H231" s="151" t="s">
        <v>358</v>
      </c>
      <c r="I231" s="63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5"/>
      <c r="AU231" s="66">
        <f>SUM(I231:AT231)</f>
      </c>
    </row>
    <row r="232" ht="26.25" customHeight="1" hidden="1" spans="1:47" x14ac:dyDescent="0.25" outlineLevel="1" collapsed="1">
      <c r="A232" s="24"/>
      <c r="B232" s="35"/>
      <c r="C232" s="157" t="s">
        <v>368</v>
      </c>
      <c r="D232" s="94"/>
      <c r="E232" s="95"/>
      <c r="F232" s="102"/>
      <c r="G232" s="103"/>
      <c r="H232" s="158" t="s">
        <v>360</v>
      </c>
      <c r="I232" s="67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9"/>
      <c r="AU232" s="70">
        <f>SUM(I232:AT232)</f>
      </c>
    </row>
    <row r="233" ht="16.5" customHeight="1" hidden="1" spans="1:47" x14ac:dyDescent="0.25" outlineLevel="1" collapsed="1">
      <c r="A233" s="24"/>
      <c r="B233" s="35"/>
      <c r="C233" s="157" t="s">
        <v>369</v>
      </c>
      <c r="D233" s="94"/>
      <c r="E233" s="95"/>
      <c r="F233" s="155" t="s">
        <v>362</v>
      </c>
      <c r="G233" s="108"/>
      <c r="H233" s="163" t="s">
        <v>117</v>
      </c>
      <c r="I233" s="59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1"/>
      <c r="AU233" s="62">
        <f>SUM(I233:AT233)</f>
      </c>
    </row>
    <row r="234" ht="16.5" customHeight="1" hidden="1" spans="1:47" x14ac:dyDescent="0.25" outlineLevel="1" collapsed="1">
      <c r="A234" s="24"/>
      <c r="B234" s="35"/>
      <c r="C234" s="157" t="s">
        <v>370</v>
      </c>
      <c r="D234" s="94"/>
      <c r="E234" s="95"/>
      <c r="F234" s="94"/>
      <c r="G234" s="95"/>
      <c r="H234" s="167" t="s">
        <v>119</v>
      </c>
      <c r="I234" s="63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5"/>
      <c r="AU234" s="66">
        <f>SUM(I234:AT234)</f>
      </c>
    </row>
    <row r="235" ht="16.5" customHeight="1" hidden="1" spans="1:47" x14ac:dyDescent="0.25" outlineLevel="1" collapsed="1">
      <c r="A235" s="24"/>
      <c r="B235" s="35"/>
      <c r="C235" s="168" t="s">
        <v>371</v>
      </c>
      <c r="D235" s="102"/>
      <c r="E235" s="103"/>
      <c r="F235" s="102"/>
      <c r="G235" s="103"/>
      <c r="H235" s="169" t="s">
        <v>161</v>
      </c>
      <c r="I235" s="67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9"/>
      <c r="AU235" s="70">
        <f>SUM(I235:AT235)</f>
      </c>
    </row>
    <row r="236" ht="25.5" customHeight="1" hidden="1" spans="1:47" x14ac:dyDescent="0.25" outlineLevel="1" collapsed="1">
      <c r="A236" s="24"/>
      <c r="B236" s="35"/>
      <c r="C236" s="153" t="s">
        <v>372</v>
      </c>
      <c r="D236" s="154" t="s">
        <v>100</v>
      </c>
      <c r="E236" s="108"/>
      <c r="F236" s="155" t="s">
        <v>236</v>
      </c>
      <c r="G236" s="108"/>
      <c r="H236" s="156" t="s">
        <v>354</v>
      </c>
      <c r="I236" s="59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1"/>
      <c r="AU236" s="62">
        <f>SUM(I236:AT236)</f>
      </c>
    </row>
    <row r="237" ht="25.5" customHeight="1" hidden="1" spans="1:47" x14ac:dyDescent="0.25" outlineLevel="1" collapsed="1">
      <c r="A237" s="24"/>
      <c r="B237" s="35"/>
      <c r="C237" s="157" t="s">
        <v>373</v>
      </c>
      <c r="D237" s="94"/>
      <c r="E237" s="95"/>
      <c r="F237" s="94"/>
      <c r="G237" s="95"/>
      <c r="H237" s="151" t="s">
        <v>356</v>
      </c>
      <c r="I237" s="63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5"/>
      <c r="AU237" s="66">
        <f>SUM(I237:AT237)</f>
      </c>
    </row>
    <row r="238" ht="25.5" customHeight="1" hidden="1" spans="1:47" x14ac:dyDescent="0.25" outlineLevel="1" collapsed="1">
      <c r="A238" s="24"/>
      <c r="B238" s="35"/>
      <c r="C238" s="157" t="s">
        <v>374</v>
      </c>
      <c r="D238" s="94"/>
      <c r="E238" s="95"/>
      <c r="F238" s="94"/>
      <c r="G238" s="95"/>
      <c r="H238" s="151" t="s">
        <v>358</v>
      </c>
      <c r="I238" s="63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5"/>
      <c r="AU238" s="66">
        <f>SUM(I238:AT238)</f>
      </c>
    </row>
    <row r="239" ht="26.25" customHeight="1" hidden="1" spans="1:47" x14ac:dyDescent="0.25" outlineLevel="1" collapsed="1">
      <c r="A239" s="24"/>
      <c r="B239" s="35"/>
      <c r="C239" s="157" t="s">
        <v>375</v>
      </c>
      <c r="D239" s="94"/>
      <c r="E239" s="95"/>
      <c r="F239" s="102"/>
      <c r="G239" s="103"/>
      <c r="H239" s="158" t="s">
        <v>360</v>
      </c>
      <c r="I239" s="67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9"/>
      <c r="AU239" s="70">
        <f>SUM(I239:AT239)</f>
      </c>
    </row>
    <row r="240" ht="16.5" customHeight="1" hidden="1" spans="1:47" x14ac:dyDescent="0.25" outlineLevel="1" collapsed="1">
      <c r="A240" s="24"/>
      <c r="B240" s="35"/>
      <c r="C240" s="157" t="s">
        <v>376</v>
      </c>
      <c r="D240" s="94"/>
      <c r="E240" s="95"/>
      <c r="F240" s="155" t="s">
        <v>362</v>
      </c>
      <c r="G240" s="108"/>
      <c r="H240" s="163" t="s">
        <v>117</v>
      </c>
      <c r="I240" s="59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1"/>
      <c r="AU240" s="62">
        <f>SUM(I240:AT240)</f>
      </c>
    </row>
    <row r="241" ht="16.5" customHeight="1" hidden="1" spans="1:47" x14ac:dyDescent="0.25" outlineLevel="1" collapsed="1">
      <c r="A241" s="24"/>
      <c r="B241" s="35"/>
      <c r="C241" s="157" t="s">
        <v>377</v>
      </c>
      <c r="D241" s="94"/>
      <c r="E241" s="95"/>
      <c r="F241" s="94"/>
      <c r="G241" s="95"/>
      <c r="H241" s="167" t="s">
        <v>119</v>
      </c>
      <c r="I241" s="63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5"/>
      <c r="AU241" s="66">
        <f>SUM(I241:AT241)</f>
      </c>
    </row>
    <row r="242" ht="16.5" customHeight="1" hidden="1" spans="1:47" x14ac:dyDescent="0.25" outlineLevel="1" collapsed="1">
      <c r="A242" s="24"/>
      <c r="B242" s="35"/>
      <c r="C242" s="168" t="s">
        <v>378</v>
      </c>
      <c r="D242" s="102"/>
      <c r="E242" s="103"/>
      <c r="F242" s="102"/>
      <c r="G242" s="103"/>
      <c r="H242" s="169" t="s">
        <v>161</v>
      </c>
      <c r="I242" s="67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9"/>
      <c r="AU242" s="70">
        <f>SUM(I242:AT242)</f>
      </c>
    </row>
    <row r="243" ht="25.5" customHeight="1" hidden="1" spans="1:47" x14ac:dyDescent="0.25" outlineLevel="1" collapsed="1">
      <c r="A243" s="24"/>
      <c r="B243" s="35"/>
      <c r="C243" s="153" t="s">
        <v>379</v>
      </c>
      <c r="D243" s="154" t="s">
        <v>106</v>
      </c>
      <c r="E243" s="108"/>
      <c r="F243" s="170" t="s">
        <v>236</v>
      </c>
      <c r="G243" s="108"/>
      <c r="H243" s="156" t="s">
        <v>354</v>
      </c>
      <c r="I243" s="59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1"/>
      <c r="AU243" s="62">
        <f>SUM(I243:AT243)</f>
      </c>
    </row>
    <row r="244" ht="25.5" customHeight="1" hidden="1" spans="1:47" x14ac:dyDescent="0.25" outlineLevel="1" collapsed="1">
      <c r="A244" s="24"/>
      <c r="B244" s="35"/>
      <c r="C244" s="157" t="s">
        <v>380</v>
      </c>
      <c r="D244" s="94"/>
      <c r="E244" s="95"/>
      <c r="F244" s="171"/>
      <c r="G244" s="95"/>
      <c r="H244" s="151" t="s">
        <v>356</v>
      </c>
      <c r="I244" s="63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5"/>
      <c r="AU244" s="66">
        <f>SUM(I244:AT244)</f>
      </c>
    </row>
    <row r="245" ht="25.5" customHeight="1" hidden="1" spans="1:47" x14ac:dyDescent="0.25" outlineLevel="1" collapsed="1">
      <c r="A245" s="24"/>
      <c r="B245" s="35"/>
      <c r="C245" s="157" t="s">
        <v>381</v>
      </c>
      <c r="D245" s="94"/>
      <c r="E245" s="95"/>
      <c r="F245" s="171"/>
      <c r="G245" s="95"/>
      <c r="H245" s="151" t="s">
        <v>358</v>
      </c>
      <c r="I245" s="63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5"/>
      <c r="AU245" s="66">
        <f>SUM(I245:AT245)</f>
      </c>
    </row>
    <row r="246" ht="26.25" customHeight="1" hidden="1" spans="1:47" x14ac:dyDescent="0.25" outlineLevel="1" collapsed="1">
      <c r="A246" s="24"/>
      <c r="B246" s="35"/>
      <c r="C246" s="157" t="s">
        <v>382</v>
      </c>
      <c r="D246" s="94"/>
      <c r="E246" s="95"/>
      <c r="F246" s="172"/>
      <c r="G246" s="103"/>
      <c r="H246" s="158" t="s">
        <v>360</v>
      </c>
      <c r="I246" s="67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9"/>
      <c r="AU246" s="70">
        <f>SUM(I246:AT246)</f>
      </c>
    </row>
    <row r="247" ht="16.5" customHeight="1" hidden="1" spans="1:47" x14ac:dyDescent="0.25" outlineLevel="1" collapsed="1">
      <c r="A247" s="24"/>
      <c r="B247" s="35"/>
      <c r="C247" s="157" t="s">
        <v>383</v>
      </c>
      <c r="D247" s="94"/>
      <c r="E247" s="95"/>
      <c r="F247" s="155" t="s">
        <v>362</v>
      </c>
      <c r="G247" s="108"/>
      <c r="H247" s="163" t="s">
        <v>117</v>
      </c>
      <c r="I247" s="59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1"/>
      <c r="AU247" s="62">
        <f>SUM(I247:AT247)</f>
      </c>
    </row>
    <row r="248" ht="16.5" customHeight="1" hidden="1" spans="1:47" x14ac:dyDescent="0.25" outlineLevel="1" collapsed="1">
      <c r="A248" s="24"/>
      <c r="B248" s="35"/>
      <c r="C248" s="157" t="s">
        <v>384</v>
      </c>
      <c r="D248" s="94"/>
      <c r="E248" s="95"/>
      <c r="F248" s="94"/>
      <c r="G248" s="95"/>
      <c r="H248" s="167" t="s">
        <v>119</v>
      </c>
      <c r="I248" s="63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5"/>
      <c r="AU248" s="66">
        <f>SUM(I248:AT248)</f>
      </c>
    </row>
    <row r="249" ht="16.5" customHeight="1" hidden="1" spans="1:47" x14ac:dyDescent="0.25" outlineLevel="1" collapsed="1">
      <c r="A249" s="24"/>
      <c r="B249" s="116"/>
      <c r="C249" s="168" t="s">
        <v>385</v>
      </c>
      <c r="D249" s="102"/>
      <c r="E249" s="103"/>
      <c r="F249" s="102"/>
      <c r="G249" s="103"/>
      <c r="H249" s="169" t="s">
        <v>161</v>
      </c>
      <c r="I249" s="76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8"/>
      <c r="AU249" s="70">
        <f>SUM(I249:AT249)</f>
      </c>
    </row>
    <row r="250" ht="16.5" customHeight="1" spans="1:47" x14ac:dyDescent="0.25">
      <c r="A250" s="24"/>
      <c r="B250" s="80" t="s">
        <v>386</v>
      </c>
      <c r="C250" s="81"/>
      <c r="D250" s="81"/>
      <c r="E250" s="81"/>
      <c r="F250" s="81"/>
      <c r="G250" s="81"/>
      <c r="H250" s="82"/>
      <c r="I250" s="83">
        <f>SUM(I222:I228)</f>
      </c>
      <c r="J250" s="84">
        <f>SUM(J222:J228)</f>
      </c>
      <c r="K250" s="84">
        <f>SUM(K222:K228)</f>
      </c>
      <c r="L250" s="84">
        <f>SUM(L222:L228)</f>
      </c>
      <c r="M250" s="84">
        <f>SUM(M222:M228)</f>
      </c>
      <c r="N250" s="84">
        <f>SUM(N222:N228)</f>
      </c>
      <c r="O250" s="84">
        <f>SUM(O222:O228)</f>
      </c>
      <c r="P250" s="84">
        <f>SUM(P222:P228)</f>
      </c>
      <c r="Q250" s="84">
        <f>SUM(Q222:Q228)</f>
      </c>
      <c r="R250" s="84">
        <f>SUM(R222:R228)</f>
      </c>
      <c r="S250" s="84">
        <f>SUM(S222:S228)</f>
        <v>3</v>
      </c>
      <c r="T250" s="84">
        <f>SUM(T222:T228)</f>
      </c>
      <c r="U250" s="84">
        <f>SUM(U222:U228)</f>
      </c>
      <c r="V250" s="84">
        <f>SUM(V222:V228)</f>
      </c>
      <c r="W250" s="84">
        <f>SUM(W222:W228)</f>
        <v>1</v>
      </c>
      <c r="X250" s="84">
        <f>SUM(X222:X228)</f>
      </c>
      <c r="Y250" s="84">
        <f>SUM(Y222:Y228)</f>
      </c>
      <c r="Z250" s="84">
        <f>SUM(Z222:Z228)</f>
      </c>
      <c r="AA250" s="84">
        <f>SUM(AA222:AA228)</f>
      </c>
      <c r="AB250" s="84">
        <f>SUM(AB222:AB228)</f>
      </c>
      <c r="AC250" s="84">
        <f>SUM(AC222:AC228)</f>
      </c>
      <c r="AD250" s="84">
        <f>SUM(AD222:AD228)</f>
      </c>
      <c r="AE250" s="84">
        <f>SUM(AE222:AE228)</f>
      </c>
      <c r="AF250" s="84">
        <f>SUM(AF222:AF228)</f>
      </c>
      <c r="AG250" s="84">
        <f>SUM(AG222:AG228)</f>
      </c>
      <c r="AH250" s="84">
        <f>SUM(AH222:AH228)</f>
      </c>
      <c r="AI250" s="84">
        <f>SUM(AI222:AI228)</f>
      </c>
      <c r="AJ250" s="84">
        <f>SUM(AJ222:AJ228)</f>
        <v>2</v>
      </c>
      <c r="AK250" s="84">
        <f>SUM(AK222:AK228)</f>
      </c>
      <c r="AL250" s="84">
        <f>SUM(AL222:AL228)</f>
      </c>
      <c r="AM250" s="84">
        <f>SUM(AM222:AM228)</f>
      </c>
      <c r="AN250" s="84">
        <f>SUM(AN222:AN228)</f>
      </c>
      <c r="AO250" s="84">
        <f>SUM(AO222:AO228)</f>
      </c>
      <c r="AP250" s="84">
        <f>SUM(AP222:AP228)</f>
      </c>
      <c r="AQ250" s="84">
        <f>SUM(AQ222:AQ228)</f>
      </c>
      <c r="AR250" s="84">
        <f>SUM(AR222:AR228)</f>
      </c>
      <c r="AS250" s="84">
        <f>SUM(AS222:AS228)</f>
        <v>2</v>
      </c>
      <c r="AT250" s="84">
        <f>SUM(AT222:AT228)</f>
      </c>
      <c r="AU250" s="85">
        <f>SUM(I250:AT250)</f>
        <v>8</v>
      </c>
    </row>
    <row r="251" ht="15.75" customHeight="1" spans="1:47" x14ac:dyDescent="0.25">
      <c r="A251" s="24"/>
      <c r="B251" s="128" t="s">
        <v>387</v>
      </c>
      <c r="C251" s="106" t="s">
        <v>388</v>
      </c>
      <c r="D251" s="107" t="s">
        <v>83</v>
      </c>
      <c r="E251" s="108"/>
      <c r="F251" s="122" t="s">
        <v>389</v>
      </c>
      <c r="G251" s="110"/>
      <c r="H251" s="111"/>
      <c r="I251" s="31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3"/>
      <c r="AU251" s="123">
        <f>SUM(I251:AT251)</f>
      </c>
    </row>
    <row r="252" ht="16.5" customHeight="1" spans="1:47" x14ac:dyDescent="0.25">
      <c r="A252" s="24"/>
      <c r="B252" s="35"/>
      <c r="C252" s="101" t="s">
        <v>390</v>
      </c>
      <c r="D252" s="102"/>
      <c r="E252" s="103"/>
      <c r="F252" s="132" t="s">
        <v>391</v>
      </c>
      <c r="G252" s="104"/>
      <c r="H252" s="133"/>
      <c r="I252" s="50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2"/>
      <c r="AU252" s="53">
        <f>SUM(I252:AT252)</f>
      </c>
    </row>
    <row r="253" ht="15.75" customHeight="1" hidden="1" spans="1:47" x14ac:dyDescent="0.25" outlineLevel="1" collapsed="1">
      <c r="A253" s="24"/>
      <c r="B253" s="35"/>
      <c r="C253" s="106" t="s">
        <v>392</v>
      </c>
      <c r="D253" s="107" t="s">
        <v>94</v>
      </c>
      <c r="E253" s="108"/>
      <c r="F253" s="122" t="s">
        <v>389</v>
      </c>
      <c r="G253" s="110"/>
      <c r="H253" s="111"/>
      <c r="I253" s="59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1"/>
      <c r="AU253" s="62">
        <f>SUM(I253:AT253)</f>
      </c>
    </row>
    <row r="254" ht="16.5" customHeight="1" hidden="1" spans="1:47" x14ac:dyDescent="0.25" outlineLevel="1" collapsed="1">
      <c r="A254" s="24"/>
      <c r="B254" s="35"/>
      <c r="C254" s="101" t="s">
        <v>393</v>
      </c>
      <c r="D254" s="102"/>
      <c r="E254" s="103"/>
      <c r="F254" s="132" t="s">
        <v>391</v>
      </c>
      <c r="G254" s="104"/>
      <c r="H254" s="133"/>
      <c r="I254" s="67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9"/>
      <c r="AU254" s="70">
        <f>SUM(I254:AT254)</f>
      </c>
    </row>
    <row r="255" ht="15.75" customHeight="1" hidden="1" spans="1:47" x14ac:dyDescent="0.25" outlineLevel="1" collapsed="1">
      <c r="A255" s="24"/>
      <c r="B255" s="35"/>
      <c r="C255" s="106" t="s">
        <v>394</v>
      </c>
      <c r="D255" s="107" t="s">
        <v>100</v>
      </c>
      <c r="E255" s="108"/>
      <c r="F255" s="122" t="s">
        <v>389</v>
      </c>
      <c r="G255" s="110"/>
      <c r="H255" s="111"/>
      <c r="I255" s="59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1"/>
      <c r="AU255" s="62">
        <f>SUM(I255:AT255)</f>
      </c>
    </row>
    <row r="256" ht="16.5" customHeight="1" hidden="1" spans="1:47" x14ac:dyDescent="0.25" outlineLevel="1" collapsed="1">
      <c r="A256" s="24"/>
      <c r="B256" s="35"/>
      <c r="C256" s="101" t="s">
        <v>395</v>
      </c>
      <c r="D256" s="102"/>
      <c r="E256" s="103"/>
      <c r="F256" s="132" t="s">
        <v>391</v>
      </c>
      <c r="G256" s="104"/>
      <c r="H256" s="133"/>
      <c r="I256" s="67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9"/>
      <c r="AU256" s="70">
        <f>SUM(I256:AT256)</f>
      </c>
    </row>
    <row r="257" ht="15.75" customHeight="1" hidden="1" spans="1:47" x14ac:dyDescent="0.25" outlineLevel="1" collapsed="1">
      <c r="A257" s="24"/>
      <c r="B257" s="35"/>
      <c r="C257" s="106" t="s">
        <v>396</v>
      </c>
      <c r="D257" s="107" t="s">
        <v>106</v>
      </c>
      <c r="E257" s="108"/>
      <c r="F257" s="122" t="s">
        <v>389</v>
      </c>
      <c r="G257" s="110"/>
      <c r="H257" s="111"/>
      <c r="I257" s="59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1"/>
      <c r="AU257" s="62">
        <f>SUM(I257:AT257)</f>
      </c>
    </row>
    <row r="258" ht="16.5" customHeight="1" hidden="1" spans="1:47" x14ac:dyDescent="0.25" outlineLevel="1" collapsed="1">
      <c r="A258" s="24"/>
      <c r="B258" s="116"/>
      <c r="C258" s="101" t="s">
        <v>397</v>
      </c>
      <c r="D258" s="102"/>
      <c r="E258" s="103"/>
      <c r="F258" s="132" t="s">
        <v>391</v>
      </c>
      <c r="G258" s="104"/>
      <c r="H258" s="133"/>
      <c r="I258" s="76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8"/>
      <c r="AU258" s="70">
        <f>SUM(I258:AT258)</f>
      </c>
    </row>
    <row r="259" ht="16.5" customHeight="1" spans="1:47" x14ac:dyDescent="0.25">
      <c r="A259" s="24"/>
      <c r="B259" s="80" t="s">
        <v>398</v>
      </c>
      <c r="C259" s="81"/>
      <c r="D259" s="81"/>
      <c r="E259" s="81"/>
      <c r="F259" s="81"/>
      <c r="G259" s="81"/>
      <c r="H259" s="82"/>
      <c r="I259" s="83">
        <f>SUM(I251:I252)</f>
      </c>
      <c r="J259" s="84">
        <f>SUM(J251:J252)</f>
      </c>
      <c r="K259" s="84">
        <f>SUM(K251:K252)</f>
      </c>
      <c r="L259" s="84">
        <f>SUM(L251:L252)</f>
      </c>
      <c r="M259" s="84">
        <f>SUM(M251:M252)</f>
      </c>
      <c r="N259" s="84">
        <f>SUM(N251:N252)</f>
      </c>
      <c r="O259" s="84">
        <f>SUM(O251:O252)</f>
      </c>
      <c r="P259" s="84">
        <f>SUM(P251:P252)</f>
      </c>
      <c r="Q259" s="84">
        <f>SUM(Q251:Q252)</f>
      </c>
      <c r="R259" s="84">
        <f>SUM(R251:R252)</f>
      </c>
      <c r="S259" s="84">
        <f>SUM(S251:S252)</f>
      </c>
      <c r="T259" s="84">
        <f>SUM(T251:T252)</f>
      </c>
      <c r="U259" s="84">
        <f>SUM(U251:U252)</f>
      </c>
      <c r="V259" s="84">
        <f>SUM(V251:V252)</f>
      </c>
      <c r="W259" s="84">
        <f>SUM(W251:W252)</f>
      </c>
      <c r="X259" s="84">
        <f>SUM(X251:X252)</f>
      </c>
      <c r="Y259" s="84">
        <f>SUM(Y251:Y252)</f>
      </c>
      <c r="Z259" s="84">
        <f>SUM(Z251:Z252)</f>
      </c>
      <c r="AA259" s="84">
        <f>SUM(AA251:AA252)</f>
      </c>
      <c r="AB259" s="84">
        <f>SUM(AB251:AB252)</f>
      </c>
      <c r="AC259" s="84">
        <f>SUM(AC251:AC252)</f>
      </c>
      <c r="AD259" s="84">
        <f>SUM(AD251:AD252)</f>
      </c>
      <c r="AE259" s="84">
        <f>SUM(AE251:AE252)</f>
      </c>
      <c r="AF259" s="84">
        <f>SUM(AF251:AF252)</f>
      </c>
      <c r="AG259" s="84">
        <f>SUM(AG251:AG252)</f>
      </c>
      <c r="AH259" s="84">
        <f>SUM(AH251:AH252)</f>
      </c>
      <c r="AI259" s="84">
        <f>SUM(AI251:AI252)</f>
      </c>
      <c r="AJ259" s="84">
        <f>SUM(AJ251:AJ252)</f>
      </c>
      <c r="AK259" s="84">
        <f>SUM(AK251:AK252)</f>
      </c>
      <c r="AL259" s="84">
        <f>SUM(AL251:AL252)</f>
      </c>
      <c r="AM259" s="84">
        <f>SUM(AM251:AM252)</f>
      </c>
      <c r="AN259" s="84">
        <f>SUM(AN251:AN252)</f>
      </c>
      <c r="AO259" s="84">
        <f>SUM(AO251:AO252)</f>
      </c>
      <c r="AP259" s="84">
        <f>SUM(AP251:AP252)</f>
      </c>
      <c r="AQ259" s="84">
        <f>SUM(AQ251:AQ252)</f>
      </c>
      <c r="AR259" s="84">
        <f>SUM(AR251:AR252)</f>
      </c>
      <c r="AS259" s="84">
        <f>SUM(AS251:AS252)</f>
      </c>
      <c r="AT259" s="84">
        <f>SUM(AT251:AT252)</f>
      </c>
      <c r="AU259" s="85">
        <f>SUM(I259:AT259)</f>
      </c>
    </row>
    <row r="260" ht="15.75" customHeight="1" spans="1:47" x14ac:dyDescent="0.25">
      <c r="A260" s="24"/>
      <c r="B260" s="128" t="s">
        <v>399</v>
      </c>
      <c r="C260" s="129" t="s">
        <v>400</v>
      </c>
      <c r="D260" s="130" t="s">
        <v>83</v>
      </c>
      <c r="E260" s="108"/>
      <c r="F260" s="173" t="s">
        <v>401</v>
      </c>
      <c r="G260" s="110"/>
      <c r="H260" s="111"/>
      <c r="I260" s="31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3"/>
      <c r="AU260" s="123">
        <f>SUM(I260:AT260)</f>
        <v>214</v>
      </c>
    </row>
    <row r="261" ht="15.75" customHeight="1" spans="1:47" x14ac:dyDescent="0.25">
      <c r="A261" s="24"/>
      <c r="B261" s="35"/>
      <c r="C261" s="174" t="s">
        <v>402</v>
      </c>
      <c r="D261" s="94"/>
      <c r="E261" s="95"/>
      <c r="F261" s="175" t="s">
        <v>391</v>
      </c>
      <c r="G261" s="176"/>
      <c r="H261" s="176"/>
      <c r="I261" s="41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3"/>
      <c r="AU261" s="44">
        <f>SUM(I261:AT261)</f>
        <v>16</v>
      </c>
    </row>
    <row r="262" ht="16.5" customHeight="1" spans="1:47" x14ac:dyDescent="0.25">
      <c r="A262" s="24"/>
      <c r="B262" s="35"/>
      <c r="C262" s="131" t="s">
        <v>403</v>
      </c>
      <c r="D262" s="102"/>
      <c r="E262" s="103"/>
      <c r="F262" s="177" t="s">
        <v>121</v>
      </c>
      <c r="G262" s="104"/>
      <c r="H262" s="133"/>
      <c r="I262" s="50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2"/>
      <c r="AU262" s="53">
        <f>SUM(I262:AT262)</f>
        <v>1</v>
      </c>
    </row>
    <row r="263" ht="15.75" customHeight="1" hidden="1" spans="1:47" x14ac:dyDescent="0.25" outlineLevel="1" collapsed="1">
      <c r="A263" s="24"/>
      <c r="B263" s="35"/>
      <c r="C263" s="129" t="s">
        <v>404</v>
      </c>
      <c r="D263" s="130" t="s">
        <v>94</v>
      </c>
      <c r="E263" s="108"/>
      <c r="F263" s="173" t="s">
        <v>401</v>
      </c>
      <c r="G263" s="110"/>
      <c r="H263" s="111"/>
      <c r="I263" s="59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1"/>
      <c r="AU263" s="62">
        <f>SUM(I263:AT263)</f>
      </c>
    </row>
    <row r="264" ht="15.75" customHeight="1" hidden="1" spans="1:47" x14ac:dyDescent="0.25" outlineLevel="1" collapsed="1">
      <c r="A264" s="24"/>
      <c r="B264" s="35"/>
      <c r="C264" s="174" t="s">
        <v>405</v>
      </c>
      <c r="D264" s="94"/>
      <c r="E264" s="95"/>
      <c r="F264" s="175" t="s">
        <v>391</v>
      </c>
      <c r="G264" s="152"/>
      <c r="H264" s="152"/>
      <c r="I264" s="63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5"/>
      <c r="AU264" s="66">
        <f>SUM(I264:AT264)</f>
      </c>
    </row>
    <row r="265" ht="16.5" customHeight="1" hidden="1" spans="1:47" x14ac:dyDescent="0.25" outlineLevel="1" collapsed="1">
      <c r="A265" s="24"/>
      <c r="B265" s="35"/>
      <c r="C265" s="131" t="s">
        <v>406</v>
      </c>
      <c r="D265" s="102"/>
      <c r="E265" s="103"/>
      <c r="F265" s="177" t="s">
        <v>121</v>
      </c>
      <c r="G265" s="104"/>
      <c r="H265" s="133"/>
      <c r="I265" s="67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9"/>
      <c r="AU265" s="70">
        <f>SUM(I265:AT265)</f>
      </c>
    </row>
    <row r="266" ht="15.75" customHeight="1" hidden="1" spans="1:47" x14ac:dyDescent="0.25" outlineLevel="1" collapsed="1">
      <c r="A266" s="24"/>
      <c r="B266" s="35"/>
      <c r="C266" s="129" t="s">
        <v>407</v>
      </c>
      <c r="D266" s="130" t="s">
        <v>100</v>
      </c>
      <c r="E266" s="108"/>
      <c r="F266" s="173" t="s">
        <v>401</v>
      </c>
      <c r="G266" s="110"/>
      <c r="H266" s="111"/>
      <c r="I266" s="59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1"/>
      <c r="AU266" s="62">
        <f>SUM(I266:AT266)</f>
      </c>
    </row>
    <row r="267" ht="15.75" customHeight="1" hidden="1" spans="1:47" x14ac:dyDescent="0.25" outlineLevel="1" collapsed="1">
      <c r="A267" s="24"/>
      <c r="B267" s="35"/>
      <c r="C267" s="174" t="s">
        <v>408</v>
      </c>
      <c r="D267" s="94"/>
      <c r="E267" s="95"/>
      <c r="F267" s="175" t="s">
        <v>391</v>
      </c>
      <c r="G267" s="152"/>
      <c r="H267" s="152"/>
      <c r="I267" s="63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5"/>
      <c r="AU267" s="66">
        <f>SUM(I267:AT267)</f>
      </c>
    </row>
    <row r="268" ht="16.5" customHeight="1" hidden="1" spans="1:47" x14ac:dyDescent="0.25" outlineLevel="1" collapsed="1">
      <c r="A268" s="24"/>
      <c r="B268" s="35"/>
      <c r="C268" s="131" t="s">
        <v>409</v>
      </c>
      <c r="D268" s="102"/>
      <c r="E268" s="103"/>
      <c r="F268" s="177" t="s">
        <v>121</v>
      </c>
      <c r="G268" s="104"/>
      <c r="H268" s="133"/>
      <c r="I268" s="67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9"/>
      <c r="AU268" s="70">
        <f>SUM(I268:AT268)</f>
      </c>
    </row>
    <row r="269" ht="15.75" customHeight="1" hidden="1" spans="1:47" x14ac:dyDescent="0.25" outlineLevel="1" collapsed="1">
      <c r="A269" s="24"/>
      <c r="B269" s="35"/>
      <c r="C269" s="129" t="s">
        <v>410</v>
      </c>
      <c r="D269" s="130" t="s">
        <v>106</v>
      </c>
      <c r="E269" s="108"/>
      <c r="F269" s="173" t="s">
        <v>401</v>
      </c>
      <c r="G269" s="110"/>
      <c r="H269" s="111"/>
      <c r="I269" s="134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135"/>
      <c r="AS269" s="135"/>
      <c r="AT269" s="136"/>
      <c r="AU269" s="137">
        <f>SUM(I269:AT269)</f>
      </c>
    </row>
    <row r="270" ht="15.75" customHeight="1" hidden="1" spans="1:47" x14ac:dyDescent="0.25" outlineLevel="1" collapsed="1">
      <c r="A270" s="24"/>
      <c r="B270" s="35"/>
      <c r="C270" s="174" t="s">
        <v>411</v>
      </c>
      <c r="D270" s="94"/>
      <c r="E270" s="95"/>
      <c r="F270" s="175" t="s">
        <v>391</v>
      </c>
      <c r="G270" s="152"/>
      <c r="H270" s="152"/>
      <c r="I270" s="112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4"/>
      <c r="AU270" s="115">
        <f>SUM(I270:AT270)</f>
      </c>
    </row>
    <row r="271" ht="16.5" customHeight="1" hidden="1" spans="1:47" x14ac:dyDescent="0.25" outlineLevel="1" collapsed="1">
      <c r="A271" s="24"/>
      <c r="B271" s="116"/>
      <c r="C271" s="131" t="s">
        <v>412</v>
      </c>
      <c r="D271" s="102"/>
      <c r="E271" s="103"/>
      <c r="F271" s="177" t="s">
        <v>121</v>
      </c>
      <c r="G271" s="104"/>
      <c r="H271" s="133"/>
      <c r="I271" s="117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8"/>
      <c r="AJ271" s="118"/>
      <c r="AK271" s="118"/>
      <c r="AL271" s="118"/>
      <c r="AM271" s="118"/>
      <c r="AN271" s="118"/>
      <c r="AO271" s="118"/>
      <c r="AP271" s="118"/>
      <c r="AQ271" s="118"/>
      <c r="AR271" s="118"/>
      <c r="AS271" s="118"/>
      <c r="AT271" s="119"/>
      <c r="AU271" s="120">
        <f>SUM(I271:AT271)</f>
      </c>
    </row>
    <row r="272" ht="16.5" customHeight="1" spans="1:47" x14ac:dyDescent="0.25">
      <c r="A272" s="24"/>
      <c r="B272" s="80" t="s">
        <v>413</v>
      </c>
      <c r="C272" s="81"/>
      <c r="D272" s="81"/>
      <c r="E272" s="81"/>
      <c r="F272" s="81"/>
      <c r="G272" s="81"/>
      <c r="H272" s="82"/>
      <c r="I272" s="83">
        <f>SUM(I260:I262)</f>
      </c>
      <c r="J272" s="84">
        <f>SUM(J260:J262)</f>
        <v>1</v>
      </c>
      <c r="K272" s="84">
        <f>SUM(K260:K262)</f>
        <v>4</v>
      </c>
      <c r="L272" s="84">
        <f>SUM(L260:L262)</f>
        <v>1</v>
      </c>
      <c r="M272" s="84">
        <f>SUM(M260:M262)</f>
        <v>10</v>
      </c>
      <c r="N272" s="84">
        <f>SUM(N260:N262)</f>
        <v>2</v>
      </c>
      <c r="O272" s="84">
        <f>SUM(O260:O262)</f>
        <v>9</v>
      </c>
      <c r="P272" s="84">
        <f>SUM(P260:P262)</f>
        <v>20</v>
      </c>
      <c r="Q272" s="84">
        <f>SUM(Q260:Q262)</f>
        <v>6</v>
      </c>
      <c r="R272" s="84">
        <f>SUM(R260:R262)</f>
      </c>
      <c r="S272" s="84">
        <f>SUM(S260:S262)</f>
        <v>5</v>
      </c>
      <c r="T272" s="84">
        <f>SUM(T260:T262)</f>
        <v>4</v>
      </c>
      <c r="U272" s="84">
        <f>SUM(U260:U262)</f>
      </c>
      <c r="V272" s="84">
        <f>SUM(V260:V262)</f>
        <v>3</v>
      </c>
      <c r="W272" s="84">
        <f>SUM(W260:W262)</f>
        <v>9</v>
      </c>
      <c r="X272" s="84">
        <f>SUM(X260:X262)</f>
        <v>1</v>
      </c>
      <c r="Y272" s="84">
        <f>SUM(Y260:Y262)</f>
        <v>5</v>
      </c>
      <c r="Z272" s="84">
        <f>SUM(Z260:Z262)</f>
        <v>27</v>
      </c>
      <c r="AA272" s="84">
        <f>SUM(AA260:AA262)</f>
        <v>54</v>
      </c>
      <c r="AB272" s="84">
        <f>SUM(AB260:AB262)</f>
      </c>
      <c r="AC272" s="84">
        <f>SUM(AC260:AC262)</f>
      </c>
      <c r="AD272" s="84">
        <f>SUM(AD260:AD262)</f>
      </c>
      <c r="AE272" s="84">
        <f>SUM(AE260:AE262)</f>
      </c>
      <c r="AF272" s="84">
        <f>SUM(AF260:AF262)</f>
        <v>1</v>
      </c>
      <c r="AG272" s="84">
        <f>SUM(AG260:AG262)</f>
        <v>8</v>
      </c>
      <c r="AH272" s="84">
        <f>SUM(AH260:AH262)</f>
        <v>18</v>
      </c>
      <c r="AI272" s="84">
        <f>SUM(AI260:AI262)</f>
      </c>
      <c r="AJ272" s="84">
        <f>SUM(AJ260:AJ262)</f>
        <v>1</v>
      </c>
      <c r="AK272" s="84">
        <f>SUM(AK260:AK262)</f>
        <v>1</v>
      </c>
      <c r="AL272" s="84">
        <f>SUM(AL260:AL262)</f>
      </c>
      <c r="AM272" s="84">
        <f>SUM(AM260:AM262)</f>
      </c>
      <c r="AN272" s="84">
        <f>SUM(AN260:AN262)</f>
      </c>
      <c r="AO272" s="84">
        <f>SUM(AO260:AO262)</f>
      </c>
      <c r="AP272" s="84">
        <f>SUM(AP260:AP262)</f>
        <v>9</v>
      </c>
      <c r="AQ272" s="84">
        <f>SUM(AQ260:AQ262)</f>
        <v>11</v>
      </c>
      <c r="AR272" s="84">
        <f>SUM(AR260:AR262)</f>
        <v>13</v>
      </c>
      <c r="AS272" s="84">
        <f>SUM(AS260:AS262)</f>
        <v>6</v>
      </c>
      <c r="AT272" s="84">
        <f>SUM(AT260:AT262)</f>
        <v>2</v>
      </c>
      <c r="AU272" s="85">
        <f>SUM(I272:AT272)</f>
        <v>231</v>
      </c>
    </row>
    <row r="273" ht="15.75" customHeight="1" spans="1:47" x14ac:dyDescent="0.25">
      <c r="A273" s="24"/>
      <c r="B273" s="178" t="s">
        <v>414</v>
      </c>
      <c r="C273" s="106" t="s">
        <v>415</v>
      </c>
      <c r="D273" s="179" t="s">
        <v>416</v>
      </c>
      <c r="E273" s="179" t="s">
        <v>83</v>
      </c>
      <c r="F273" s="107" t="s">
        <v>417</v>
      </c>
      <c r="G273" s="108"/>
      <c r="H273" s="163" t="s">
        <v>317</v>
      </c>
      <c r="I273" s="31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3"/>
      <c r="AU273" s="123">
        <f>SUM(I273:AT273)</f>
      </c>
    </row>
    <row r="274" ht="16.5" customHeight="1" spans="1:47" x14ac:dyDescent="0.25">
      <c r="A274" s="24"/>
      <c r="B274" s="35"/>
      <c r="C274" s="101" t="s">
        <v>418</v>
      </c>
      <c r="D274" s="180"/>
      <c r="E274" s="181"/>
      <c r="F274" s="102"/>
      <c r="G274" s="103"/>
      <c r="H274" s="182" t="s">
        <v>419</v>
      </c>
      <c r="I274" s="50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2"/>
      <c r="AU274" s="53">
        <f>SUM(I274:AT274)</f>
        <v>1</v>
      </c>
    </row>
    <row r="275" ht="15.75" customHeight="1" spans="1:47" x14ac:dyDescent="0.25">
      <c r="A275" s="24"/>
      <c r="B275" s="35"/>
      <c r="C275" s="106" t="s">
        <v>420</v>
      </c>
      <c r="D275" s="180"/>
      <c r="E275" s="181"/>
      <c r="F275" s="107" t="s">
        <v>421</v>
      </c>
      <c r="G275" s="108"/>
      <c r="H275" s="163" t="s">
        <v>317</v>
      </c>
      <c r="I275" s="164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5"/>
      <c r="AS275" s="165"/>
      <c r="AT275" s="166"/>
      <c r="AU275" s="123">
        <f>SUM(I275:AT275)</f>
      </c>
    </row>
    <row r="276" ht="16.5" customHeight="1" spans="1:47" x14ac:dyDescent="0.25">
      <c r="A276" s="24"/>
      <c r="B276" s="35"/>
      <c r="C276" s="141" t="s">
        <v>422</v>
      </c>
      <c r="D276" s="180"/>
      <c r="E276" s="181"/>
      <c r="F276" s="102"/>
      <c r="G276" s="103"/>
      <c r="H276" s="182" t="s">
        <v>419</v>
      </c>
      <c r="I276" s="50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2"/>
      <c r="AU276" s="53">
        <f>SUM(I276:AT276)</f>
        <v>1</v>
      </c>
    </row>
    <row r="277" ht="15.75" customHeight="1" spans="1:47" x14ac:dyDescent="0.25">
      <c r="A277" s="24"/>
      <c r="B277" s="35"/>
      <c r="C277" s="106" t="s">
        <v>423</v>
      </c>
      <c r="D277" s="180"/>
      <c r="E277" s="181"/>
      <c r="F277" s="107" t="s">
        <v>424</v>
      </c>
      <c r="G277" s="108"/>
      <c r="H277" s="163" t="s">
        <v>317</v>
      </c>
      <c r="I277" s="164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  <c r="AR277" s="165"/>
      <c r="AS277" s="165"/>
      <c r="AT277" s="166"/>
      <c r="AU277" s="123">
        <f>SUM(I277:AT277)</f>
      </c>
    </row>
    <row r="278" ht="16.5" customHeight="1" spans="1:47" x14ac:dyDescent="0.25">
      <c r="A278" s="24"/>
      <c r="B278" s="35"/>
      <c r="C278" s="141" t="s">
        <v>425</v>
      </c>
      <c r="D278" s="180"/>
      <c r="E278" s="181"/>
      <c r="F278" s="102"/>
      <c r="G278" s="103"/>
      <c r="H278" s="182" t="s">
        <v>419</v>
      </c>
      <c r="I278" s="50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2"/>
      <c r="AU278" s="53">
        <f>SUM(I278:AT278)</f>
      </c>
    </row>
    <row r="279" ht="15.75" customHeight="1" spans="1:47" x14ac:dyDescent="0.25">
      <c r="A279" s="24"/>
      <c r="B279" s="35"/>
      <c r="C279" s="106" t="s">
        <v>426</v>
      </c>
      <c r="D279" s="180"/>
      <c r="E279" s="181"/>
      <c r="F279" s="107" t="s">
        <v>427</v>
      </c>
      <c r="G279" s="108"/>
      <c r="H279" s="163" t="s">
        <v>317</v>
      </c>
      <c r="I279" s="164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  <c r="AR279" s="165"/>
      <c r="AS279" s="165"/>
      <c r="AT279" s="166"/>
      <c r="AU279" s="123">
        <f>SUM(I279:AT279)</f>
      </c>
    </row>
    <row r="280" ht="16.5" customHeight="1" spans="1:47" x14ac:dyDescent="0.25">
      <c r="A280" s="24"/>
      <c r="B280" s="35"/>
      <c r="C280" s="141" t="s">
        <v>428</v>
      </c>
      <c r="D280" s="183"/>
      <c r="E280" s="181"/>
      <c r="F280" s="102"/>
      <c r="G280" s="103"/>
      <c r="H280" s="182" t="s">
        <v>419</v>
      </c>
      <c r="I280" s="50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2"/>
      <c r="AU280" s="53">
        <f>SUM(I280:AT280)</f>
        <v>3</v>
      </c>
    </row>
    <row r="281" ht="15.75" customHeight="1" spans="1:47" x14ac:dyDescent="0.25">
      <c r="A281" s="24"/>
      <c r="B281" s="35"/>
      <c r="C281" s="106" t="s">
        <v>429</v>
      </c>
      <c r="D281" s="179" t="s">
        <v>430</v>
      </c>
      <c r="E281" s="181"/>
      <c r="F281" s="107" t="s">
        <v>417</v>
      </c>
      <c r="G281" s="108"/>
      <c r="H281" s="163" t="s">
        <v>431</v>
      </c>
      <c r="I281" s="164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5"/>
      <c r="AS281" s="165"/>
      <c r="AT281" s="166"/>
      <c r="AU281" s="123">
        <f>SUM(I281:AT281)</f>
        <v>40</v>
      </c>
    </row>
    <row r="282" ht="16.5" customHeight="1" spans="1:47" x14ac:dyDescent="0.25">
      <c r="A282" s="24"/>
      <c r="B282" s="35"/>
      <c r="C282" s="93" t="s">
        <v>432</v>
      </c>
      <c r="D282" s="180"/>
      <c r="E282" s="181"/>
      <c r="F282" s="94"/>
      <c r="G282" s="95"/>
      <c r="H282" s="167" t="s">
        <v>433</v>
      </c>
      <c r="I282" s="41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3"/>
      <c r="AU282" s="44">
        <f>SUM(I282:AT282)</f>
        <v>59</v>
      </c>
    </row>
    <row r="283" ht="16.5" customHeight="1" spans="1:47" x14ac:dyDescent="0.25">
      <c r="A283" s="24"/>
      <c r="B283" s="35"/>
      <c r="C283" s="101" t="s">
        <v>434</v>
      </c>
      <c r="D283" s="180"/>
      <c r="E283" s="181"/>
      <c r="F283" s="102"/>
      <c r="G283" s="103"/>
      <c r="H283" s="182" t="s">
        <v>435</v>
      </c>
      <c r="I283" s="50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2"/>
      <c r="AU283" s="53">
        <f>SUM(I283:AT283)</f>
        <v>9</v>
      </c>
    </row>
    <row r="284" ht="16.5" customHeight="1" spans="1:47" x14ac:dyDescent="0.25">
      <c r="A284" s="24"/>
      <c r="B284" s="35"/>
      <c r="C284" s="106" t="s">
        <v>436</v>
      </c>
      <c r="D284" s="180"/>
      <c r="E284" s="181"/>
      <c r="F284" s="154" t="s">
        <v>437</v>
      </c>
      <c r="G284" s="108"/>
      <c r="H284" s="163" t="s">
        <v>431</v>
      </c>
      <c r="I284" s="164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5"/>
      <c r="AS284" s="165"/>
      <c r="AT284" s="166"/>
      <c r="AU284" s="123">
        <f>SUM(I284:AT284)</f>
        <v>13</v>
      </c>
    </row>
    <row r="285" ht="15.75" customHeight="1" spans="1:47" x14ac:dyDescent="0.25">
      <c r="A285" s="24"/>
      <c r="B285" s="35"/>
      <c r="C285" s="93" t="s">
        <v>438</v>
      </c>
      <c r="D285" s="180"/>
      <c r="E285" s="181"/>
      <c r="F285" s="94"/>
      <c r="G285" s="95"/>
      <c r="H285" s="167" t="s">
        <v>433</v>
      </c>
      <c r="I285" s="41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3"/>
      <c r="AU285" s="44">
        <f>SUM(I285:AT285)</f>
        <v>24</v>
      </c>
    </row>
    <row r="286" ht="16.5" customHeight="1" spans="1:47" x14ac:dyDescent="0.25">
      <c r="A286" s="24"/>
      <c r="B286" s="35"/>
      <c r="C286" s="101" t="s">
        <v>439</v>
      </c>
      <c r="D286" s="180"/>
      <c r="E286" s="181"/>
      <c r="F286" s="102"/>
      <c r="G286" s="103"/>
      <c r="H286" s="182" t="s">
        <v>435</v>
      </c>
      <c r="I286" s="50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2"/>
      <c r="AU286" s="53">
        <f>SUM(I286:AT286)</f>
        <v>2</v>
      </c>
    </row>
    <row r="287" ht="15.75" customHeight="1" spans="1:47" x14ac:dyDescent="0.25">
      <c r="A287" s="24"/>
      <c r="B287" s="35"/>
      <c r="C287" s="106" t="s">
        <v>440</v>
      </c>
      <c r="D287" s="180"/>
      <c r="E287" s="181"/>
      <c r="F287" s="154" t="s">
        <v>441</v>
      </c>
      <c r="G287" s="108"/>
      <c r="H287" s="163" t="s">
        <v>431</v>
      </c>
      <c r="I287" s="164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  <c r="AR287" s="165"/>
      <c r="AS287" s="165"/>
      <c r="AT287" s="166"/>
      <c r="AU287" s="123">
        <f>SUM(I287:AT287)</f>
        <v>49</v>
      </c>
    </row>
    <row r="288" ht="16.5" customHeight="1" spans="1:47" x14ac:dyDescent="0.25">
      <c r="A288" s="24"/>
      <c r="B288" s="35"/>
      <c r="C288" s="93" t="s">
        <v>442</v>
      </c>
      <c r="D288" s="180"/>
      <c r="E288" s="181"/>
      <c r="F288" s="94"/>
      <c r="G288" s="95"/>
      <c r="H288" s="167" t="s">
        <v>433</v>
      </c>
      <c r="I288" s="41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3"/>
      <c r="AU288" s="44">
        <f>SUM(I288:AT288)</f>
        <v>41</v>
      </c>
    </row>
    <row r="289" ht="16.5" customHeight="1" spans="1:47" x14ac:dyDescent="0.25">
      <c r="A289" s="24"/>
      <c r="B289" s="35"/>
      <c r="C289" s="101" t="s">
        <v>443</v>
      </c>
      <c r="D289" s="180"/>
      <c r="E289" s="181"/>
      <c r="F289" s="102"/>
      <c r="G289" s="103"/>
      <c r="H289" s="182" t="s">
        <v>435</v>
      </c>
      <c r="I289" s="50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2"/>
      <c r="AU289" s="53">
        <f>SUM(I289:AT289)</f>
        <v>8</v>
      </c>
    </row>
    <row r="290" ht="15.75" customHeight="1" spans="1:47" x14ac:dyDescent="0.25">
      <c r="A290" s="24"/>
      <c r="B290" s="35"/>
      <c r="C290" s="86" t="s">
        <v>444</v>
      </c>
      <c r="D290" s="180"/>
      <c r="E290" s="181"/>
      <c r="F290" s="154" t="s">
        <v>445</v>
      </c>
      <c r="G290" s="108"/>
      <c r="H290" s="163" t="s">
        <v>431</v>
      </c>
      <c r="I290" s="164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  <c r="AI290" s="165"/>
      <c r="AJ290" s="165"/>
      <c r="AK290" s="165"/>
      <c r="AL290" s="165"/>
      <c r="AM290" s="165"/>
      <c r="AN290" s="165"/>
      <c r="AO290" s="165"/>
      <c r="AP290" s="165"/>
      <c r="AQ290" s="165"/>
      <c r="AR290" s="165"/>
      <c r="AS290" s="165"/>
      <c r="AT290" s="166"/>
      <c r="AU290" s="123">
        <f>SUM(I290:AT290)</f>
        <v>93</v>
      </c>
    </row>
    <row r="291" ht="15.75" customHeight="1" spans="1:47" x14ac:dyDescent="0.25">
      <c r="A291" s="24"/>
      <c r="B291" s="35"/>
      <c r="C291" s="93" t="s">
        <v>446</v>
      </c>
      <c r="D291" s="180"/>
      <c r="E291" s="181"/>
      <c r="F291" s="94"/>
      <c r="G291" s="95"/>
      <c r="H291" s="167" t="s">
        <v>433</v>
      </c>
      <c r="I291" s="41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3"/>
      <c r="AU291" s="44">
        <f>SUM(I291:AT291)</f>
        <v>147</v>
      </c>
    </row>
    <row r="292" ht="16.5" customHeight="1" spans="1:47" x14ac:dyDescent="0.25">
      <c r="A292" s="24"/>
      <c r="B292" s="35"/>
      <c r="C292" s="101" t="s">
        <v>447</v>
      </c>
      <c r="D292" s="183"/>
      <c r="E292" s="184"/>
      <c r="F292" s="102"/>
      <c r="G292" s="103"/>
      <c r="H292" s="182" t="s">
        <v>435</v>
      </c>
      <c r="I292" s="50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2"/>
      <c r="AU292" s="53">
        <f>SUM(I292:AT292)</f>
        <v>34</v>
      </c>
    </row>
    <row r="293" ht="15.75" customHeight="1" hidden="1" spans="1:47" x14ac:dyDescent="0.25" outlineLevel="1" collapsed="1">
      <c r="A293" s="24"/>
      <c r="B293" s="35"/>
      <c r="C293" s="106" t="s">
        <v>448</v>
      </c>
      <c r="D293" s="179" t="s">
        <v>416</v>
      </c>
      <c r="E293" s="179" t="s">
        <v>94</v>
      </c>
      <c r="F293" s="107" t="s">
        <v>417</v>
      </c>
      <c r="G293" s="108"/>
      <c r="H293" s="163" t="s">
        <v>317</v>
      </c>
      <c r="I293" s="59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1"/>
      <c r="AU293" s="62">
        <f>SUM(I293:AT293)</f>
      </c>
    </row>
    <row r="294" ht="16.5" customHeight="1" hidden="1" spans="1:47" x14ac:dyDescent="0.25" outlineLevel="1" collapsed="1">
      <c r="A294" s="24"/>
      <c r="B294" s="35"/>
      <c r="C294" s="101" t="s">
        <v>449</v>
      </c>
      <c r="D294" s="180"/>
      <c r="E294" s="181"/>
      <c r="F294" s="102"/>
      <c r="G294" s="103"/>
      <c r="H294" s="182" t="s">
        <v>419</v>
      </c>
      <c r="I294" s="67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9"/>
      <c r="AU294" s="70">
        <f>SUM(I294:AT294)</f>
      </c>
    </row>
    <row r="295" ht="15.75" customHeight="1" hidden="1" spans="1:47" x14ac:dyDescent="0.25" outlineLevel="1" collapsed="1">
      <c r="A295" s="24"/>
      <c r="B295" s="35"/>
      <c r="C295" s="106" t="s">
        <v>450</v>
      </c>
      <c r="D295" s="180"/>
      <c r="E295" s="181"/>
      <c r="F295" s="107" t="s">
        <v>421</v>
      </c>
      <c r="G295" s="108"/>
      <c r="H295" s="163" t="s">
        <v>317</v>
      </c>
      <c r="I295" s="59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1"/>
      <c r="AU295" s="62">
        <f>SUM(I295:AT295)</f>
      </c>
    </row>
    <row r="296" ht="16.5" customHeight="1" hidden="1" spans="1:47" x14ac:dyDescent="0.25" outlineLevel="1" collapsed="1">
      <c r="A296" s="24"/>
      <c r="B296" s="35"/>
      <c r="C296" s="141" t="s">
        <v>451</v>
      </c>
      <c r="D296" s="180"/>
      <c r="E296" s="181"/>
      <c r="F296" s="102"/>
      <c r="G296" s="103"/>
      <c r="H296" s="182" t="s">
        <v>419</v>
      </c>
      <c r="I296" s="67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9"/>
      <c r="AU296" s="70">
        <f>SUM(I296:AT296)</f>
      </c>
    </row>
    <row r="297" ht="15.75" customHeight="1" hidden="1" spans="1:47" x14ac:dyDescent="0.25" outlineLevel="1" collapsed="1">
      <c r="A297" s="24"/>
      <c r="B297" s="35"/>
      <c r="C297" s="106" t="s">
        <v>452</v>
      </c>
      <c r="D297" s="180"/>
      <c r="E297" s="181"/>
      <c r="F297" s="107" t="s">
        <v>424</v>
      </c>
      <c r="G297" s="108"/>
      <c r="H297" s="163" t="s">
        <v>317</v>
      </c>
      <c r="I297" s="59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1"/>
      <c r="AU297" s="62">
        <f>SUM(I297:AT297)</f>
      </c>
    </row>
    <row r="298" ht="16.5" customHeight="1" hidden="1" spans="1:47" x14ac:dyDescent="0.25" outlineLevel="1" collapsed="1">
      <c r="A298" s="24"/>
      <c r="B298" s="35"/>
      <c r="C298" s="141" t="s">
        <v>453</v>
      </c>
      <c r="D298" s="180"/>
      <c r="E298" s="181"/>
      <c r="F298" s="102"/>
      <c r="G298" s="103"/>
      <c r="H298" s="182" t="s">
        <v>419</v>
      </c>
      <c r="I298" s="185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7"/>
      <c r="AU298" s="188">
        <f>SUM(I298:AT298)</f>
      </c>
    </row>
    <row r="299" ht="15.75" customHeight="1" hidden="1" spans="1:47" x14ac:dyDescent="0.25" outlineLevel="1" collapsed="1">
      <c r="A299" s="24"/>
      <c r="B299" s="35"/>
      <c r="C299" s="106" t="s">
        <v>454</v>
      </c>
      <c r="D299" s="180"/>
      <c r="E299" s="181"/>
      <c r="F299" s="107" t="s">
        <v>427</v>
      </c>
      <c r="G299" s="108"/>
      <c r="H299" s="163" t="s">
        <v>317</v>
      </c>
      <c r="I299" s="189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  <c r="AC299" s="190"/>
      <c r="AD299" s="190"/>
      <c r="AE299" s="190"/>
      <c r="AF299" s="190"/>
      <c r="AG299" s="190"/>
      <c r="AH299" s="190"/>
      <c r="AI299" s="190"/>
      <c r="AJ299" s="190"/>
      <c r="AK299" s="190"/>
      <c r="AL299" s="190"/>
      <c r="AM299" s="190"/>
      <c r="AN299" s="190"/>
      <c r="AO299" s="190"/>
      <c r="AP299" s="190"/>
      <c r="AQ299" s="190"/>
      <c r="AR299" s="190"/>
      <c r="AS299" s="190"/>
      <c r="AT299" s="191"/>
      <c r="AU299" s="192">
        <f>SUM(I299:AT299)</f>
      </c>
    </row>
    <row r="300" ht="16.5" customHeight="1" hidden="1" spans="1:47" x14ac:dyDescent="0.25" outlineLevel="1" collapsed="1">
      <c r="A300" s="24"/>
      <c r="B300" s="35"/>
      <c r="C300" s="141" t="s">
        <v>455</v>
      </c>
      <c r="D300" s="183"/>
      <c r="E300" s="181"/>
      <c r="F300" s="102"/>
      <c r="G300" s="103"/>
      <c r="H300" s="182" t="s">
        <v>419</v>
      </c>
      <c r="I300" s="193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5"/>
      <c r="AU300" s="196">
        <f>SUM(I300:AT300)</f>
      </c>
    </row>
    <row r="301" ht="15.75" customHeight="1" hidden="1" spans="1:47" x14ac:dyDescent="0.25" outlineLevel="1" collapsed="1">
      <c r="A301" s="24"/>
      <c r="B301" s="35"/>
      <c r="C301" s="106" t="s">
        <v>456</v>
      </c>
      <c r="D301" s="179" t="s">
        <v>430</v>
      </c>
      <c r="E301" s="181"/>
      <c r="F301" s="107" t="s">
        <v>417</v>
      </c>
      <c r="G301" s="108"/>
      <c r="H301" s="163" t="s">
        <v>431</v>
      </c>
      <c r="I301" s="197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  <c r="AT301" s="199"/>
      <c r="AU301" s="200">
        <f>SUM(I301:AT301)</f>
      </c>
    </row>
    <row r="302" ht="15.75" customHeight="1" hidden="1" spans="1:47" x14ac:dyDescent="0.25" outlineLevel="1" collapsed="1">
      <c r="A302" s="24"/>
      <c r="B302" s="35"/>
      <c r="C302" s="93" t="s">
        <v>457</v>
      </c>
      <c r="D302" s="180"/>
      <c r="E302" s="181"/>
      <c r="F302" s="94"/>
      <c r="G302" s="95"/>
      <c r="H302" s="167" t="s">
        <v>433</v>
      </c>
      <c r="I302" s="63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5"/>
      <c r="AU302" s="66">
        <f>SUM(I302:AT302)</f>
      </c>
    </row>
    <row r="303" ht="16.5" customHeight="1" hidden="1" spans="1:47" x14ac:dyDescent="0.25" outlineLevel="1" collapsed="1">
      <c r="A303" s="24"/>
      <c r="B303" s="35"/>
      <c r="C303" s="101" t="s">
        <v>458</v>
      </c>
      <c r="D303" s="180"/>
      <c r="E303" s="181"/>
      <c r="F303" s="102"/>
      <c r="G303" s="103"/>
      <c r="H303" s="182" t="s">
        <v>435</v>
      </c>
      <c r="I303" s="67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9"/>
      <c r="AU303" s="70">
        <f>SUM(I303:AT303)</f>
      </c>
    </row>
    <row r="304" ht="15.75" customHeight="1" hidden="1" spans="1:47" x14ac:dyDescent="0.25" outlineLevel="1" collapsed="1">
      <c r="A304" s="24"/>
      <c r="B304" s="35"/>
      <c r="C304" s="106" t="s">
        <v>459</v>
      </c>
      <c r="D304" s="180"/>
      <c r="E304" s="181"/>
      <c r="F304" s="154" t="s">
        <v>437</v>
      </c>
      <c r="G304" s="108"/>
      <c r="H304" s="163" t="s">
        <v>431</v>
      </c>
      <c r="I304" s="59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1"/>
      <c r="AU304" s="62">
        <f>SUM(I304:AT304)</f>
      </c>
    </row>
    <row r="305" ht="15.75" customHeight="1" hidden="1" spans="1:47" x14ac:dyDescent="0.25" outlineLevel="1" collapsed="1">
      <c r="A305" s="24"/>
      <c r="B305" s="35"/>
      <c r="C305" s="93" t="s">
        <v>460</v>
      </c>
      <c r="D305" s="180"/>
      <c r="E305" s="181"/>
      <c r="F305" s="94"/>
      <c r="G305" s="95"/>
      <c r="H305" s="167" t="s">
        <v>433</v>
      </c>
      <c r="I305" s="63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5"/>
      <c r="AU305" s="66">
        <f>SUM(I305:AT305)</f>
      </c>
    </row>
    <row r="306" ht="16.5" customHeight="1" hidden="1" spans="1:47" x14ac:dyDescent="0.25" outlineLevel="1" collapsed="1">
      <c r="A306" s="24"/>
      <c r="B306" s="35"/>
      <c r="C306" s="101" t="s">
        <v>461</v>
      </c>
      <c r="D306" s="180"/>
      <c r="E306" s="181"/>
      <c r="F306" s="102"/>
      <c r="G306" s="103"/>
      <c r="H306" s="182" t="s">
        <v>435</v>
      </c>
      <c r="I306" s="67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9"/>
      <c r="AU306" s="70">
        <f>SUM(I306:AT306)</f>
      </c>
    </row>
    <row r="307" ht="15.75" customHeight="1" hidden="1" spans="1:47" x14ac:dyDescent="0.25" outlineLevel="1" collapsed="1">
      <c r="A307" s="24"/>
      <c r="B307" s="35"/>
      <c r="C307" s="106" t="s">
        <v>462</v>
      </c>
      <c r="D307" s="180"/>
      <c r="E307" s="181"/>
      <c r="F307" s="154" t="s">
        <v>441</v>
      </c>
      <c r="G307" s="108"/>
      <c r="H307" s="163" t="s">
        <v>431</v>
      </c>
      <c r="I307" s="59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1"/>
      <c r="AU307" s="62">
        <f>SUM(I307:AT307)</f>
      </c>
    </row>
    <row r="308" ht="15.75" customHeight="1" hidden="1" spans="1:47" x14ac:dyDescent="0.25" outlineLevel="1" collapsed="1">
      <c r="A308" s="24"/>
      <c r="B308" s="35"/>
      <c r="C308" s="93" t="s">
        <v>463</v>
      </c>
      <c r="D308" s="180"/>
      <c r="E308" s="181"/>
      <c r="F308" s="94"/>
      <c r="G308" s="95"/>
      <c r="H308" s="167" t="s">
        <v>433</v>
      </c>
      <c r="I308" s="63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5"/>
      <c r="AU308" s="66">
        <f>SUM(I308:AT308)</f>
      </c>
    </row>
    <row r="309" ht="16.5" customHeight="1" hidden="1" spans="1:47" x14ac:dyDescent="0.25" outlineLevel="1" collapsed="1">
      <c r="A309" s="24"/>
      <c r="B309" s="35"/>
      <c r="C309" s="101" t="s">
        <v>464</v>
      </c>
      <c r="D309" s="180"/>
      <c r="E309" s="181"/>
      <c r="F309" s="102"/>
      <c r="G309" s="103"/>
      <c r="H309" s="182" t="s">
        <v>435</v>
      </c>
      <c r="I309" s="67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9"/>
      <c r="AU309" s="70">
        <f>SUM(I309:AT309)</f>
      </c>
    </row>
    <row r="310" ht="15.75" customHeight="1" hidden="1" spans="1:47" x14ac:dyDescent="0.25" outlineLevel="1" collapsed="1">
      <c r="A310" s="24"/>
      <c r="B310" s="35"/>
      <c r="C310" s="86" t="s">
        <v>465</v>
      </c>
      <c r="D310" s="180"/>
      <c r="E310" s="181"/>
      <c r="F310" s="154" t="s">
        <v>445</v>
      </c>
      <c r="G310" s="108"/>
      <c r="H310" s="163" t="s">
        <v>431</v>
      </c>
      <c r="I310" s="59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1"/>
      <c r="AU310" s="62">
        <f>SUM(I310:AT310)</f>
      </c>
    </row>
    <row r="311" ht="15.75" customHeight="1" hidden="1" spans="1:47" x14ac:dyDescent="0.25" outlineLevel="1" collapsed="1">
      <c r="A311" s="24"/>
      <c r="B311" s="35"/>
      <c r="C311" s="93" t="s">
        <v>466</v>
      </c>
      <c r="D311" s="180"/>
      <c r="E311" s="181"/>
      <c r="F311" s="94"/>
      <c r="G311" s="95"/>
      <c r="H311" s="167" t="s">
        <v>433</v>
      </c>
      <c r="I311" s="63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5"/>
      <c r="AU311" s="66">
        <f>SUM(I311:AT311)</f>
      </c>
    </row>
    <row r="312" ht="16.5" customHeight="1" hidden="1" spans="1:47" x14ac:dyDescent="0.25" outlineLevel="1" collapsed="1">
      <c r="A312" s="24"/>
      <c r="B312" s="35"/>
      <c r="C312" s="101" t="s">
        <v>467</v>
      </c>
      <c r="D312" s="183"/>
      <c r="E312" s="184"/>
      <c r="F312" s="102"/>
      <c r="G312" s="103"/>
      <c r="H312" s="182" t="s">
        <v>435</v>
      </c>
      <c r="I312" s="67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9"/>
      <c r="AU312" s="70">
        <f>SUM(I312:AT312)</f>
      </c>
    </row>
    <row r="313" ht="15.75" customHeight="1" hidden="1" spans="1:47" x14ac:dyDescent="0.25" outlineLevel="1" collapsed="1">
      <c r="A313" s="24"/>
      <c r="B313" s="35"/>
      <c r="C313" s="106" t="s">
        <v>468</v>
      </c>
      <c r="D313" s="179" t="s">
        <v>416</v>
      </c>
      <c r="E313" s="179" t="s">
        <v>100</v>
      </c>
      <c r="F313" s="107" t="s">
        <v>417</v>
      </c>
      <c r="G313" s="108"/>
      <c r="H313" s="163" t="s">
        <v>317</v>
      </c>
      <c r="I313" s="59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1"/>
      <c r="AU313" s="62">
        <f>SUM(I313:AT313)</f>
      </c>
    </row>
    <row r="314" ht="16.5" customHeight="1" hidden="1" spans="1:47" x14ac:dyDescent="0.25" outlineLevel="1" collapsed="1">
      <c r="A314" s="24"/>
      <c r="B314" s="35"/>
      <c r="C314" s="101" t="s">
        <v>469</v>
      </c>
      <c r="D314" s="180"/>
      <c r="E314" s="181"/>
      <c r="F314" s="102"/>
      <c r="G314" s="103"/>
      <c r="H314" s="182" t="s">
        <v>419</v>
      </c>
      <c r="I314" s="67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9"/>
      <c r="AU314" s="70">
        <f>SUM(I314:AT314)</f>
      </c>
    </row>
    <row r="315" ht="15.75" customHeight="1" hidden="1" spans="1:47" x14ac:dyDescent="0.25" outlineLevel="1" collapsed="1">
      <c r="A315" s="24"/>
      <c r="B315" s="35"/>
      <c r="C315" s="106" t="s">
        <v>470</v>
      </c>
      <c r="D315" s="180"/>
      <c r="E315" s="181"/>
      <c r="F315" s="107" t="s">
        <v>421</v>
      </c>
      <c r="G315" s="108"/>
      <c r="H315" s="163" t="s">
        <v>317</v>
      </c>
      <c r="I315" s="59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1"/>
      <c r="AU315" s="62">
        <f>SUM(I315:AT315)</f>
      </c>
    </row>
    <row r="316" ht="16.5" customHeight="1" hidden="1" spans="1:47" x14ac:dyDescent="0.25" outlineLevel="1" collapsed="1">
      <c r="A316" s="24"/>
      <c r="B316" s="35"/>
      <c r="C316" s="141" t="s">
        <v>471</v>
      </c>
      <c r="D316" s="180"/>
      <c r="E316" s="181"/>
      <c r="F316" s="102"/>
      <c r="G316" s="103"/>
      <c r="H316" s="182" t="s">
        <v>419</v>
      </c>
      <c r="I316" s="67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9"/>
      <c r="AU316" s="70">
        <f>SUM(I316:AT316)</f>
      </c>
    </row>
    <row r="317" ht="15.75" customHeight="1" hidden="1" spans="1:47" x14ac:dyDescent="0.25" outlineLevel="1" collapsed="1">
      <c r="A317" s="24"/>
      <c r="B317" s="35"/>
      <c r="C317" s="106" t="s">
        <v>472</v>
      </c>
      <c r="D317" s="180"/>
      <c r="E317" s="181"/>
      <c r="F317" s="107" t="s">
        <v>424</v>
      </c>
      <c r="G317" s="108"/>
      <c r="H317" s="163" t="s">
        <v>317</v>
      </c>
      <c r="I317" s="59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1"/>
      <c r="AU317" s="62">
        <f>SUM(I317:AT317)</f>
      </c>
    </row>
    <row r="318" ht="16.5" customHeight="1" hidden="1" spans="1:47" x14ac:dyDescent="0.25" outlineLevel="1" collapsed="1">
      <c r="A318" s="24"/>
      <c r="B318" s="35"/>
      <c r="C318" s="141" t="s">
        <v>473</v>
      </c>
      <c r="D318" s="180"/>
      <c r="E318" s="181"/>
      <c r="F318" s="102"/>
      <c r="G318" s="103"/>
      <c r="H318" s="182" t="s">
        <v>419</v>
      </c>
      <c r="I318" s="185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7"/>
      <c r="AU318" s="188">
        <f>SUM(I318:AT318)</f>
      </c>
    </row>
    <row r="319" ht="15.75" customHeight="1" hidden="1" spans="1:47" x14ac:dyDescent="0.25" outlineLevel="1" collapsed="1">
      <c r="A319" s="24"/>
      <c r="B319" s="35"/>
      <c r="C319" s="106" t="s">
        <v>474</v>
      </c>
      <c r="D319" s="180"/>
      <c r="E319" s="181"/>
      <c r="F319" s="107" t="s">
        <v>427</v>
      </c>
      <c r="G319" s="108"/>
      <c r="H319" s="163" t="s">
        <v>317</v>
      </c>
      <c r="I319" s="189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  <c r="AC319" s="190"/>
      <c r="AD319" s="190"/>
      <c r="AE319" s="190"/>
      <c r="AF319" s="190"/>
      <c r="AG319" s="190"/>
      <c r="AH319" s="190"/>
      <c r="AI319" s="190"/>
      <c r="AJ319" s="190"/>
      <c r="AK319" s="190"/>
      <c r="AL319" s="190"/>
      <c r="AM319" s="190"/>
      <c r="AN319" s="190"/>
      <c r="AO319" s="190"/>
      <c r="AP319" s="190"/>
      <c r="AQ319" s="190"/>
      <c r="AR319" s="190"/>
      <c r="AS319" s="190"/>
      <c r="AT319" s="191"/>
      <c r="AU319" s="192">
        <f>SUM(I319:AT319)</f>
      </c>
    </row>
    <row r="320" ht="16.5" customHeight="1" hidden="1" spans="1:47" x14ac:dyDescent="0.25" outlineLevel="1" collapsed="1">
      <c r="A320" s="24"/>
      <c r="B320" s="35"/>
      <c r="C320" s="141" t="s">
        <v>475</v>
      </c>
      <c r="D320" s="183"/>
      <c r="E320" s="181"/>
      <c r="F320" s="102"/>
      <c r="G320" s="103"/>
      <c r="H320" s="182" t="s">
        <v>419</v>
      </c>
      <c r="I320" s="193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5"/>
      <c r="AU320" s="196">
        <f>SUM(I320:AT320)</f>
      </c>
    </row>
    <row r="321" ht="15.75" customHeight="1" hidden="1" spans="1:47" x14ac:dyDescent="0.25" outlineLevel="1" collapsed="1">
      <c r="A321" s="24"/>
      <c r="B321" s="35"/>
      <c r="C321" s="106" t="s">
        <v>476</v>
      </c>
      <c r="D321" s="179" t="s">
        <v>430</v>
      </c>
      <c r="E321" s="181"/>
      <c r="F321" s="107" t="s">
        <v>417</v>
      </c>
      <c r="G321" s="108"/>
      <c r="H321" s="163" t="s">
        <v>431</v>
      </c>
      <c r="I321" s="197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  <c r="AF321" s="198"/>
      <c r="AG321" s="198"/>
      <c r="AH321" s="198"/>
      <c r="AI321" s="198"/>
      <c r="AJ321" s="198"/>
      <c r="AK321" s="198"/>
      <c r="AL321" s="198"/>
      <c r="AM321" s="198"/>
      <c r="AN321" s="198"/>
      <c r="AO321" s="198"/>
      <c r="AP321" s="198"/>
      <c r="AQ321" s="198"/>
      <c r="AR321" s="198"/>
      <c r="AS321" s="198"/>
      <c r="AT321" s="199"/>
      <c r="AU321" s="200">
        <f>SUM(I321:AT321)</f>
      </c>
    </row>
    <row r="322" ht="15.75" customHeight="1" hidden="1" spans="1:47" x14ac:dyDescent="0.25" outlineLevel="1" collapsed="1">
      <c r="A322" s="24"/>
      <c r="B322" s="35"/>
      <c r="C322" s="93" t="s">
        <v>477</v>
      </c>
      <c r="D322" s="180"/>
      <c r="E322" s="181"/>
      <c r="F322" s="94"/>
      <c r="G322" s="95"/>
      <c r="H322" s="167" t="s">
        <v>433</v>
      </c>
      <c r="I322" s="63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5"/>
      <c r="AU322" s="66">
        <f>SUM(I322:AT322)</f>
      </c>
    </row>
    <row r="323" ht="16.5" customHeight="1" hidden="1" spans="1:47" x14ac:dyDescent="0.25" outlineLevel="1" collapsed="1">
      <c r="A323" s="24"/>
      <c r="B323" s="35"/>
      <c r="C323" s="101" t="s">
        <v>478</v>
      </c>
      <c r="D323" s="180"/>
      <c r="E323" s="181"/>
      <c r="F323" s="102"/>
      <c r="G323" s="103"/>
      <c r="H323" s="182" t="s">
        <v>435</v>
      </c>
      <c r="I323" s="67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9"/>
      <c r="AU323" s="70">
        <f>SUM(I323:AT323)</f>
      </c>
    </row>
    <row r="324" ht="15.75" customHeight="1" hidden="1" spans="1:47" x14ac:dyDescent="0.25" outlineLevel="1" collapsed="1">
      <c r="A324" s="24"/>
      <c r="B324" s="35"/>
      <c r="C324" s="106" t="s">
        <v>479</v>
      </c>
      <c r="D324" s="180"/>
      <c r="E324" s="181"/>
      <c r="F324" s="154" t="s">
        <v>437</v>
      </c>
      <c r="G324" s="108"/>
      <c r="H324" s="163" t="s">
        <v>431</v>
      </c>
      <c r="I324" s="59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1"/>
      <c r="AU324" s="62">
        <f>SUM(I324:AT324)</f>
      </c>
    </row>
    <row r="325" ht="15.75" customHeight="1" hidden="1" spans="1:47" x14ac:dyDescent="0.25" outlineLevel="1" collapsed="1">
      <c r="A325" s="24"/>
      <c r="B325" s="35"/>
      <c r="C325" s="93" t="s">
        <v>480</v>
      </c>
      <c r="D325" s="180"/>
      <c r="E325" s="181"/>
      <c r="F325" s="94"/>
      <c r="G325" s="95"/>
      <c r="H325" s="167" t="s">
        <v>433</v>
      </c>
      <c r="I325" s="63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5"/>
      <c r="AU325" s="66">
        <f>SUM(I325:AT325)</f>
      </c>
    </row>
    <row r="326" ht="16.5" customHeight="1" hidden="1" spans="1:47" x14ac:dyDescent="0.25" outlineLevel="1" collapsed="1">
      <c r="A326" s="24"/>
      <c r="B326" s="35"/>
      <c r="C326" s="101" t="s">
        <v>481</v>
      </c>
      <c r="D326" s="180"/>
      <c r="E326" s="181"/>
      <c r="F326" s="102"/>
      <c r="G326" s="103"/>
      <c r="H326" s="182" t="s">
        <v>435</v>
      </c>
      <c r="I326" s="67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9"/>
      <c r="AU326" s="70">
        <f>SUM(I326:AT326)</f>
      </c>
    </row>
    <row r="327" ht="15.75" customHeight="1" hidden="1" spans="1:47" x14ac:dyDescent="0.25" outlineLevel="1" collapsed="1">
      <c r="A327" s="24"/>
      <c r="B327" s="35"/>
      <c r="C327" s="106" t="s">
        <v>482</v>
      </c>
      <c r="D327" s="180"/>
      <c r="E327" s="181"/>
      <c r="F327" s="154" t="s">
        <v>441</v>
      </c>
      <c r="G327" s="108"/>
      <c r="H327" s="163" t="s">
        <v>431</v>
      </c>
      <c r="I327" s="59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1"/>
      <c r="AU327" s="62">
        <f>SUM(I327:AT327)</f>
      </c>
    </row>
    <row r="328" ht="15.75" customHeight="1" hidden="1" spans="1:47" x14ac:dyDescent="0.25" outlineLevel="1" collapsed="1">
      <c r="A328" s="24"/>
      <c r="B328" s="35"/>
      <c r="C328" s="93" t="s">
        <v>483</v>
      </c>
      <c r="D328" s="180"/>
      <c r="E328" s="181"/>
      <c r="F328" s="94"/>
      <c r="G328" s="95"/>
      <c r="H328" s="167" t="s">
        <v>433</v>
      </c>
      <c r="I328" s="63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5"/>
      <c r="AU328" s="66">
        <f>SUM(I328:AT328)</f>
      </c>
    </row>
    <row r="329" ht="16.5" customHeight="1" hidden="1" spans="1:47" x14ac:dyDescent="0.25" outlineLevel="1" collapsed="1">
      <c r="A329" s="24"/>
      <c r="B329" s="35"/>
      <c r="C329" s="101" t="s">
        <v>484</v>
      </c>
      <c r="D329" s="180"/>
      <c r="E329" s="181"/>
      <c r="F329" s="102"/>
      <c r="G329" s="103"/>
      <c r="H329" s="182" t="s">
        <v>435</v>
      </c>
      <c r="I329" s="67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9"/>
      <c r="AU329" s="70">
        <f>SUM(I329:AT329)</f>
      </c>
    </row>
    <row r="330" ht="15.75" customHeight="1" hidden="1" spans="1:47" x14ac:dyDescent="0.25" outlineLevel="1" collapsed="1">
      <c r="A330" s="24"/>
      <c r="B330" s="35"/>
      <c r="C330" s="86" t="s">
        <v>485</v>
      </c>
      <c r="D330" s="180"/>
      <c r="E330" s="181"/>
      <c r="F330" s="154" t="s">
        <v>445</v>
      </c>
      <c r="G330" s="108"/>
      <c r="H330" s="163" t="s">
        <v>431</v>
      </c>
      <c r="I330" s="59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1"/>
      <c r="AU330" s="62">
        <f>SUM(I330:AT330)</f>
      </c>
    </row>
    <row r="331" ht="15.75" customHeight="1" hidden="1" spans="1:47" x14ac:dyDescent="0.25" outlineLevel="1" collapsed="1">
      <c r="A331" s="24"/>
      <c r="B331" s="35"/>
      <c r="C331" s="93" t="s">
        <v>486</v>
      </c>
      <c r="D331" s="180"/>
      <c r="E331" s="181"/>
      <c r="F331" s="94"/>
      <c r="G331" s="95"/>
      <c r="H331" s="167" t="s">
        <v>433</v>
      </c>
      <c r="I331" s="63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5"/>
      <c r="AU331" s="66">
        <f>SUM(I331:AT331)</f>
      </c>
    </row>
    <row r="332" ht="16.5" customHeight="1" hidden="1" spans="1:47" x14ac:dyDescent="0.25" outlineLevel="1" collapsed="1">
      <c r="A332" s="24"/>
      <c r="B332" s="35"/>
      <c r="C332" s="101" t="s">
        <v>487</v>
      </c>
      <c r="D332" s="183"/>
      <c r="E332" s="184"/>
      <c r="F332" s="102"/>
      <c r="G332" s="103"/>
      <c r="H332" s="182" t="s">
        <v>435</v>
      </c>
      <c r="I332" s="67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9"/>
      <c r="AU332" s="70">
        <f>SUM(I332:AT332)</f>
      </c>
    </row>
    <row r="333" ht="15.75" customHeight="1" hidden="1" spans="1:47" x14ac:dyDescent="0.25" outlineLevel="1" collapsed="1">
      <c r="A333" s="24"/>
      <c r="B333" s="201"/>
      <c r="C333" s="106" t="s">
        <v>488</v>
      </c>
      <c r="D333" s="179" t="s">
        <v>416</v>
      </c>
      <c r="E333" s="179" t="s">
        <v>106</v>
      </c>
      <c r="F333" s="107" t="s">
        <v>417</v>
      </c>
      <c r="G333" s="108"/>
      <c r="H333" s="163" t="s">
        <v>317</v>
      </c>
      <c r="I333" s="59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1"/>
      <c r="AU333" s="62">
        <f>SUM(I333:AT333)</f>
      </c>
    </row>
    <row r="334" ht="16.5" customHeight="1" hidden="1" spans="1:47" x14ac:dyDescent="0.25" outlineLevel="1" collapsed="1">
      <c r="A334" s="24"/>
      <c r="B334" s="201"/>
      <c r="C334" s="101" t="s">
        <v>489</v>
      </c>
      <c r="D334" s="180"/>
      <c r="E334" s="181"/>
      <c r="F334" s="102"/>
      <c r="G334" s="103"/>
      <c r="H334" s="182" t="s">
        <v>419</v>
      </c>
      <c r="I334" s="67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9"/>
      <c r="AU334" s="70">
        <f>SUM(I334:AT334)</f>
      </c>
    </row>
    <row r="335" ht="15.75" customHeight="1" hidden="1" spans="1:47" x14ac:dyDescent="0.25" outlineLevel="1" collapsed="1">
      <c r="A335" s="24"/>
      <c r="B335" s="201"/>
      <c r="C335" s="106" t="s">
        <v>490</v>
      </c>
      <c r="D335" s="180"/>
      <c r="E335" s="181"/>
      <c r="F335" s="107" t="s">
        <v>421</v>
      </c>
      <c r="G335" s="108"/>
      <c r="H335" s="163" t="s">
        <v>317</v>
      </c>
      <c r="I335" s="59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1"/>
      <c r="AU335" s="62">
        <f>SUM(I335:AT335)</f>
      </c>
    </row>
    <row r="336" ht="16.5" customHeight="1" hidden="1" spans="1:47" x14ac:dyDescent="0.25" outlineLevel="1" collapsed="1">
      <c r="A336" s="24"/>
      <c r="B336" s="201"/>
      <c r="C336" s="141" t="s">
        <v>491</v>
      </c>
      <c r="D336" s="180"/>
      <c r="E336" s="181"/>
      <c r="F336" s="102"/>
      <c r="G336" s="103"/>
      <c r="H336" s="182" t="s">
        <v>419</v>
      </c>
      <c r="I336" s="67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9"/>
      <c r="AU336" s="70">
        <f>SUM(I336:AT336)</f>
      </c>
    </row>
    <row r="337" ht="15.75" customHeight="1" hidden="1" spans="1:47" x14ac:dyDescent="0.25" outlineLevel="1" collapsed="1">
      <c r="A337" s="24"/>
      <c r="B337" s="201"/>
      <c r="C337" s="106" t="s">
        <v>492</v>
      </c>
      <c r="D337" s="180"/>
      <c r="E337" s="181"/>
      <c r="F337" s="107" t="s">
        <v>424</v>
      </c>
      <c r="G337" s="108"/>
      <c r="H337" s="163" t="s">
        <v>317</v>
      </c>
      <c r="I337" s="59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1"/>
      <c r="AU337" s="62">
        <f>SUM(I337:AT337)</f>
      </c>
    </row>
    <row r="338" ht="16.5" customHeight="1" hidden="1" spans="1:47" x14ac:dyDescent="0.25" outlineLevel="1" collapsed="1">
      <c r="A338" s="24"/>
      <c r="B338" s="201"/>
      <c r="C338" s="141" t="s">
        <v>493</v>
      </c>
      <c r="D338" s="180"/>
      <c r="E338" s="181"/>
      <c r="F338" s="102"/>
      <c r="G338" s="103"/>
      <c r="H338" s="182" t="s">
        <v>419</v>
      </c>
      <c r="I338" s="185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7"/>
      <c r="AU338" s="188">
        <f>SUM(I338:AT338)</f>
      </c>
    </row>
    <row r="339" ht="15.75" customHeight="1" hidden="1" spans="1:47" x14ac:dyDescent="0.25" outlineLevel="1" collapsed="1">
      <c r="A339" s="24"/>
      <c r="B339" s="201"/>
      <c r="C339" s="106" t="s">
        <v>494</v>
      </c>
      <c r="D339" s="180"/>
      <c r="E339" s="181"/>
      <c r="F339" s="107" t="s">
        <v>427</v>
      </c>
      <c r="G339" s="108"/>
      <c r="H339" s="163" t="s">
        <v>317</v>
      </c>
      <c r="I339" s="189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  <c r="AB339" s="190"/>
      <c r="AC339" s="190"/>
      <c r="AD339" s="190"/>
      <c r="AE339" s="190"/>
      <c r="AF339" s="190"/>
      <c r="AG339" s="190"/>
      <c r="AH339" s="190"/>
      <c r="AI339" s="190"/>
      <c r="AJ339" s="190"/>
      <c r="AK339" s="190"/>
      <c r="AL339" s="190"/>
      <c r="AM339" s="190"/>
      <c r="AN339" s="190"/>
      <c r="AO339" s="190"/>
      <c r="AP339" s="190"/>
      <c r="AQ339" s="190"/>
      <c r="AR339" s="190"/>
      <c r="AS339" s="190"/>
      <c r="AT339" s="191"/>
      <c r="AU339" s="192">
        <f>SUM(I339:AT339)</f>
      </c>
    </row>
    <row r="340" ht="16.5" customHeight="1" hidden="1" spans="1:47" x14ac:dyDescent="0.25" outlineLevel="1" collapsed="1">
      <c r="A340" s="24"/>
      <c r="B340" s="201"/>
      <c r="C340" s="141" t="s">
        <v>495</v>
      </c>
      <c r="D340" s="183"/>
      <c r="E340" s="181"/>
      <c r="F340" s="102"/>
      <c r="G340" s="103"/>
      <c r="H340" s="182" t="s">
        <v>419</v>
      </c>
      <c r="I340" s="193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5"/>
      <c r="AU340" s="196">
        <f>SUM(I340:AT340)</f>
      </c>
    </row>
    <row r="341" ht="15.75" customHeight="1" hidden="1" spans="1:47" x14ac:dyDescent="0.25" outlineLevel="1" collapsed="1">
      <c r="A341" s="24"/>
      <c r="B341" s="201"/>
      <c r="C341" s="106" t="s">
        <v>496</v>
      </c>
      <c r="D341" s="179" t="s">
        <v>430</v>
      </c>
      <c r="E341" s="181"/>
      <c r="F341" s="107" t="s">
        <v>417</v>
      </c>
      <c r="G341" s="108"/>
      <c r="H341" s="163" t="s">
        <v>431</v>
      </c>
      <c r="I341" s="197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  <c r="AF341" s="198"/>
      <c r="AG341" s="198"/>
      <c r="AH341" s="198"/>
      <c r="AI341" s="198"/>
      <c r="AJ341" s="198"/>
      <c r="AK341" s="198"/>
      <c r="AL341" s="198"/>
      <c r="AM341" s="198"/>
      <c r="AN341" s="198"/>
      <c r="AO341" s="198"/>
      <c r="AP341" s="198"/>
      <c r="AQ341" s="198"/>
      <c r="AR341" s="198"/>
      <c r="AS341" s="198"/>
      <c r="AT341" s="199"/>
      <c r="AU341" s="200">
        <f>SUM(I341:AT341)</f>
      </c>
    </row>
    <row r="342" ht="15.75" customHeight="1" hidden="1" spans="1:47" x14ac:dyDescent="0.25" outlineLevel="1" collapsed="1">
      <c r="A342" s="24"/>
      <c r="B342" s="201"/>
      <c r="C342" s="93" t="s">
        <v>497</v>
      </c>
      <c r="D342" s="180"/>
      <c r="E342" s="181"/>
      <c r="F342" s="94"/>
      <c r="G342" s="95"/>
      <c r="H342" s="167" t="s">
        <v>433</v>
      </c>
      <c r="I342" s="63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5"/>
      <c r="AU342" s="66">
        <f>SUM(I342:AT342)</f>
      </c>
    </row>
    <row r="343" ht="16.5" customHeight="1" hidden="1" spans="1:47" x14ac:dyDescent="0.25" outlineLevel="1" collapsed="1">
      <c r="A343" s="24"/>
      <c r="B343" s="201"/>
      <c r="C343" s="101" t="s">
        <v>498</v>
      </c>
      <c r="D343" s="180"/>
      <c r="E343" s="181"/>
      <c r="F343" s="102"/>
      <c r="G343" s="103"/>
      <c r="H343" s="182" t="s">
        <v>435</v>
      </c>
      <c r="I343" s="67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9"/>
      <c r="AU343" s="70">
        <f>SUM(I343:AT343)</f>
      </c>
    </row>
    <row r="344" ht="15.75" customHeight="1" hidden="1" spans="1:47" x14ac:dyDescent="0.25" outlineLevel="1" collapsed="1">
      <c r="A344" s="24"/>
      <c r="B344" s="201"/>
      <c r="C344" s="106" t="s">
        <v>499</v>
      </c>
      <c r="D344" s="180"/>
      <c r="E344" s="181"/>
      <c r="F344" s="154" t="s">
        <v>437</v>
      </c>
      <c r="G344" s="108"/>
      <c r="H344" s="163" t="s">
        <v>431</v>
      </c>
      <c r="I344" s="59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1"/>
      <c r="AU344" s="62">
        <f>SUM(I344:AT344)</f>
      </c>
    </row>
    <row r="345" ht="15.75" customHeight="1" hidden="1" spans="1:47" x14ac:dyDescent="0.25" outlineLevel="1" collapsed="1">
      <c r="A345" s="24"/>
      <c r="B345" s="201"/>
      <c r="C345" s="93" t="s">
        <v>500</v>
      </c>
      <c r="D345" s="180"/>
      <c r="E345" s="181"/>
      <c r="F345" s="94"/>
      <c r="G345" s="95"/>
      <c r="H345" s="167" t="s">
        <v>433</v>
      </c>
      <c r="I345" s="63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5"/>
      <c r="AU345" s="66">
        <f>SUM(I345:AT345)</f>
      </c>
    </row>
    <row r="346" ht="16.5" customHeight="1" hidden="1" spans="1:47" x14ac:dyDescent="0.25" outlineLevel="1" collapsed="1">
      <c r="A346" s="24"/>
      <c r="B346" s="201"/>
      <c r="C346" s="101" t="s">
        <v>501</v>
      </c>
      <c r="D346" s="180"/>
      <c r="E346" s="181"/>
      <c r="F346" s="102"/>
      <c r="G346" s="103"/>
      <c r="H346" s="182" t="s">
        <v>435</v>
      </c>
      <c r="I346" s="67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9"/>
      <c r="AU346" s="70">
        <f>SUM(I346:AT346)</f>
      </c>
    </row>
    <row r="347" ht="15.75" customHeight="1" hidden="1" spans="1:47" x14ac:dyDescent="0.25" outlineLevel="1" collapsed="1">
      <c r="A347" s="24"/>
      <c r="B347" s="201"/>
      <c r="C347" s="106" t="s">
        <v>502</v>
      </c>
      <c r="D347" s="180"/>
      <c r="E347" s="181"/>
      <c r="F347" s="154" t="s">
        <v>441</v>
      </c>
      <c r="G347" s="108"/>
      <c r="H347" s="163" t="s">
        <v>431</v>
      </c>
      <c r="I347" s="59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1"/>
      <c r="AU347" s="62">
        <f>SUM(I347:AT347)</f>
      </c>
    </row>
    <row r="348" ht="15.75" customHeight="1" hidden="1" spans="1:47" x14ac:dyDescent="0.25" outlineLevel="1" collapsed="1">
      <c r="A348" s="24"/>
      <c r="B348" s="201"/>
      <c r="C348" s="93" t="s">
        <v>503</v>
      </c>
      <c r="D348" s="180"/>
      <c r="E348" s="181"/>
      <c r="F348" s="94"/>
      <c r="G348" s="95"/>
      <c r="H348" s="167" t="s">
        <v>433</v>
      </c>
      <c r="I348" s="63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5"/>
      <c r="AU348" s="66">
        <f>SUM(I348:AT348)</f>
      </c>
    </row>
    <row r="349" ht="16.5" customHeight="1" hidden="1" spans="1:47" x14ac:dyDescent="0.25" outlineLevel="1" collapsed="1">
      <c r="A349" s="24"/>
      <c r="B349" s="201"/>
      <c r="C349" s="101" t="s">
        <v>504</v>
      </c>
      <c r="D349" s="180"/>
      <c r="E349" s="181"/>
      <c r="F349" s="102"/>
      <c r="G349" s="103"/>
      <c r="H349" s="182" t="s">
        <v>435</v>
      </c>
      <c r="I349" s="67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9"/>
      <c r="AU349" s="70">
        <f>SUM(I349:AT349)</f>
      </c>
    </row>
    <row r="350" ht="15.75" customHeight="1" hidden="1" spans="1:47" x14ac:dyDescent="0.25" outlineLevel="1" collapsed="1">
      <c r="A350" s="24"/>
      <c r="B350" s="201"/>
      <c r="C350" s="86" t="s">
        <v>505</v>
      </c>
      <c r="D350" s="180"/>
      <c r="E350" s="181"/>
      <c r="F350" s="154" t="s">
        <v>445</v>
      </c>
      <c r="G350" s="108"/>
      <c r="H350" s="163" t="s">
        <v>431</v>
      </c>
      <c r="I350" s="59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1"/>
      <c r="AU350" s="62">
        <f>SUM(I350:AT350)</f>
      </c>
    </row>
    <row r="351" ht="15.75" customHeight="1" hidden="1" spans="1:47" x14ac:dyDescent="0.25" outlineLevel="1" collapsed="1">
      <c r="A351" s="24"/>
      <c r="B351" s="201"/>
      <c r="C351" s="93" t="s">
        <v>506</v>
      </c>
      <c r="D351" s="180"/>
      <c r="E351" s="181"/>
      <c r="F351" s="94"/>
      <c r="G351" s="95"/>
      <c r="H351" s="167" t="s">
        <v>433</v>
      </c>
      <c r="I351" s="63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5"/>
      <c r="AU351" s="66">
        <f>SUM(I351:AT351)</f>
      </c>
    </row>
    <row r="352" ht="16.5" customHeight="1" hidden="1" spans="1:47" x14ac:dyDescent="0.25" outlineLevel="1" collapsed="1">
      <c r="A352" s="24"/>
      <c r="B352" s="202"/>
      <c r="C352" s="101" t="s">
        <v>507</v>
      </c>
      <c r="D352" s="183"/>
      <c r="E352" s="184"/>
      <c r="F352" s="102"/>
      <c r="G352" s="103"/>
      <c r="H352" s="182" t="s">
        <v>435</v>
      </c>
      <c r="I352" s="76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8"/>
      <c r="AU352" s="70">
        <f>SUM(I352:AT352)</f>
      </c>
    </row>
    <row r="353" ht="16.5" customHeight="1" spans="1:47" x14ac:dyDescent="0.25">
      <c r="A353" s="24"/>
      <c r="B353" s="80" t="s">
        <v>508</v>
      </c>
      <c r="C353" s="81"/>
      <c r="D353" s="81"/>
      <c r="E353" s="81"/>
      <c r="F353" s="81"/>
      <c r="G353" s="81"/>
      <c r="H353" s="82"/>
      <c r="I353" s="83">
        <f>SUM(I273:I292)</f>
      </c>
      <c r="J353" s="84">
        <f>SUM(J273:J292)</f>
        <v>14</v>
      </c>
      <c r="K353" s="84">
        <f>SUM(K273:K292)</f>
        <v>1</v>
      </c>
      <c r="L353" s="84">
        <f>SUM(L273:L292)</f>
        <v>5</v>
      </c>
      <c r="M353" s="84">
        <f>SUM(M273:M292)</f>
        <v>9</v>
      </c>
      <c r="N353" s="84">
        <f>SUM(N273:N292)</f>
        <v>17</v>
      </c>
      <c r="O353" s="84">
        <f>SUM(O273:O292)</f>
        <v>26</v>
      </c>
      <c r="P353" s="84">
        <f>SUM(P273:P292)</f>
        <v>115</v>
      </c>
      <c r="Q353" s="84">
        <f>SUM(Q273:Q292)</f>
        <v>8</v>
      </c>
      <c r="R353" s="84">
        <f>SUM(R273:R292)</f>
        <v>9</v>
      </c>
      <c r="S353" s="84">
        <f>SUM(S273:S292)</f>
        <v>10</v>
      </c>
      <c r="T353" s="84">
        <f>SUM(T273:T292)</f>
        <v>4</v>
      </c>
      <c r="U353" s="84">
        <f>SUM(U273:U292)</f>
        <v>21</v>
      </c>
      <c r="V353" s="84">
        <f>SUM(V273:V292)</f>
        <v>12</v>
      </c>
      <c r="W353" s="84">
        <f>SUM(W273:W292)</f>
        <v>2</v>
      </c>
      <c r="X353" s="84">
        <f>SUM(X273:X292)</f>
        <v>3</v>
      </c>
      <c r="Y353" s="84">
        <f>SUM(Y273:Y292)</f>
        <v>2</v>
      </c>
      <c r="Z353" s="84">
        <f>SUM(Z273:Z292)</f>
        <v>35</v>
      </c>
      <c r="AA353" s="84">
        <f>SUM(AA273:AA292)</f>
        <v>21</v>
      </c>
      <c r="AB353" s="84">
        <f>SUM(AB273:AB292)</f>
      </c>
      <c r="AC353" s="84">
        <f>SUM(AC273:AC292)</f>
        <v>4</v>
      </c>
      <c r="AD353" s="84">
        <f>SUM(AD273:AD292)</f>
        <v>4</v>
      </c>
      <c r="AE353" s="84">
        <f>SUM(AE273:AE292)</f>
        <v>6</v>
      </c>
      <c r="AF353" s="84">
        <f>SUM(AF273:AF292)</f>
      </c>
      <c r="AG353" s="84">
        <f>SUM(AG273:AG292)</f>
        <v>6</v>
      </c>
      <c r="AH353" s="84">
        <f>SUM(AH273:AH292)</f>
        <v>15</v>
      </c>
      <c r="AI353" s="84">
        <f>SUM(AI273:AI292)</f>
      </c>
      <c r="AJ353" s="84">
        <f>SUM(AJ273:AJ292)</f>
        <v>1</v>
      </c>
      <c r="AK353" s="84">
        <f>SUM(AK273:AK292)</f>
      </c>
      <c r="AL353" s="84">
        <f>SUM(AL273:AL292)</f>
        <v>3</v>
      </c>
      <c r="AM353" s="84">
        <f>SUM(AM273:AM292)</f>
        <v>13</v>
      </c>
      <c r="AN353" s="84">
        <f>SUM(AN273:AN292)</f>
      </c>
      <c r="AO353" s="84">
        <f>SUM(AO273:AO292)</f>
      </c>
      <c r="AP353" s="84">
        <f>SUM(AP273:AP292)</f>
        <v>46</v>
      </c>
      <c r="AQ353" s="84">
        <f>SUM(AQ273:AQ292)</f>
        <v>41</v>
      </c>
      <c r="AR353" s="84">
        <f>SUM(AR273:AR292)</f>
        <v>10</v>
      </c>
      <c r="AS353" s="84">
        <f>SUM(AS273:AS292)</f>
        <v>51</v>
      </c>
      <c r="AT353" s="84">
        <f>SUM(AT273:AT292)</f>
        <v>10</v>
      </c>
      <c r="AU353" s="85">
        <f>SUM(I353:AT353)</f>
        <v>524</v>
      </c>
    </row>
    <row r="354" ht="15.75" customHeight="1" spans="1:47" x14ac:dyDescent="0.25">
      <c r="A354" s="24"/>
      <c r="B354" s="128" t="s">
        <v>509</v>
      </c>
      <c r="C354" s="129" t="s">
        <v>510</v>
      </c>
      <c r="D354" s="130" t="s">
        <v>83</v>
      </c>
      <c r="E354" s="108"/>
      <c r="F354" s="203" t="s">
        <v>511</v>
      </c>
      <c r="G354" s="110"/>
      <c r="H354" s="111"/>
      <c r="I354" s="31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3"/>
      <c r="AU354" s="123">
        <f>SUM(I354:AT354)</f>
        <v>370</v>
      </c>
    </row>
    <row r="355" ht="16.5" customHeight="1" spans="1:47" x14ac:dyDescent="0.25">
      <c r="A355" s="24"/>
      <c r="B355" s="35"/>
      <c r="C355" s="131" t="s">
        <v>512</v>
      </c>
      <c r="D355" s="102"/>
      <c r="E355" s="103"/>
      <c r="F355" s="204" t="s">
        <v>513</v>
      </c>
      <c r="G355" s="104"/>
      <c r="H355" s="133"/>
      <c r="I355" s="50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2"/>
      <c r="AU355" s="53">
        <f>SUM(I355:AT355)</f>
        <v>50</v>
      </c>
    </row>
    <row r="356" ht="15.75" customHeight="1" hidden="1" spans="1:47" x14ac:dyDescent="0.25" outlineLevel="1" collapsed="1">
      <c r="A356" s="24"/>
      <c r="B356" s="35"/>
      <c r="C356" s="129" t="s">
        <v>514</v>
      </c>
      <c r="D356" s="130" t="s">
        <v>94</v>
      </c>
      <c r="E356" s="108"/>
      <c r="F356" s="203" t="s">
        <v>511</v>
      </c>
      <c r="G356" s="110"/>
      <c r="H356" s="111"/>
      <c r="I356" s="59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1"/>
      <c r="AU356" s="62">
        <f>SUM(I356:AT356)</f>
      </c>
    </row>
    <row r="357" ht="16.5" customHeight="1" hidden="1" spans="1:47" x14ac:dyDescent="0.25" outlineLevel="1" collapsed="1">
      <c r="A357" s="24"/>
      <c r="B357" s="35"/>
      <c r="C357" s="131" t="s">
        <v>515</v>
      </c>
      <c r="D357" s="102"/>
      <c r="E357" s="103"/>
      <c r="F357" s="204" t="s">
        <v>513</v>
      </c>
      <c r="G357" s="104"/>
      <c r="H357" s="133"/>
      <c r="I357" s="67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9"/>
      <c r="AU357" s="70">
        <f>SUM(I357:AT357)</f>
      </c>
    </row>
    <row r="358" ht="15.75" customHeight="1" hidden="1" spans="1:47" x14ac:dyDescent="0.25" outlineLevel="1" collapsed="1">
      <c r="A358" s="24"/>
      <c r="B358" s="35"/>
      <c r="C358" s="129" t="s">
        <v>516</v>
      </c>
      <c r="D358" s="130" t="s">
        <v>100</v>
      </c>
      <c r="E358" s="108"/>
      <c r="F358" s="203" t="s">
        <v>511</v>
      </c>
      <c r="G358" s="110"/>
      <c r="H358" s="111"/>
      <c r="I358" s="59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1"/>
      <c r="AU358" s="62">
        <f>SUM(I358:AT358)</f>
      </c>
    </row>
    <row r="359" ht="16.5" customHeight="1" hidden="1" spans="1:47" x14ac:dyDescent="0.25" outlineLevel="1" collapsed="1">
      <c r="A359" s="24"/>
      <c r="B359" s="35"/>
      <c r="C359" s="131" t="s">
        <v>517</v>
      </c>
      <c r="D359" s="102"/>
      <c r="E359" s="103"/>
      <c r="F359" s="204" t="s">
        <v>513</v>
      </c>
      <c r="G359" s="104"/>
      <c r="H359" s="133"/>
      <c r="I359" s="67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9"/>
      <c r="AU359" s="70">
        <f>SUM(I359:AT359)</f>
      </c>
    </row>
    <row r="360" ht="15.75" customHeight="1" hidden="1" spans="1:47" x14ac:dyDescent="0.25" outlineLevel="1" collapsed="1">
      <c r="A360" s="24"/>
      <c r="B360" s="35"/>
      <c r="C360" s="129" t="s">
        <v>518</v>
      </c>
      <c r="D360" s="130" t="s">
        <v>106</v>
      </c>
      <c r="E360" s="108"/>
      <c r="F360" s="203" t="s">
        <v>511</v>
      </c>
      <c r="G360" s="110"/>
      <c r="H360" s="111"/>
      <c r="I360" s="59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1"/>
      <c r="AU360" s="62">
        <f>SUM(I360:AT360)</f>
      </c>
    </row>
    <row r="361" ht="16.5" customHeight="1" hidden="1" spans="1:47" x14ac:dyDescent="0.25" outlineLevel="1" collapsed="1">
      <c r="A361" s="24"/>
      <c r="B361" s="116"/>
      <c r="C361" s="131" t="s">
        <v>519</v>
      </c>
      <c r="D361" s="102"/>
      <c r="E361" s="103"/>
      <c r="F361" s="204" t="s">
        <v>513</v>
      </c>
      <c r="G361" s="104"/>
      <c r="H361" s="133"/>
      <c r="I361" s="76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8"/>
      <c r="AU361" s="70">
        <f>SUM(I361:AT361)</f>
      </c>
    </row>
    <row r="362" ht="16.5" customHeight="1" spans="1:47" x14ac:dyDescent="0.25">
      <c r="A362" s="24"/>
      <c r="B362" s="80" t="s">
        <v>520</v>
      </c>
      <c r="C362" s="81"/>
      <c r="D362" s="81"/>
      <c r="E362" s="81"/>
      <c r="F362" s="81"/>
      <c r="G362" s="81"/>
      <c r="H362" s="82"/>
      <c r="I362" s="83">
        <f>SUM(I354:I355)</f>
      </c>
      <c r="J362" s="84">
        <f>SUM(J354:J355)</f>
        <v>5</v>
      </c>
      <c r="K362" s="84">
        <f>SUM(K354:K355)</f>
        <v>3</v>
      </c>
      <c r="L362" s="84">
        <f>SUM(L354:L355)</f>
        <v>7</v>
      </c>
      <c r="M362" s="84">
        <f>SUM(M354:M355)</f>
        <v>6</v>
      </c>
      <c r="N362" s="84">
        <f>SUM(N354:N355)</f>
        <v>22</v>
      </c>
      <c r="O362" s="84">
        <f>SUM(O354:O355)</f>
        <v>29</v>
      </c>
      <c r="P362" s="84">
        <f>SUM(P354:P355)</f>
        <v>57</v>
      </c>
      <c r="Q362" s="84">
        <f>SUM(Q354:Q355)</f>
        <v>6</v>
      </c>
      <c r="R362" s="84">
        <f>SUM(R354:R355)</f>
        <v>20</v>
      </c>
      <c r="S362" s="84">
        <f>SUM(S354:S355)</f>
        <v>1</v>
      </c>
      <c r="T362" s="84">
        <f>SUM(T354:T355)</f>
        <v>6</v>
      </c>
      <c r="U362" s="84">
        <f>SUM(U354:U355)</f>
        <v>7</v>
      </c>
      <c r="V362" s="84">
        <f>SUM(V354:V355)</f>
        <v>6</v>
      </c>
      <c r="W362" s="84">
        <f>SUM(W354:W355)</f>
        <v>9</v>
      </c>
      <c r="X362" s="84">
        <f>SUM(X354:X355)</f>
        <v>4</v>
      </c>
      <c r="Y362" s="84">
        <f>SUM(Y354:Y355)</f>
        <v>24</v>
      </c>
      <c r="Z362" s="84">
        <f>SUM(Z354:Z355)</f>
        <v>28</v>
      </c>
      <c r="AA362" s="84">
        <f>SUM(AA354:AA355)</f>
        <v>19</v>
      </c>
      <c r="AB362" s="84">
        <f>SUM(AB354:AB355)</f>
      </c>
      <c r="AC362" s="84">
        <f>SUM(AC354:AC355)</f>
        <v>2</v>
      </c>
      <c r="AD362" s="84">
        <f>SUM(AD354:AD355)</f>
      </c>
      <c r="AE362" s="84">
        <f>SUM(AE354:AE355)</f>
        <v>2</v>
      </c>
      <c r="AF362" s="84">
        <f>SUM(AF354:AF355)</f>
      </c>
      <c r="AG362" s="84">
        <f>SUM(AG354:AG355)</f>
        <v>7</v>
      </c>
      <c r="AH362" s="84">
        <f>SUM(AH354:AH355)</f>
        <v>14</v>
      </c>
      <c r="AI362" s="84">
        <f>SUM(AI354:AI355)</f>
      </c>
      <c r="AJ362" s="84">
        <f>SUM(AJ354:AJ355)</f>
        <v>5</v>
      </c>
      <c r="AK362" s="84">
        <f>SUM(AK354:AK355)</f>
        <v>3</v>
      </c>
      <c r="AL362" s="84">
        <f>SUM(AL354:AL355)</f>
      </c>
      <c r="AM362" s="84">
        <f>SUM(AM354:AM355)</f>
        <v>2</v>
      </c>
      <c r="AN362" s="84">
        <f>SUM(AN354:AN355)</f>
      </c>
      <c r="AO362" s="84">
        <f>SUM(AO354:AO355)</f>
      </c>
      <c r="AP362" s="84">
        <f>SUM(AP354:AP355)</f>
        <v>19</v>
      </c>
      <c r="AQ362" s="84">
        <f>SUM(AQ354:AQ355)</f>
        <v>41</v>
      </c>
      <c r="AR362" s="84">
        <f>SUM(AR354:AR355)</f>
        <v>24</v>
      </c>
      <c r="AS362" s="84">
        <f>SUM(AS354:AS355)</f>
        <v>28</v>
      </c>
      <c r="AT362" s="84">
        <f>SUM(AT354:AT355)</f>
        <v>14</v>
      </c>
      <c r="AU362" s="85">
        <f>SUM(I362:AT362)</f>
        <v>420</v>
      </c>
    </row>
    <row r="363" ht="16.5" customHeight="1" spans="1:47" x14ac:dyDescent="0.25">
      <c r="A363" s="24"/>
      <c r="B363" s="205" t="s">
        <v>521</v>
      </c>
      <c r="C363" s="206" t="s">
        <v>522</v>
      </c>
      <c r="D363" s="207" t="s">
        <v>83</v>
      </c>
      <c r="E363" s="208"/>
      <c r="F363" s="209" t="s">
        <v>523</v>
      </c>
      <c r="G363" s="210"/>
      <c r="H363" s="211"/>
      <c r="I363" s="212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  <c r="AB363" s="213"/>
      <c r="AC363" s="213"/>
      <c r="AD363" s="213"/>
      <c r="AE363" s="213"/>
      <c r="AF363" s="213"/>
      <c r="AG363" s="213"/>
      <c r="AH363" s="213"/>
      <c r="AI363" s="213"/>
      <c r="AJ363" s="213"/>
      <c r="AK363" s="213"/>
      <c r="AL363" s="213"/>
      <c r="AM363" s="213"/>
      <c r="AN363" s="213"/>
      <c r="AO363" s="213"/>
      <c r="AP363" s="213"/>
      <c r="AQ363" s="213"/>
      <c r="AR363" s="213"/>
      <c r="AS363" s="213"/>
      <c r="AT363" s="214"/>
      <c r="AU363" s="215">
        <f>SUM(I363:AT363)</f>
        <v>287</v>
      </c>
    </row>
    <row r="364" ht="16.5" customHeight="1" hidden="1" spans="1:47" x14ac:dyDescent="0.25" outlineLevel="1" collapsed="1">
      <c r="A364" s="24"/>
      <c r="B364" s="35"/>
      <c r="C364" s="206" t="s">
        <v>524</v>
      </c>
      <c r="D364" s="207" t="s">
        <v>94</v>
      </c>
      <c r="E364" s="208"/>
      <c r="F364" s="209" t="s">
        <v>523</v>
      </c>
      <c r="G364" s="210"/>
      <c r="H364" s="211"/>
      <c r="I364" s="59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1"/>
      <c r="AU364" s="62">
        <f>SUM(I364:AT364)</f>
      </c>
    </row>
    <row r="365" ht="16.5" customHeight="1" hidden="1" spans="1:47" x14ac:dyDescent="0.25" outlineLevel="1" collapsed="1">
      <c r="A365" s="24"/>
      <c r="B365" s="35"/>
      <c r="C365" s="206" t="s">
        <v>525</v>
      </c>
      <c r="D365" s="207" t="s">
        <v>100</v>
      </c>
      <c r="E365" s="208"/>
      <c r="F365" s="209" t="s">
        <v>523</v>
      </c>
      <c r="G365" s="210"/>
      <c r="H365" s="211"/>
      <c r="I365" s="63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5"/>
      <c r="AU365" s="66">
        <f>SUM(I365:AT365)</f>
      </c>
    </row>
    <row r="366" ht="16.5" customHeight="1" hidden="1" spans="1:47" x14ac:dyDescent="0.25" outlineLevel="1" collapsed="1">
      <c r="A366" s="24"/>
      <c r="B366" s="35"/>
      <c r="C366" s="206" t="s">
        <v>526</v>
      </c>
      <c r="D366" s="207" t="s">
        <v>106</v>
      </c>
      <c r="E366" s="208"/>
      <c r="F366" s="209" t="s">
        <v>523</v>
      </c>
      <c r="G366" s="210"/>
      <c r="H366" s="211"/>
      <c r="I366" s="76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8"/>
      <c r="AU366" s="70">
        <f>SUM(I366:AT366)</f>
      </c>
    </row>
    <row r="367" ht="16.5" customHeight="1" spans="1:47" x14ac:dyDescent="0.25">
      <c r="A367" s="216"/>
      <c r="B367" s="80" t="s">
        <v>527</v>
      </c>
      <c r="C367" s="81"/>
      <c r="D367" s="81"/>
      <c r="E367" s="81"/>
      <c r="F367" s="81"/>
      <c r="G367" s="81"/>
      <c r="H367" s="82"/>
      <c r="I367" s="83">
        <f>SUM(I363)</f>
      </c>
      <c r="J367" s="84">
        <f>SUM(J363)</f>
        <v>7</v>
      </c>
      <c r="K367" s="84">
        <f>SUM(K363)</f>
        <v>5</v>
      </c>
      <c r="L367" s="84">
        <f>SUM(L363)</f>
        <v>5</v>
      </c>
      <c r="M367" s="84">
        <f>SUM(M363)</f>
        <v>5</v>
      </c>
      <c r="N367" s="84">
        <f>SUM(N363)</f>
        <v>10</v>
      </c>
      <c r="O367" s="84">
        <f>SUM(O363)</f>
        <v>14</v>
      </c>
      <c r="P367" s="84">
        <f>SUM(P363)</f>
        <v>49</v>
      </c>
      <c r="Q367" s="84">
        <f>SUM(Q363)</f>
        <v>6</v>
      </c>
      <c r="R367" s="84">
        <f>SUM(R363)</f>
        <v>8</v>
      </c>
      <c r="S367" s="84">
        <f>SUM(S363)</f>
      </c>
      <c r="T367" s="84">
        <f>SUM(T363)</f>
        <v>6</v>
      </c>
      <c r="U367" s="84">
        <f>SUM(U363)</f>
        <v>4</v>
      </c>
      <c r="V367" s="84">
        <f>SUM(V363)</f>
        <v>5</v>
      </c>
      <c r="W367" s="84">
        <f>SUM(W363)</f>
        <v>3</v>
      </c>
      <c r="X367" s="84">
        <f>SUM(X363)</f>
        <v>2</v>
      </c>
      <c r="Y367" s="84">
        <f>SUM(Y363)</f>
        <v>3</v>
      </c>
      <c r="Z367" s="84">
        <f>SUM(Z363)</f>
        <v>16</v>
      </c>
      <c r="AA367" s="84">
        <f>SUM(AA363)</f>
        <v>21</v>
      </c>
      <c r="AB367" s="84">
        <f>SUM(AB363)</f>
      </c>
      <c r="AC367" s="84">
        <f>SUM(AC363)</f>
        <v>1</v>
      </c>
      <c r="AD367" s="84">
        <f>SUM(AD363)</f>
      </c>
      <c r="AE367" s="84">
        <f>SUM(AE363)</f>
      </c>
      <c r="AF367" s="84">
        <f>SUM(AF363)</f>
      </c>
      <c r="AG367" s="84">
        <f>SUM(AG363)</f>
        <v>6</v>
      </c>
      <c r="AH367" s="84">
        <f>SUM(AH363)</f>
        <v>11</v>
      </c>
      <c r="AI367" s="84">
        <f>SUM(AI363)</f>
      </c>
      <c r="AJ367" s="84">
        <f>SUM(AJ363)</f>
      </c>
      <c r="AK367" s="84">
        <f>SUM(AK363)</f>
      </c>
      <c r="AL367" s="84">
        <f>SUM(AL363)</f>
      </c>
      <c r="AM367" s="84">
        <f>SUM(AM363)</f>
      </c>
      <c r="AN367" s="84">
        <f>SUM(AN363)</f>
      </c>
      <c r="AO367" s="84">
        <f>SUM(AO363)</f>
      </c>
      <c r="AP367" s="84">
        <f>SUM(AP363)</f>
        <v>14</v>
      </c>
      <c r="AQ367" s="84">
        <f>SUM(AQ363)</f>
        <v>37</v>
      </c>
      <c r="AR367" s="84">
        <f>SUM(AR363)</f>
        <v>13</v>
      </c>
      <c r="AS367" s="84">
        <f>SUM(AS363)</f>
        <v>29</v>
      </c>
      <c r="AT367" s="84">
        <f>SUM(AT363)</f>
        <v>7</v>
      </c>
      <c r="AU367" s="85">
        <f>SUM(I367:AT367)</f>
        <v>287</v>
      </c>
    </row>
    <row r="368" ht="15.75" customHeight="1" spans="1:47" x14ac:dyDescent="0.25">
      <c r="A368" s="217" t="s">
        <v>528</v>
      </c>
      <c r="B368" s="128" t="s">
        <v>529</v>
      </c>
      <c r="C368" s="129" t="s">
        <v>530</v>
      </c>
      <c r="D368" s="130" t="s">
        <v>83</v>
      </c>
      <c r="E368" s="108"/>
      <c r="F368" s="130" t="s">
        <v>531</v>
      </c>
      <c r="G368" s="108"/>
      <c r="H368" s="218" t="s">
        <v>117</v>
      </c>
      <c r="I368" s="31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3"/>
      <c r="AU368" s="123">
        <f>SUM(I368:AT368)</f>
      </c>
    </row>
    <row r="369" ht="15.75" customHeight="1" spans="1:47" x14ac:dyDescent="0.25">
      <c r="A369" s="219"/>
      <c r="B369" s="35"/>
      <c r="C369" s="174" t="s">
        <v>532</v>
      </c>
      <c r="D369" s="94"/>
      <c r="E369" s="95"/>
      <c r="F369" s="94"/>
      <c r="G369" s="95"/>
      <c r="H369" s="220" t="s">
        <v>119</v>
      </c>
      <c r="I369" s="41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3"/>
      <c r="AU369" s="44">
        <f>SUM(I369:AT369)</f>
      </c>
    </row>
    <row r="370" ht="16.5" customHeight="1" spans="1:47" x14ac:dyDescent="0.25">
      <c r="A370" s="219"/>
      <c r="B370" s="35"/>
      <c r="C370" s="174" t="s">
        <v>533</v>
      </c>
      <c r="D370" s="94"/>
      <c r="E370" s="95"/>
      <c r="F370" s="102"/>
      <c r="G370" s="103"/>
      <c r="H370" s="221" t="s">
        <v>163</v>
      </c>
      <c r="I370" s="50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2"/>
      <c r="AU370" s="53">
        <f>SUM(I370:AT370)</f>
      </c>
    </row>
    <row r="371" ht="16.5" customHeight="1" spans="1:47" x14ac:dyDescent="0.25">
      <c r="A371" s="219"/>
      <c r="B371" s="35"/>
      <c r="C371" s="174" t="s">
        <v>534</v>
      </c>
      <c r="D371" s="94"/>
      <c r="E371" s="95"/>
      <c r="F371" s="222" t="s">
        <v>535</v>
      </c>
      <c r="G371" s="208"/>
      <c r="H371" s="223" t="s">
        <v>163</v>
      </c>
      <c r="I371" s="224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  <c r="AA371" s="225"/>
      <c r="AB371" s="225"/>
      <c r="AC371" s="225"/>
      <c r="AD371" s="225"/>
      <c r="AE371" s="225"/>
      <c r="AF371" s="225"/>
      <c r="AG371" s="225"/>
      <c r="AH371" s="225"/>
      <c r="AI371" s="225"/>
      <c r="AJ371" s="225"/>
      <c r="AK371" s="225"/>
      <c r="AL371" s="225"/>
      <c r="AM371" s="225"/>
      <c r="AN371" s="225"/>
      <c r="AO371" s="225"/>
      <c r="AP371" s="225"/>
      <c r="AQ371" s="225"/>
      <c r="AR371" s="225"/>
      <c r="AS371" s="225"/>
      <c r="AT371" s="226"/>
      <c r="AU371" s="215">
        <f>SUM(I371:AT371)</f>
      </c>
    </row>
    <row r="372" ht="16.5" customHeight="1" spans="1:47" x14ac:dyDescent="0.25">
      <c r="A372" s="219"/>
      <c r="B372" s="35"/>
      <c r="C372" s="174" t="s">
        <v>536</v>
      </c>
      <c r="D372" s="94"/>
      <c r="E372" s="95"/>
      <c r="F372" s="222" t="s">
        <v>537</v>
      </c>
      <c r="G372" s="208"/>
      <c r="H372" s="223" t="s">
        <v>163</v>
      </c>
      <c r="I372" s="224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  <c r="AA372" s="225"/>
      <c r="AB372" s="225"/>
      <c r="AC372" s="225"/>
      <c r="AD372" s="225"/>
      <c r="AE372" s="225"/>
      <c r="AF372" s="225"/>
      <c r="AG372" s="225"/>
      <c r="AH372" s="225"/>
      <c r="AI372" s="225"/>
      <c r="AJ372" s="225"/>
      <c r="AK372" s="225"/>
      <c r="AL372" s="225"/>
      <c r="AM372" s="225"/>
      <c r="AN372" s="225"/>
      <c r="AO372" s="225"/>
      <c r="AP372" s="225"/>
      <c r="AQ372" s="225"/>
      <c r="AR372" s="225"/>
      <c r="AS372" s="225"/>
      <c r="AT372" s="226"/>
      <c r="AU372" s="215">
        <f>SUM(I372:AT372)</f>
      </c>
    </row>
    <row r="373" ht="16.5" customHeight="1" spans="1:47" x14ac:dyDescent="0.25">
      <c r="A373" s="219"/>
      <c r="B373" s="35"/>
      <c r="C373" s="174" t="s">
        <v>538</v>
      </c>
      <c r="D373" s="94"/>
      <c r="E373" s="95"/>
      <c r="F373" s="222" t="s">
        <v>539</v>
      </c>
      <c r="G373" s="208"/>
      <c r="H373" s="223" t="s">
        <v>163</v>
      </c>
      <c r="I373" s="224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  <c r="AA373" s="225"/>
      <c r="AB373" s="225"/>
      <c r="AC373" s="225"/>
      <c r="AD373" s="225"/>
      <c r="AE373" s="225"/>
      <c r="AF373" s="225"/>
      <c r="AG373" s="225"/>
      <c r="AH373" s="225"/>
      <c r="AI373" s="225"/>
      <c r="AJ373" s="225"/>
      <c r="AK373" s="225"/>
      <c r="AL373" s="225"/>
      <c r="AM373" s="225"/>
      <c r="AN373" s="225"/>
      <c r="AO373" s="225"/>
      <c r="AP373" s="225"/>
      <c r="AQ373" s="225"/>
      <c r="AR373" s="225"/>
      <c r="AS373" s="225"/>
      <c r="AT373" s="226"/>
      <c r="AU373" s="215">
        <f>SUM(I373:AT373)</f>
      </c>
    </row>
    <row r="374" ht="16.5" customHeight="1" spans="1:47" x14ac:dyDescent="0.25">
      <c r="A374" s="219"/>
      <c r="B374" s="35"/>
      <c r="C374" s="131" t="s">
        <v>540</v>
      </c>
      <c r="D374" s="102"/>
      <c r="E374" s="103"/>
      <c r="F374" s="222" t="s">
        <v>124</v>
      </c>
      <c r="G374" s="208"/>
      <c r="H374" s="223" t="s">
        <v>163</v>
      </c>
      <c r="I374" s="224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  <c r="AA374" s="225"/>
      <c r="AB374" s="225"/>
      <c r="AC374" s="225"/>
      <c r="AD374" s="225"/>
      <c r="AE374" s="225"/>
      <c r="AF374" s="225"/>
      <c r="AG374" s="225"/>
      <c r="AH374" s="225"/>
      <c r="AI374" s="225"/>
      <c r="AJ374" s="225"/>
      <c r="AK374" s="225"/>
      <c r="AL374" s="225"/>
      <c r="AM374" s="225"/>
      <c r="AN374" s="225"/>
      <c r="AO374" s="225"/>
      <c r="AP374" s="225"/>
      <c r="AQ374" s="225"/>
      <c r="AR374" s="225"/>
      <c r="AS374" s="225"/>
      <c r="AT374" s="226"/>
      <c r="AU374" s="215">
        <f>SUM(I374:AT374)</f>
      </c>
    </row>
    <row r="375" ht="15.75" customHeight="1" hidden="1" spans="1:47" x14ac:dyDescent="0.25" outlineLevel="1" collapsed="1">
      <c r="A375" s="219"/>
      <c r="B375" s="35"/>
      <c r="C375" s="129" t="s">
        <v>541</v>
      </c>
      <c r="D375" s="130" t="s">
        <v>94</v>
      </c>
      <c r="E375" s="108"/>
      <c r="F375" s="130" t="s">
        <v>531</v>
      </c>
      <c r="G375" s="108"/>
      <c r="H375" s="218" t="s">
        <v>117</v>
      </c>
      <c r="I375" s="59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1"/>
      <c r="AU375" s="62">
        <f>SUM(I375:AT375)</f>
      </c>
    </row>
    <row r="376" ht="15.75" customHeight="1" hidden="1" spans="1:47" x14ac:dyDescent="0.25" outlineLevel="1" collapsed="1">
      <c r="A376" s="219"/>
      <c r="B376" s="35"/>
      <c r="C376" s="174" t="s">
        <v>542</v>
      </c>
      <c r="D376" s="94"/>
      <c r="E376" s="95"/>
      <c r="F376" s="94"/>
      <c r="G376" s="95"/>
      <c r="H376" s="220" t="s">
        <v>119</v>
      </c>
      <c r="I376" s="63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5"/>
      <c r="AU376" s="66">
        <f>SUM(I376:AT376)</f>
      </c>
    </row>
    <row r="377" ht="16.5" customHeight="1" hidden="1" spans="1:47" x14ac:dyDescent="0.25" outlineLevel="1" collapsed="1">
      <c r="A377" s="219"/>
      <c r="B377" s="35"/>
      <c r="C377" s="174" t="s">
        <v>543</v>
      </c>
      <c r="D377" s="94"/>
      <c r="E377" s="95"/>
      <c r="F377" s="102"/>
      <c r="G377" s="103"/>
      <c r="H377" s="221" t="s">
        <v>163</v>
      </c>
      <c r="I377" s="67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9"/>
      <c r="AU377" s="70">
        <f>SUM(I377:AT377)</f>
      </c>
    </row>
    <row r="378" ht="16.5" customHeight="1" hidden="1" spans="1:47" x14ac:dyDescent="0.25" outlineLevel="1" collapsed="1">
      <c r="A378" s="219"/>
      <c r="B378" s="35"/>
      <c r="C378" s="174" t="s">
        <v>544</v>
      </c>
      <c r="D378" s="94"/>
      <c r="E378" s="95"/>
      <c r="F378" s="222" t="s">
        <v>535</v>
      </c>
      <c r="G378" s="208"/>
      <c r="H378" s="223" t="s">
        <v>163</v>
      </c>
      <c r="I378" s="227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  <c r="AC378" s="228"/>
      <c r="AD378" s="228"/>
      <c r="AE378" s="228"/>
      <c r="AF378" s="228"/>
      <c r="AG378" s="228"/>
      <c r="AH378" s="228"/>
      <c r="AI378" s="228"/>
      <c r="AJ378" s="228"/>
      <c r="AK378" s="228"/>
      <c r="AL378" s="228"/>
      <c r="AM378" s="228"/>
      <c r="AN378" s="228"/>
      <c r="AO378" s="228"/>
      <c r="AP378" s="228"/>
      <c r="AQ378" s="228"/>
      <c r="AR378" s="228"/>
      <c r="AS378" s="228"/>
      <c r="AT378" s="229"/>
      <c r="AU378" s="230">
        <f>SUM(I378:AT378)</f>
      </c>
    </row>
    <row r="379" ht="16.5" customHeight="1" hidden="1" spans="1:47" x14ac:dyDescent="0.25" outlineLevel="1" collapsed="1">
      <c r="A379" s="219"/>
      <c r="B379" s="35"/>
      <c r="C379" s="174" t="s">
        <v>545</v>
      </c>
      <c r="D379" s="94"/>
      <c r="E379" s="95"/>
      <c r="F379" s="222" t="s">
        <v>537</v>
      </c>
      <c r="G379" s="208"/>
      <c r="H379" s="223" t="s">
        <v>163</v>
      </c>
      <c r="I379" s="227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  <c r="AC379" s="228"/>
      <c r="AD379" s="228"/>
      <c r="AE379" s="228"/>
      <c r="AF379" s="228"/>
      <c r="AG379" s="228"/>
      <c r="AH379" s="228"/>
      <c r="AI379" s="228"/>
      <c r="AJ379" s="228"/>
      <c r="AK379" s="228"/>
      <c r="AL379" s="228"/>
      <c r="AM379" s="228"/>
      <c r="AN379" s="228"/>
      <c r="AO379" s="228"/>
      <c r="AP379" s="228"/>
      <c r="AQ379" s="228"/>
      <c r="AR379" s="228"/>
      <c r="AS379" s="228"/>
      <c r="AT379" s="229"/>
      <c r="AU379" s="230">
        <f>SUM(I379:AT379)</f>
      </c>
    </row>
    <row r="380" ht="16.5" customHeight="1" hidden="1" spans="1:47" x14ac:dyDescent="0.25" outlineLevel="1" collapsed="1">
      <c r="A380" s="219"/>
      <c r="B380" s="35"/>
      <c r="C380" s="174" t="s">
        <v>546</v>
      </c>
      <c r="D380" s="94"/>
      <c r="E380" s="95"/>
      <c r="F380" s="222" t="s">
        <v>539</v>
      </c>
      <c r="G380" s="208"/>
      <c r="H380" s="223" t="s">
        <v>163</v>
      </c>
      <c r="I380" s="227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  <c r="AC380" s="228"/>
      <c r="AD380" s="228"/>
      <c r="AE380" s="228"/>
      <c r="AF380" s="228"/>
      <c r="AG380" s="228"/>
      <c r="AH380" s="228"/>
      <c r="AI380" s="228"/>
      <c r="AJ380" s="228"/>
      <c r="AK380" s="228"/>
      <c r="AL380" s="228"/>
      <c r="AM380" s="228"/>
      <c r="AN380" s="228"/>
      <c r="AO380" s="228"/>
      <c r="AP380" s="228"/>
      <c r="AQ380" s="228"/>
      <c r="AR380" s="228"/>
      <c r="AS380" s="228"/>
      <c r="AT380" s="229"/>
      <c r="AU380" s="230">
        <f>SUM(I380:AT380)</f>
      </c>
    </row>
    <row r="381" ht="16.5" customHeight="1" hidden="1" spans="1:47" x14ac:dyDescent="0.25" outlineLevel="1" collapsed="1">
      <c r="A381" s="219"/>
      <c r="B381" s="35"/>
      <c r="C381" s="131" t="s">
        <v>547</v>
      </c>
      <c r="D381" s="102"/>
      <c r="E381" s="103"/>
      <c r="F381" s="222" t="s">
        <v>124</v>
      </c>
      <c r="G381" s="208"/>
      <c r="H381" s="223" t="s">
        <v>163</v>
      </c>
      <c r="I381" s="227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  <c r="AC381" s="228"/>
      <c r="AD381" s="228"/>
      <c r="AE381" s="228"/>
      <c r="AF381" s="228"/>
      <c r="AG381" s="228"/>
      <c r="AH381" s="228"/>
      <c r="AI381" s="228"/>
      <c r="AJ381" s="228"/>
      <c r="AK381" s="228"/>
      <c r="AL381" s="228"/>
      <c r="AM381" s="228"/>
      <c r="AN381" s="228"/>
      <c r="AO381" s="228"/>
      <c r="AP381" s="228"/>
      <c r="AQ381" s="228"/>
      <c r="AR381" s="228"/>
      <c r="AS381" s="228"/>
      <c r="AT381" s="229"/>
      <c r="AU381" s="230">
        <f>SUM(I381:AT381)</f>
      </c>
    </row>
    <row r="382" ht="15.75" customHeight="1" hidden="1" spans="1:47" x14ac:dyDescent="0.25" outlineLevel="1" collapsed="1">
      <c r="A382" s="219"/>
      <c r="B382" s="35"/>
      <c r="C382" s="129" t="s">
        <v>548</v>
      </c>
      <c r="D382" s="130" t="s">
        <v>100</v>
      </c>
      <c r="E382" s="108"/>
      <c r="F382" s="130" t="s">
        <v>531</v>
      </c>
      <c r="G382" s="108"/>
      <c r="H382" s="218" t="s">
        <v>117</v>
      </c>
      <c r="I382" s="59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1"/>
      <c r="AU382" s="62">
        <f>SUM(I382:AT382)</f>
      </c>
    </row>
    <row r="383" ht="15.75" customHeight="1" hidden="1" spans="1:47" x14ac:dyDescent="0.25" outlineLevel="1" collapsed="1">
      <c r="A383" s="219"/>
      <c r="B383" s="35"/>
      <c r="C383" s="174" t="s">
        <v>549</v>
      </c>
      <c r="D383" s="94"/>
      <c r="E383" s="95"/>
      <c r="F383" s="94"/>
      <c r="G383" s="95"/>
      <c r="H383" s="220" t="s">
        <v>119</v>
      </c>
      <c r="I383" s="63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5"/>
      <c r="AU383" s="66">
        <f>SUM(I383:AT383)</f>
      </c>
    </row>
    <row r="384" ht="16.5" customHeight="1" hidden="1" spans="1:47" x14ac:dyDescent="0.25" outlineLevel="1" collapsed="1">
      <c r="A384" s="219"/>
      <c r="B384" s="35"/>
      <c r="C384" s="174" t="s">
        <v>550</v>
      </c>
      <c r="D384" s="94"/>
      <c r="E384" s="95"/>
      <c r="F384" s="102"/>
      <c r="G384" s="103"/>
      <c r="H384" s="221" t="s">
        <v>163</v>
      </c>
      <c r="I384" s="67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9"/>
      <c r="AU384" s="70">
        <f>SUM(I384:AT384)</f>
      </c>
    </row>
    <row r="385" ht="16.5" customHeight="1" hidden="1" spans="1:47" x14ac:dyDescent="0.25" outlineLevel="1" collapsed="1">
      <c r="A385" s="219"/>
      <c r="B385" s="35"/>
      <c r="C385" s="174" t="s">
        <v>551</v>
      </c>
      <c r="D385" s="94"/>
      <c r="E385" s="95"/>
      <c r="F385" s="222" t="s">
        <v>535</v>
      </c>
      <c r="G385" s="208"/>
      <c r="H385" s="223" t="s">
        <v>163</v>
      </c>
      <c r="I385" s="227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  <c r="AC385" s="228"/>
      <c r="AD385" s="228"/>
      <c r="AE385" s="228"/>
      <c r="AF385" s="228"/>
      <c r="AG385" s="228"/>
      <c r="AH385" s="228"/>
      <c r="AI385" s="228"/>
      <c r="AJ385" s="228"/>
      <c r="AK385" s="228"/>
      <c r="AL385" s="228"/>
      <c r="AM385" s="228"/>
      <c r="AN385" s="228"/>
      <c r="AO385" s="228"/>
      <c r="AP385" s="228"/>
      <c r="AQ385" s="228"/>
      <c r="AR385" s="228"/>
      <c r="AS385" s="228"/>
      <c r="AT385" s="229"/>
      <c r="AU385" s="230">
        <f>SUM(I385:AT385)</f>
      </c>
    </row>
    <row r="386" ht="16.5" customHeight="1" hidden="1" spans="1:47" x14ac:dyDescent="0.25" outlineLevel="1" collapsed="1">
      <c r="A386" s="219"/>
      <c r="B386" s="35"/>
      <c r="C386" s="174" t="s">
        <v>552</v>
      </c>
      <c r="D386" s="94"/>
      <c r="E386" s="95"/>
      <c r="F386" s="222" t="s">
        <v>537</v>
      </c>
      <c r="G386" s="208"/>
      <c r="H386" s="223" t="s">
        <v>163</v>
      </c>
      <c r="I386" s="227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  <c r="AC386" s="228"/>
      <c r="AD386" s="228"/>
      <c r="AE386" s="228"/>
      <c r="AF386" s="228"/>
      <c r="AG386" s="228"/>
      <c r="AH386" s="228"/>
      <c r="AI386" s="228"/>
      <c r="AJ386" s="228"/>
      <c r="AK386" s="228"/>
      <c r="AL386" s="228"/>
      <c r="AM386" s="228"/>
      <c r="AN386" s="228"/>
      <c r="AO386" s="228"/>
      <c r="AP386" s="228"/>
      <c r="AQ386" s="228"/>
      <c r="AR386" s="228"/>
      <c r="AS386" s="228"/>
      <c r="AT386" s="229"/>
      <c r="AU386" s="230">
        <f>SUM(I386:AT386)</f>
      </c>
    </row>
    <row r="387" ht="16.5" customHeight="1" hidden="1" spans="1:47" x14ac:dyDescent="0.25" outlineLevel="1" collapsed="1">
      <c r="A387" s="219"/>
      <c r="B387" s="35"/>
      <c r="C387" s="174" t="s">
        <v>553</v>
      </c>
      <c r="D387" s="94"/>
      <c r="E387" s="95"/>
      <c r="F387" s="222" t="s">
        <v>539</v>
      </c>
      <c r="G387" s="208"/>
      <c r="H387" s="223" t="s">
        <v>163</v>
      </c>
      <c r="I387" s="227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  <c r="AC387" s="228"/>
      <c r="AD387" s="228"/>
      <c r="AE387" s="228"/>
      <c r="AF387" s="228"/>
      <c r="AG387" s="228"/>
      <c r="AH387" s="228"/>
      <c r="AI387" s="228"/>
      <c r="AJ387" s="228"/>
      <c r="AK387" s="228"/>
      <c r="AL387" s="228"/>
      <c r="AM387" s="228"/>
      <c r="AN387" s="228"/>
      <c r="AO387" s="228"/>
      <c r="AP387" s="228"/>
      <c r="AQ387" s="228"/>
      <c r="AR387" s="228"/>
      <c r="AS387" s="228"/>
      <c r="AT387" s="229"/>
      <c r="AU387" s="230">
        <f>SUM(I387:AT387)</f>
      </c>
    </row>
    <row r="388" ht="16.5" customHeight="1" hidden="1" spans="1:47" x14ac:dyDescent="0.25" outlineLevel="1" collapsed="1">
      <c r="A388" s="219"/>
      <c r="B388" s="35"/>
      <c r="C388" s="131" t="s">
        <v>554</v>
      </c>
      <c r="D388" s="102"/>
      <c r="E388" s="103"/>
      <c r="F388" s="222" t="s">
        <v>124</v>
      </c>
      <c r="G388" s="208"/>
      <c r="H388" s="223" t="s">
        <v>163</v>
      </c>
      <c r="I388" s="227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  <c r="AC388" s="228"/>
      <c r="AD388" s="228"/>
      <c r="AE388" s="228"/>
      <c r="AF388" s="228"/>
      <c r="AG388" s="228"/>
      <c r="AH388" s="228"/>
      <c r="AI388" s="228"/>
      <c r="AJ388" s="228"/>
      <c r="AK388" s="228"/>
      <c r="AL388" s="228"/>
      <c r="AM388" s="228"/>
      <c r="AN388" s="228"/>
      <c r="AO388" s="228"/>
      <c r="AP388" s="228"/>
      <c r="AQ388" s="228"/>
      <c r="AR388" s="228"/>
      <c r="AS388" s="228"/>
      <c r="AT388" s="229"/>
      <c r="AU388" s="230">
        <f>SUM(I388:AT388)</f>
      </c>
    </row>
    <row r="389" ht="15.75" customHeight="1" hidden="1" spans="1:47" x14ac:dyDescent="0.25" outlineLevel="1" collapsed="1">
      <c r="A389" s="219"/>
      <c r="B389" s="35"/>
      <c r="C389" s="129" t="s">
        <v>555</v>
      </c>
      <c r="D389" s="130" t="s">
        <v>106</v>
      </c>
      <c r="E389" s="108"/>
      <c r="F389" s="130" t="s">
        <v>531</v>
      </c>
      <c r="G389" s="108"/>
      <c r="H389" s="218" t="s">
        <v>117</v>
      </c>
      <c r="I389" s="59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1"/>
      <c r="AU389" s="62">
        <f>SUM(I389:AT389)</f>
      </c>
    </row>
    <row r="390" ht="15.75" customHeight="1" hidden="1" spans="1:47" x14ac:dyDescent="0.25" outlineLevel="1" collapsed="1">
      <c r="A390" s="219"/>
      <c r="B390" s="35"/>
      <c r="C390" s="174" t="s">
        <v>556</v>
      </c>
      <c r="D390" s="94"/>
      <c r="E390" s="95"/>
      <c r="F390" s="94"/>
      <c r="G390" s="95"/>
      <c r="H390" s="220" t="s">
        <v>119</v>
      </c>
      <c r="I390" s="63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5"/>
      <c r="AU390" s="66">
        <f>SUM(I390:AT390)</f>
      </c>
    </row>
    <row r="391" ht="16.5" customHeight="1" hidden="1" spans="1:47" x14ac:dyDescent="0.25" outlineLevel="1" collapsed="1">
      <c r="A391" s="219"/>
      <c r="B391" s="35"/>
      <c r="C391" s="174" t="s">
        <v>557</v>
      </c>
      <c r="D391" s="94"/>
      <c r="E391" s="95"/>
      <c r="F391" s="102"/>
      <c r="G391" s="103"/>
      <c r="H391" s="221" t="s">
        <v>163</v>
      </c>
      <c r="I391" s="67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9"/>
      <c r="AU391" s="70">
        <f>SUM(I391:AT391)</f>
      </c>
    </row>
    <row r="392" ht="16.5" customHeight="1" hidden="1" spans="1:47" x14ac:dyDescent="0.25" outlineLevel="1" collapsed="1">
      <c r="A392" s="219"/>
      <c r="B392" s="35"/>
      <c r="C392" s="174" t="s">
        <v>558</v>
      </c>
      <c r="D392" s="94"/>
      <c r="E392" s="95"/>
      <c r="F392" s="222" t="s">
        <v>535</v>
      </c>
      <c r="G392" s="208"/>
      <c r="H392" s="223" t="s">
        <v>163</v>
      </c>
      <c r="I392" s="227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  <c r="AC392" s="228"/>
      <c r="AD392" s="228"/>
      <c r="AE392" s="228"/>
      <c r="AF392" s="228"/>
      <c r="AG392" s="228"/>
      <c r="AH392" s="228"/>
      <c r="AI392" s="228"/>
      <c r="AJ392" s="228"/>
      <c r="AK392" s="228"/>
      <c r="AL392" s="228"/>
      <c r="AM392" s="228"/>
      <c r="AN392" s="228"/>
      <c r="AO392" s="228"/>
      <c r="AP392" s="228"/>
      <c r="AQ392" s="228"/>
      <c r="AR392" s="228"/>
      <c r="AS392" s="228"/>
      <c r="AT392" s="229"/>
      <c r="AU392" s="230">
        <f>SUM(I392:AT392)</f>
      </c>
    </row>
    <row r="393" ht="16.5" customHeight="1" hidden="1" spans="1:47" x14ac:dyDescent="0.25" outlineLevel="1" collapsed="1">
      <c r="A393" s="219"/>
      <c r="B393" s="35"/>
      <c r="C393" s="174" t="s">
        <v>559</v>
      </c>
      <c r="D393" s="94"/>
      <c r="E393" s="95"/>
      <c r="F393" s="222" t="s">
        <v>537</v>
      </c>
      <c r="G393" s="208"/>
      <c r="H393" s="223" t="s">
        <v>163</v>
      </c>
      <c r="I393" s="227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  <c r="AC393" s="228"/>
      <c r="AD393" s="228"/>
      <c r="AE393" s="228"/>
      <c r="AF393" s="228"/>
      <c r="AG393" s="228"/>
      <c r="AH393" s="228"/>
      <c r="AI393" s="228"/>
      <c r="AJ393" s="228"/>
      <c r="AK393" s="228"/>
      <c r="AL393" s="228"/>
      <c r="AM393" s="228"/>
      <c r="AN393" s="228"/>
      <c r="AO393" s="228"/>
      <c r="AP393" s="228"/>
      <c r="AQ393" s="228"/>
      <c r="AR393" s="228"/>
      <c r="AS393" s="228"/>
      <c r="AT393" s="229"/>
      <c r="AU393" s="230">
        <f>SUM(I393:AT393)</f>
      </c>
    </row>
    <row r="394" ht="16.5" customHeight="1" hidden="1" spans="1:47" x14ac:dyDescent="0.25" outlineLevel="1" collapsed="1">
      <c r="A394" s="219"/>
      <c r="B394" s="35"/>
      <c r="C394" s="174" t="s">
        <v>560</v>
      </c>
      <c r="D394" s="94"/>
      <c r="E394" s="95"/>
      <c r="F394" s="222" t="s">
        <v>539</v>
      </c>
      <c r="G394" s="208"/>
      <c r="H394" s="223" t="s">
        <v>163</v>
      </c>
      <c r="I394" s="227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  <c r="AC394" s="228"/>
      <c r="AD394" s="228"/>
      <c r="AE394" s="228"/>
      <c r="AF394" s="228"/>
      <c r="AG394" s="228"/>
      <c r="AH394" s="228"/>
      <c r="AI394" s="228"/>
      <c r="AJ394" s="228"/>
      <c r="AK394" s="228"/>
      <c r="AL394" s="228"/>
      <c r="AM394" s="228"/>
      <c r="AN394" s="228"/>
      <c r="AO394" s="228"/>
      <c r="AP394" s="228"/>
      <c r="AQ394" s="228"/>
      <c r="AR394" s="228"/>
      <c r="AS394" s="228"/>
      <c r="AT394" s="229"/>
      <c r="AU394" s="230">
        <f>SUM(I394:AT394)</f>
      </c>
    </row>
    <row r="395" ht="16.5" customHeight="1" hidden="1" spans="1:47" x14ac:dyDescent="0.25" outlineLevel="1" collapsed="1">
      <c r="A395" s="219"/>
      <c r="B395" s="116"/>
      <c r="C395" s="131" t="s">
        <v>561</v>
      </c>
      <c r="D395" s="102"/>
      <c r="E395" s="103"/>
      <c r="F395" s="222" t="s">
        <v>124</v>
      </c>
      <c r="G395" s="208"/>
      <c r="H395" s="223" t="s">
        <v>163</v>
      </c>
      <c r="I395" s="231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  <c r="AA395" s="232"/>
      <c r="AB395" s="232"/>
      <c r="AC395" s="232"/>
      <c r="AD395" s="232"/>
      <c r="AE395" s="232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2"/>
      <c r="AP395" s="232"/>
      <c r="AQ395" s="232"/>
      <c r="AR395" s="232"/>
      <c r="AS395" s="232"/>
      <c r="AT395" s="233"/>
      <c r="AU395" s="230">
        <f>SUM(I395:AT395)</f>
      </c>
    </row>
    <row r="396" ht="16.5" customHeight="1" spans="1:47" x14ac:dyDescent="0.25">
      <c r="A396" s="234"/>
      <c r="B396" s="235" t="s">
        <v>562</v>
      </c>
      <c r="C396" s="236"/>
      <c r="D396" s="236"/>
      <c r="E396" s="236"/>
      <c r="F396" s="236"/>
      <c r="G396" s="236"/>
      <c r="H396" s="237"/>
      <c r="I396" s="83">
        <f>SUM(I368:I374)</f>
      </c>
      <c r="J396" s="84">
        <f>SUM(J368:J374)</f>
      </c>
      <c r="K396" s="84">
        <f>SUM(K368:K374)</f>
      </c>
      <c r="L396" s="84">
        <f>SUM(L368:L374)</f>
      </c>
      <c r="M396" s="84">
        <f>SUM(M368:M374)</f>
      </c>
      <c r="N396" s="84">
        <f>SUM(N368:N374)</f>
      </c>
      <c r="O396" s="84">
        <f>SUM(O368:O374)</f>
      </c>
      <c r="P396" s="84">
        <f>SUM(P368:P374)</f>
      </c>
      <c r="Q396" s="84">
        <f>SUM(Q368:Q374)</f>
      </c>
      <c r="R396" s="84">
        <f>SUM(R368:R374)</f>
      </c>
      <c r="S396" s="84">
        <f>SUM(S368:S374)</f>
      </c>
      <c r="T396" s="84">
        <f>SUM(T368:T374)</f>
      </c>
      <c r="U396" s="84">
        <f>SUM(U368:U374)</f>
      </c>
      <c r="V396" s="84">
        <f>SUM(V368:V374)</f>
      </c>
      <c r="W396" s="84">
        <f>SUM(W368:W374)</f>
      </c>
      <c r="X396" s="84">
        <f>SUM(X368:X374)</f>
      </c>
      <c r="Y396" s="84">
        <f>SUM(Y368:Y374)</f>
      </c>
      <c r="Z396" s="84">
        <f>SUM(Z368:Z374)</f>
      </c>
      <c r="AA396" s="84">
        <f>SUM(AA368:AA374)</f>
      </c>
      <c r="AB396" s="84">
        <f>SUM(AB368:AB374)</f>
      </c>
      <c r="AC396" s="84">
        <f>SUM(AC368:AC374)</f>
      </c>
      <c r="AD396" s="84">
        <f>SUM(AD368:AD374)</f>
      </c>
      <c r="AE396" s="84">
        <f>SUM(AE368:AE374)</f>
      </c>
      <c r="AF396" s="84">
        <f>SUM(AF368:AF374)</f>
      </c>
      <c r="AG396" s="84">
        <f>SUM(AG368:AG374)</f>
      </c>
      <c r="AH396" s="84">
        <f>SUM(AH368:AH374)</f>
      </c>
      <c r="AI396" s="84">
        <f>SUM(AI368:AI374)</f>
      </c>
      <c r="AJ396" s="84">
        <f>SUM(AJ368:AJ374)</f>
      </c>
      <c r="AK396" s="84">
        <f>SUM(AK368:AK374)</f>
      </c>
      <c r="AL396" s="84">
        <f>SUM(AL368:AL374)</f>
      </c>
      <c r="AM396" s="84">
        <f>SUM(AM368:AM374)</f>
      </c>
      <c r="AN396" s="84">
        <f>SUM(AN368:AN374)</f>
      </c>
      <c r="AO396" s="84">
        <f>SUM(AO368:AO374)</f>
      </c>
      <c r="AP396" s="84">
        <f>SUM(AP368:AP374)</f>
      </c>
      <c r="AQ396" s="84">
        <f>SUM(AQ368:AQ374)</f>
      </c>
      <c r="AR396" s="84">
        <f>SUM(AR368:AR374)</f>
      </c>
      <c r="AS396" s="84">
        <f>SUM(AS368:AS374)</f>
      </c>
      <c r="AT396" s="84">
        <f>SUM(AT368:AT374)</f>
      </c>
      <c r="AU396" s="238">
        <f>SUM(I396:AT396)</f>
      </c>
    </row>
    <row r="397" ht="16.5" customHeight="1" spans="1:47" x14ac:dyDescent="0.25">
      <c r="A397" s="239" t="s">
        <v>563</v>
      </c>
      <c r="B397" s="240" t="s">
        <v>564</v>
      </c>
      <c r="C397" s="106" t="s">
        <v>565</v>
      </c>
      <c r="D397" s="241" t="s">
        <v>566</v>
      </c>
      <c r="E397" s="58"/>
      <c r="F397" s="58"/>
      <c r="G397" s="58"/>
      <c r="H397" s="56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  <c r="Z397" s="242"/>
      <c r="AA397" s="242"/>
      <c r="AB397" s="242"/>
      <c r="AC397" s="242"/>
      <c r="AD397" s="242"/>
      <c r="AE397" s="242"/>
      <c r="AF397" s="242"/>
      <c r="AG397" s="242"/>
      <c r="AH397" s="242"/>
      <c r="AI397" s="242"/>
      <c r="AJ397" s="242"/>
      <c r="AK397" s="242"/>
      <c r="AL397" s="242"/>
      <c r="AM397" s="242"/>
      <c r="AN397" s="242"/>
      <c r="AO397" s="242"/>
      <c r="AP397" s="242"/>
      <c r="AQ397" s="242"/>
      <c r="AR397" s="242"/>
      <c r="AS397" s="242"/>
      <c r="AT397" s="243"/>
      <c r="AU397" s="244">
        <f>SUM(I397:AT397)</f>
      </c>
    </row>
    <row r="398" spans="1:47" x14ac:dyDescent="0.25">
      <c r="A398" s="245"/>
      <c r="B398" s="180"/>
      <c r="C398" s="93" t="s">
        <v>567</v>
      </c>
      <c r="D398" s="246" t="s">
        <v>568</v>
      </c>
      <c r="E398" s="40"/>
      <c r="F398" s="40"/>
      <c r="G398" s="40"/>
      <c r="H398" s="38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  <c r="AA398" s="247"/>
      <c r="AB398" s="247"/>
      <c r="AC398" s="247"/>
      <c r="AD398" s="247"/>
      <c r="AE398" s="247"/>
      <c r="AF398" s="247"/>
      <c r="AG398" s="247"/>
      <c r="AH398" s="247"/>
      <c r="AI398" s="247"/>
      <c r="AJ398" s="247"/>
      <c r="AK398" s="247"/>
      <c r="AL398" s="247"/>
      <c r="AM398" s="247"/>
      <c r="AN398" s="247"/>
      <c r="AO398" s="247"/>
      <c r="AP398" s="247"/>
      <c r="AQ398" s="247"/>
      <c r="AR398" s="247"/>
      <c r="AS398" s="247"/>
      <c r="AT398" s="248"/>
      <c r="AU398" s="249">
        <f>SUM(I398:AT398)</f>
      </c>
    </row>
    <row r="399" spans="1:47" x14ac:dyDescent="0.25">
      <c r="A399" s="245"/>
      <c r="B399" s="180"/>
      <c r="C399" s="93" t="s">
        <v>569</v>
      </c>
      <c r="D399" s="246" t="s">
        <v>570</v>
      </c>
      <c r="E399" s="40"/>
      <c r="F399" s="40"/>
      <c r="G399" s="40"/>
      <c r="H399" s="38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  <c r="AA399" s="247"/>
      <c r="AB399" s="247"/>
      <c r="AC399" s="247"/>
      <c r="AD399" s="247"/>
      <c r="AE399" s="247"/>
      <c r="AF399" s="247"/>
      <c r="AG399" s="247"/>
      <c r="AH399" s="247"/>
      <c r="AI399" s="247"/>
      <c r="AJ399" s="247"/>
      <c r="AK399" s="247"/>
      <c r="AL399" s="247"/>
      <c r="AM399" s="247"/>
      <c r="AN399" s="247"/>
      <c r="AO399" s="247"/>
      <c r="AP399" s="247"/>
      <c r="AQ399" s="247"/>
      <c r="AR399" s="247"/>
      <c r="AS399" s="247"/>
      <c r="AT399" s="248"/>
      <c r="AU399" s="249">
        <f>SUM(I399:AT399)</f>
      </c>
    </row>
    <row r="400" spans="1:47" x14ac:dyDescent="0.25">
      <c r="A400" s="245"/>
      <c r="B400" s="180"/>
      <c r="C400" s="93" t="s">
        <v>571</v>
      </c>
      <c r="D400" s="246" t="s">
        <v>572</v>
      </c>
      <c r="E400" s="40"/>
      <c r="F400" s="40"/>
      <c r="G400" s="40"/>
      <c r="H400" s="38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  <c r="AA400" s="247"/>
      <c r="AB400" s="247"/>
      <c r="AC400" s="247"/>
      <c r="AD400" s="247"/>
      <c r="AE400" s="247"/>
      <c r="AF400" s="247"/>
      <c r="AG400" s="247"/>
      <c r="AH400" s="247"/>
      <c r="AI400" s="247"/>
      <c r="AJ400" s="247"/>
      <c r="AK400" s="247"/>
      <c r="AL400" s="247"/>
      <c r="AM400" s="247"/>
      <c r="AN400" s="247"/>
      <c r="AO400" s="247"/>
      <c r="AP400" s="247"/>
      <c r="AQ400" s="247"/>
      <c r="AR400" s="247"/>
      <c r="AS400" s="247"/>
      <c r="AT400" s="248"/>
      <c r="AU400" s="249">
        <f>SUM(I400:AT400)</f>
      </c>
    </row>
    <row r="401" ht="15.75" customHeight="1" spans="1:47" x14ac:dyDescent="0.25">
      <c r="A401" s="245"/>
      <c r="B401" s="183"/>
      <c r="C401" s="101" t="s">
        <v>573</v>
      </c>
      <c r="D401" s="250" t="s">
        <v>574</v>
      </c>
      <c r="E401" s="49"/>
      <c r="F401" s="49"/>
      <c r="G401" s="49"/>
      <c r="H401" s="47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2"/>
      <c r="AU401" s="253">
        <f>SUM(I401:AT401)</f>
      </c>
    </row>
    <row r="402" spans="1:47" x14ac:dyDescent="0.25">
      <c r="A402" s="245"/>
      <c r="B402" s="240" t="s">
        <v>575</v>
      </c>
      <c r="C402" s="106" t="s">
        <v>576</v>
      </c>
      <c r="D402" s="241" t="s">
        <v>577</v>
      </c>
      <c r="E402" s="58"/>
      <c r="F402" s="58"/>
      <c r="G402" s="58"/>
      <c r="H402" s="56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  <c r="AA402" s="254"/>
      <c r="AB402" s="254"/>
      <c r="AC402" s="254"/>
      <c r="AD402" s="254"/>
      <c r="AE402" s="254"/>
      <c r="AF402" s="254"/>
      <c r="AG402" s="254"/>
      <c r="AH402" s="254"/>
      <c r="AI402" s="254"/>
      <c r="AJ402" s="254"/>
      <c r="AK402" s="254"/>
      <c r="AL402" s="254"/>
      <c r="AM402" s="254"/>
      <c r="AN402" s="254"/>
      <c r="AO402" s="254"/>
      <c r="AP402" s="254"/>
      <c r="AQ402" s="254"/>
      <c r="AR402" s="254"/>
      <c r="AS402" s="254"/>
      <c r="AT402" s="255"/>
      <c r="AU402" s="244">
        <f>SUM(I402:AT402)</f>
      </c>
    </row>
    <row r="403" spans="1:47" x14ac:dyDescent="0.25">
      <c r="A403" s="245"/>
      <c r="B403" s="180"/>
      <c r="C403" s="93" t="s">
        <v>578</v>
      </c>
      <c r="D403" s="246" t="s">
        <v>568</v>
      </c>
      <c r="E403" s="40"/>
      <c r="F403" s="40"/>
      <c r="G403" s="40"/>
      <c r="H403" s="38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  <c r="AA403" s="247"/>
      <c r="AB403" s="247"/>
      <c r="AC403" s="247"/>
      <c r="AD403" s="247"/>
      <c r="AE403" s="247"/>
      <c r="AF403" s="247"/>
      <c r="AG403" s="247"/>
      <c r="AH403" s="247"/>
      <c r="AI403" s="247"/>
      <c r="AJ403" s="247"/>
      <c r="AK403" s="247"/>
      <c r="AL403" s="247"/>
      <c r="AM403" s="247"/>
      <c r="AN403" s="247"/>
      <c r="AO403" s="247"/>
      <c r="AP403" s="247"/>
      <c r="AQ403" s="247"/>
      <c r="AR403" s="247"/>
      <c r="AS403" s="247"/>
      <c r="AT403" s="248"/>
      <c r="AU403" s="249">
        <f>SUM(I403:AT403)</f>
      </c>
    </row>
    <row r="404" spans="1:47" x14ac:dyDescent="0.25">
      <c r="A404" s="245"/>
      <c r="B404" s="180"/>
      <c r="C404" s="93" t="s">
        <v>579</v>
      </c>
      <c r="D404" s="246" t="s">
        <v>570</v>
      </c>
      <c r="E404" s="40"/>
      <c r="F404" s="40"/>
      <c r="G404" s="40"/>
      <c r="H404" s="38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  <c r="AA404" s="247"/>
      <c r="AB404" s="247"/>
      <c r="AC404" s="247"/>
      <c r="AD404" s="247"/>
      <c r="AE404" s="247"/>
      <c r="AF404" s="247"/>
      <c r="AG404" s="247"/>
      <c r="AH404" s="247"/>
      <c r="AI404" s="247"/>
      <c r="AJ404" s="247"/>
      <c r="AK404" s="247"/>
      <c r="AL404" s="247"/>
      <c r="AM404" s="247"/>
      <c r="AN404" s="247"/>
      <c r="AO404" s="247"/>
      <c r="AP404" s="247"/>
      <c r="AQ404" s="247"/>
      <c r="AR404" s="247"/>
      <c r="AS404" s="247"/>
      <c r="AT404" s="248"/>
      <c r="AU404" s="249">
        <f>SUM(I404:AT404)</f>
      </c>
    </row>
    <row r="405" spans="1:47" x14ac:dyDescent="0.25">
      <c r="A405" s="245"/>
      <c r="B405" s="180"/>
      <c r="C405" s="93" t="s">
        <v>580</v>
      </c>
      <c r="D405" s="246" t="s">
        <v>572</v>
      </c>
      <c r="E405" s="40"/>
      <c r="F405" s="40"/>
      <c r="G405" s="40"/>
      <c r="H405" s="38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  <c r="AA405" s="247"/>
      <c r="AB405" s="247"/>
      <c r="AC405" s="247"/>
      <c r="AD405" s="247"/>
      <c r="AE405" s="247"/>
      <c r="AF405" s="247"/>
      <c r="AG405" s="247"/>
      <c r="AH405" s="247"/>
      <c r="AI405" s="247"/>
      <c r="AJ405" s="247"/>
      <c r="AK405" s="247"/>
      <c r="AL405" s="247"/>
      <c r="AM405" s="247"/>
      <c r="AN405" s="247"/>
      <c r="AO405" s="247"/>
      <c r="AP405" s="247"/>
      <c r="AQ405" s="247"/>
      <c r="AR405" s="247"/>
      <c r="AS405" s="247"/>
      <c r="AT405" s="248"/>
      <c r="AU405" s="249">
        <f>SUM(I405:AT405)</f>
      </c>
    </row>
    <row r="406" ht="15.75" customHeight="1" spans="1:47" x14ac:dyDescent="0.25">
      <c r="A406" s="245"/>
      <c r="B406" s="183"/>
      <c r="C406" s="101" t="s">
        <v>581</v>
      </c>
      <c r="D406" s="250" t="s">
        <v>574</v>
      </c>
      <c r="E406" s="49"/>
      <c r="F406" s="49"/>
      <c r="G406" s="49"/>
      <c r="H406" s="47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2"/>
      <c r="AU406" s="253">
        <f>SUM(I406:AT406)</f>
      </c>
    </row>
    <row r="407" spans="1:47" x14ac:dyDescent="0.25">
      <c r="A407" s="245"/>
      <c r="B407" s="240" t="s">
        <v>582</v>
      </c>
      <c r="C407" s="106" t="s">
        <v>583</v>
      </c>
      <c r="D407" s="241" t="s">
        <v>584</v>
      </c>
      <c r="E407" s="58"/>
      <c r="F407" s="58"/>
      <c r="G407" s="58"/>
      <c r="H407" s="56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4"/>
      <c r="AD407" s="254"/>
      <c r="AE407" s="254"/>
      <c r="AF407" s="254"/>
      <c r="AG407" s="254"/>
      <c r="AH407" s="254"/>
      <c r="AI407" s="254"/>
      <c r="AJ407" s="254"/>
      <c r="AK407" s="254"/>
      <c r="AL407" s="254"/>
      <c r="AM407" s="254"/>
      <c r="AN407" s="254"/>
      <c r="AO407" s="254"/>
      <c r="AP407" s="254"/>
      <c r="AQ407" s="254"/>
      <c r="AR407" s="254"/>
      <c r="AS407" s="254"/>
      <c r="AT407" s="255"/>
      <c r="AU407" s="244">
        <f>SUM(I407:AT407)</f>
      </c>
    </row>
    <row r="408" spans="1:47" x14ac:dyDescent="0.25">
      <c r="A408" s="245"/>
      <c r="B408" s="180"/>
      <c r="C408" s="93" t="s">
        <v>585</v>
      </c>
      <c r="D408" s="246" t="s">
        <v>570</v>
      </c>
      <c r="E408" s="40"/>
      <c r="F408" s="40"/>
      <c r="G408" s="40"/>
      <c r="H408" s="38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  <c r="AA408" s="247"/>
      <c r="AB408" s="247"/>
      <c r="AC408" s="247"/>
      <c r="AD408" s="247"/>
      <c r="AE408" s="247"/>
      <c r="AF408" s="247"/>
      <c r="AG408" s="247"/>
      <c r="AH408" s="247"/>
      <c r="AI408" s="247"/>
      <c r="AJ408" s="247"/>
      <c r="AK408" s="247"/>
      <c r="AL408" s="247"/>
      <c r="AM408" s="247"/>
      <c r="AN408" s="247"/>
      <c r="AO408" s="247"/>
      <c r="AP408" s="247"/>
      <c r="AQ408" s="247"/>
      <c r="AR408" s="247"/>
      <c r="AS408" s="247"/>
      <c r="AT408" s="248"/>
      <c r="AU408" s="249">
        <f>SUM(I408:AT408)</f>
      </c>
    </row>
    <row r="409" spans="1:47" x14ac:dyDescent="0.25">
      <c r="A409" s="245"/>
      <c r="B409" s="180"/>
      <c r="C409" s="93" t="s">
        <v>586</v>
      </c>
      <c r="D409" s="246" t="s">
        <v>572</v>
      </c>
      <c r="E409" s="40"/>
      <c r="F409" s="40"/>
      <c r="G409" s="40"/>
      <c r="H409" s="38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  <c r="AA409" s="247"/>
      <c r="AB409" s="247"/>
      <c r="AC409" s="247"/>
      <c r="AD409" s="247"/>
      <c r="AE409" s="247"/>
      <c r="AF409" s="247"/>
      <c r="AG409" s="247"/>
      <c r="AH409" s="247"/>
      <c r="AI409" s="247"/>
      <c r="AJ409" s="247"/>
      <c r="AK409" s="247"/>
      <c r="AL409" s="247"/>
      <c r="AM409" s="247"/>
      <c r="AN409" s="247"/>
      <c r="AO409" s="247"/>
      <c r="AP409" s="247"/>
      <c r="AQ409" s="247"/>
      <c r="AR409" s="247"/>
      <c r="AS409" s="247"/>
      <c r="AT409" s="248"/>
      <c r="AU409" s="249">
        <f>SUM(I409:AT409)</f>
      </c>
    </row>
    <row r="410" spans="1:47" x14ac:dyDescent="0.25">
      <c r="A410" s="245"/>
      <c r="B410" s="180"/>
      <c r="C410" s="93" t="s">
        <v>587</v>
      </c>
      <c r="D410" s="246" t="s">
        <v>574</v>
      </c>
      <c r="E410" s="40"/>
      <c r="F410" s="40"/>
      <c r="G410" s="40"/>
      <c r="H410" s="38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  <c r="AA410" s="247"/>
      <c r="AB410" s="247"/>
      <c r="AC410" s="247"/>
      <c r="AD410" s="247"/>
      <c r="AE410" s="247"/>
      <c r="AF410" s="247"/>
      <c r="AG410" s="247"/>
      <c r="AH410" s="247"/>
      <c r="AI410" s="247"/>
      <c r="AJ410" s="247"/>
      <c r="AK410" s="247"/>
      <c r="AL410" s="247"/>
      <c r="AM410" s="247"/>
      <c r="AN410" s="247"/>
      <c r="AO410" s="247"/>
      <c r="AP410" s="247"/>
      <c r="AQ410" s="247"/>
      <c r="AR410" s="247"/>
      <c r="AS410" s="247"/>
      <c r="AT410" s="248"/>
      <c r="AU410" s="249">
        <f>SUM(I410:AT410)</f>
      </c>
    </row>
    <row r="411" ht="15.75" customHeight="1" spans="1:47" x14ac:dyDescent="0.25">
      <c r="A411" s="245"/>
      <c r="B411" s="183"/>
      <c r="C411" s="101" t="s">
        <v>588</v>
      </c>
      <c r="D411" s="250" t="s">
        <v>589</v>
      </c>
      <c r="E411" s="49"/>
      <c r="F411" s="49"/>
      <c r="G411" s="49"/>
      <c r="H411" s="47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  <c r="AD411" s="251"/>
      <c r="AE411" s="251"/>
      <c r="AF411" s="251"/>
      <c r="AG411" s="251"/>
      <c r="AH411" s="251"/>
      <c r="AI411" s="251"/>
      <c r="AJ411" s="251"/>
      <c r="AK411" s="251"/>
      <c r="AL411" s="251"/>
      <c r="AM411" s="251"/>
      <c r="AN411" s="251"/>
      <c r="AO411" s="251"/>
      <c r="AP411" s="251"/>
      <c r="AQ411" s="251"/>
      <c r="AR411" s="251"/>
      <c r="AS411" s="251"/>
      <c r="AT411" s="252"/>
      <c r="AU411" s="253">
        <f>SUM(I411:AT411)</f>
      </c>
    </row>
    <row r="412" spans="1:47" x14ac:dyDescent="0.25">
      <c r="A412" s="245"/>
      <c r="B412" s="240" t="s">
        <v>590</v>
      </c>
      <c r="C412" s="106" t="s">
        <v>591</v>
      </c>
      <c r="D412" s="241" t="s">
        <v>539</v>
      </c>
      <c r="E412" s="58"/>
      <c r="F412" s="58"/>
      <c r="G412" s="58"/>
      <c r="H412" s="56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  <c r="AB412" s="254"/>
      <c r="AC412" s="254"/>
      <c r="AD412" s="254"/>
      <c r="AE412" s="254"/>
      <c r="AF412" s="254"/>
      <c r="AG412" s="254"/>
      <c r="AH412" s="254"/>
      <c r="AI412" s="254"/>
      <c r="AJ412" s="254"/>
      <c r="AK412" s="254"/>
      <c r="AL412" s="254"/>
      <c r="AM412" s="254"/>
      <c r="AN412" s="254"/>
      <c r="AO412" s="254"/>
      <c r="AP412" s="254"/>
      <c r="AQ412" s="254"/>
      <c r="AR412" s="254"/>
      <c r="AS412" s="254"/>
      <c r="AT412" s="255"/>
      <c r="AU412" s="244">
        <f>SUM(I412:AT412)</f>
      </c>
    </row>
    <row r="413" ht="15.75" customHeight="1" spans="1:47" x14ac:dyDescent="0.25">
      <c r="A413" s="245"/>
      <c r="B413" s="183"/>
      <c r="C413" s="101" t="s">
        <v>592</v>
      </c>
      <c r="D413" s="250" t="s">
        <v>593</v>
      </c>
      <c r="E413" s="49"/>
      <c r="F413" s="49"/>
      <c r="G413" s="49"/>
      <c r="H413" s="47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  <c r="AD413" s="251"/>
      <c r="AE413" s="251"/>
      <c r="AF413" s="251"/>
      <c r="AG413" s="251"/>
      <c r="AH413" s="251"/>
      <c r="AI413" s="251"/>
      <c r="AJ413" s="251"/>
      <c r="AK413" s="251"/>
      <c r="AL413" s="251"/>
      <c r="AM413" s="251"/>
      <c r="AN413" s="251"/>
      <c r="AO413" s="251"/>
      <c r="AP413" s="251"/>
      <c r="AQ413" s="251"/>
      <c r="AR413" s="251"/>
      <c r="AS413" s="251"/>
      <c r="AT413" s="252"/>
      <c r="AU413" s="253">
        <f>SUM(I413:AT413)</f>
      </c>
    </row>
    <row r="414" ht="15" customHeight="1" spans="1:47" x14ac:dyDescent="0.25">
      <c r="A414" s="245"/>
      <c r="B414" s="240" t="s">
        <v>594</v>
      </c>
      <c r="C414" s="106" t="s">
        <v>595</v>
      </c>
      <c r="D414" s="241" t="s">
        <v>596</v>
      </c>
      <c r="E414" s="58"/>
      <c r="F414" s="58"/>
      <c r="G414" s="58"/>
      <c r="H414" s="56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  <c r="AB414" s="254"/>
      <c r="AC414" s="254"/>
      <c r="AD414" s="254"/>
      <c r="AE414" s="254"/>
      <c r="AF414" s="254"/>
      <c r="AG414" s="254"/>
      <c r="AH414" s="254"/>
      <c r="AI414" s="254"/>
      <c r="AJ414" s="254"/>
      <c r="AK414" s="254"/>
      <c r="AL414" s="254"/>
      <c r="AM414" s="254"/>
      <c r="AN414" s="254"/>
      <c r="AO414" s="254"/>
      <c r="AP414" s="254"/>
      <c r="AQ414" s="254"/>
      <c r="AR414" s="254"/>
      <c r="AS414" s="254"/>
      <c r="AT414" s="255"/>
      <c r="AU414" s="244">
        <f>SUM(I414:AT414)</f>
      </c>
    </row>
    <row r="415" spans="1:47" x14ac:dyDescent="0.25">
      <c r="A415" s="245"/>
      <c r="B415" s="180"/>
      <c r="C415" s="93" t="s">
        <v>597</v>
      </c>
      <c r="D415" s="246" t="s">
        <v>317</v>
      </c>
      <c r="E415" s="40"/>
      <c r="F415" s="40"/>
      <c r="G415" s="40"/>
      <c r="H415" s="38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  <c r="AA415" s="247"/>
      <c r="AB415" s="247"/>
      <c r="AC415" s="247"/>
      <c r="AD415" s="247"/>
      <c r="AE415" s="247"/>
      <c r="AF415" s="247"/>
      <c r="AG415" s="247"/>
      <c r="AH415" s="247"/>
      <c r="AI415" s="247"/>
      <c r="AJ415" s="247"/>
      <c r="AK415" s="247"/>
      <c r="AL415" s="247"/>
      <c r="AM415" s="247"/>
      <c r="AN415" s="247"/>
      <c r="AO415" s="247"/>
      <c r="AP415" s="247"/>
      <c r="AQ415" s="247"/>
      <c r="AR415" s="247"/>
      <c r="AS415" s="247"/>
      <c r="AT415" s="248"/>
      <c r="AU415" s="249">
        <f>SUM(I415:AT415)</f>
      </c>
    </row>
    <row r="416" ht="15.75" customHeight="1" spans="1:47" x14ac:dyDescent="0.25">
      <c r="A416" s="245"/>
      <c r="B416" s="183"/>
      <c r="C416" s="101" t="s">
        <v>598</v>
      </c>
      <c r="D416" s="250" t="s">
        <v>433</v>
      </c>
      <c r="E416" s="49"/>
      <c r="F416" s="49"/>
      <c r="G416" s="49"/>
      <c r="H416" s="47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  <c r="AD416" s="251"/>
      <c r="AE416" s="251"/>
      <c r="AF416" s="251"/>
      <c r="AG416" s="251"/>
      <c r="AH416" s="251"/>
      <c r="AI416" s="251"/>
      <c r="AJ416" s="251"/>
      <c r="AK416" s="251"/>
      <c r="AL416" s="251"/>
      <c r="AM416" s="251"/>
      <c r="AN416" s="251"/>
      <c r="AO416" s="251"/>
      <c r="AP416" s="251"/>
      <c r="AQ416" s="251"/>
      <c r="AR416" s="251"/>
      <c r="AS416" s="251"/>
      <c r="AT416" s="252"/>
      <c r="AU416" s="253">
        <f>SUM(I416:AT416)</f>
      </c>
    </row>
    <row r="417" ht="15" customHeight="1" spans="1:47" x14ac:dyDescent="0.25">
      <c r="A417" s="245"/>
      <c r="B417" s="240" t="s">
        <v>599</v>
      </c>
      <c r="C417" s="106" t="s">
        <v>600</v>
      </c>
      <c r="D417" s="241" t="s">
        <v>596</v>
      </c>
      <c r="E417" s="58"/>
      <c r="F417" s="58"/>
      <c r="G417" s="58"/>
      <c r="H417" s="56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  <c r="AB417" s="254"/>
      <c r="AC417" s="254"/>
      <c r="AD417" s="254"/>
      <c r="AE417" s="254"/>
      <c r="AF417" s="254"/>
      <c r="AG417" s="254"/>
      <c r="AH417" s="254"/>
      <c r="AI417" s="254"/>
      <c r="AJ417" s="254"/>
      <c r="AK417" s="254"/>
      <c r="AL417" s="254"/>
      <c r="AM417" s="254"/>
      <c r="AN417" s="254"/>
      <c r="AO417" s="254"/>
      <c r="AP417" s="254"/>
      <c r="AQ417" s="254"/>
      <c r="AR417" s="254"/>
      <c r="AS417" s="254"/>
      <c r="AT417" s="255"/>
      <c r="AU417" s="244">
        <f>SUM(I417:AT417)</f>
      </c>
    </row>
    <row r="418" spans="1:47" x14ac:dyDescent="0.25">
      <c r="A418" s="245"/>
      <c r="B418" s="180"/>
      <c r="C418" s="93" t="s">
        <v>601</v>
      </c>
      <c r="D418" s="246" t="s">
        <v>317</v>
      </c>
      <c r="E418" s="40"/>
      <c r="F418" s="40"/>
      <c r="G418" s="40"/>
      <c r="H418" s="38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  <c r="AA418" s="247"/>
      <c r="AB418" s="247"/>
      <c r="AC418" s="247"/>
      <c r="AD418" s="247"/>
      <c r="AE418" s="247"/>
      <c r="AF418" s="247"/>
      <c r="AG418" s="247"/>
      <c r="AH418" s="247"/>
      <c r="AI418" s="247"/>
      <c r="AJ418" s="247"/>
      <c r="AK418" s="247"/>
      <c r="AL418" s="247"/>
      <c r="AM418" s="247"/>
      <c r="AN418" s="247"/>
      <c r="AO418" s="247"/>
      <c r="AP418" s="247"/>
      <c r="AQ418" s="247"/>
      <c r="AR418" s="247"/>
      <c r="AS418" s="247"/>
      <c r="AT418" s="248"/>
      <c r="AU418" s="249">
        <f>SUM(I418:AT418)</f>
      </c>
    </row>
    <row r="419" ht="15.75" customHeight="1" spans="1:47" x14ac:dyDescent="0.25">
      <c r="A419" s="245"/>
      <c r="B419" s="183"/>
      <c r="C419" s="101" t="s">
        <v>602</v>
      </c>
      <c r="D419" s="250" t="s">
        <v>433</v>
      </c>
      <c r="E419" s="49"/>
      <c r="F419" s="49"/>
      <c r="G419" s="49"/>
      <c r="H419" s="47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  <c r="AD419" s="251"/>
      <c r="AE419" s="251"/>
      <c r="AF419" s="251"/>
      <c r="AG419" s="251"/>
      <c r="AH419" s="251"/>
      <c r="AI419" s="251"/>
      <c r="AJ419" s="251"/>
      <c r="AK419" s="251"/>
      <c r="AL419" s="251"/>
      <c r="AM419" s="251"/>
      <c r="AN419" s="251"/>
      <c r="AO419" s="251"/>
      <c r="AP419" s="251"/>
      <c r="AQ419" s="251"/>
      <c r="AR419" s="251"/>
      <c r="AS419" s="251"/>
      <c r="AT419" s="252"/>
      <c r="AU419" s="253">
        <f>SUM(I419:AT419)</f>
      </c>
    </row>
    <row r="420" ht="15" customHeight="1" spans="1:47" x14ac:dyDescent="0.25">
      <c r="A420" s="245"/>
      <c r="B420" s="240" t="s">
        <v>603</v>
      </c>
      <c r="C420" s="106" t="s">
        <v>604</v>
      </c>
      <c r="D420" s="241" t="s">
        <v>596</v>
      </c>
      <c r="E420" s="58"/>
      <c r="F420" s="58"/>
      <c r="G420" s="58"/>
      <c r="H420" s="56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  <c r="AB420" s="254"/>
      <c r="AC420" s="254"/>
      <c r="AD420" s="254"/>
      <c r="AE420" s="254"/>
      <c r="AF420" s="254"/>
      <c r="AG420" s="254"/>
      <c r="AH420" s="254"/>
      <c r="AI420" s="254"/>
      <c r="AJ420" s="254"/>
      <c r="AK420" s="254"/>
      <c r="AL420" s="254"/>
      <c r="AM420" s="254"/>
      <c r="AN420" s="254"/>
      <c r="AO420" s="254"/>
      <c r="AP420" s="254"/>
      <c r="AQ420" s="254"/>
      <c r="AR420" s="254"/>
      <c r="AS420" s="254"/>
      <c r="AT420" s="255"/>
      <c r="AU420" s="244">
        <f>SUM(I420:AT420)</f>
      </c>
    </row>
    <row r="421" spans="1:47" x14ac:dyDescent="0.25">
      <c r="A421" s="245"/>
      <c r="B421" s="180"/>
      <c r="C421" s="93" t="s">
        <v>605</v>
      </c>
      <c r="D421" s="246" t="s">
        <v>317</v>
      </c>
      <c r="E421" s="40"/>
      <c r="F421" s="40"/>
      <c r="G421" s="40"/>
      <c r="H421" s="38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  <c r="AA421" s="247"/>
      <c r="AB421" s="247"/>
      <c r="AC421" s="247"/>
      <c r="AD421" s="247"/>
      <c r="AE421" s="247"/>
      <c r="AF421" s="247"/>
      <c r="AG421" s="247"/>
      <c r="AH421" s="247"/>
      <c r="AI421" s="247"/>
      <c r="AJ421" s="247"/>
      <c r="AK421" s="247"/>
      <c r="AL421" s="247"/>
      <c r="AM421" s="247"/>
      <c r="AN421" s="247"/>
      <c r="AO421" s="247"/>
      <c r="AP421" s="247"/>
      <c r="AQ421" s="247"/>
      <c r="AR421" s="247"/>
      <c r="AS421" s="247"/>
      <c r="AT421" s="248"/>
      <c r="AU421" s="249">
        <f>SUM(I421:AT421)</f>
      </c>
    </row>
    <row r="422" ht="15.75" customHeight="1" spans="1:47" x14ac:dyDescent="0.25">
      <c r="A422" s="245"/>
      <c r="B422" s="183"/>
      <c r="C422" s="101" t="s">
        <v>606</v>
      </c>
      <c r="D422" s="250" t="s">
        <v>433</v>
      </c>
      <c r="E422" s="49"/>
      <c r="F422" s="49"/>
      <c r="G422" s="49"/>
      <c r="H422" s="47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  <c r="AD422" s="251"/>
      <c r="AE422" s="251"/>
      <c r="AF422" s="251"/>
      <c r="AG422" s="251"/>
      <c r="AH422" s="251"/>
      <c r="AI422" s="251"/>
      <c r="AJ422" s="251"/>
      <c r="AK422" s="251"/>
      <c r="AL422" s="251"/>
      <c r="AM422" s="251"/>
      <c r="AN422" s="251"/>
      <c r="AO422" s="251"/>
      <c r="AP422" s="251"/>
      <c r="AQ422" s="251"/>
      <c r="AR422" s="251"/>
      <c r="AS422" s="251"/>
      <c r="AT422" s="252"/>
      <c r="AU422" s="253">
        <f>SUM(I422:AT422)</f>
      </c>
    </row>
    <row r="423" ht="17.25" customHeight="1" spans="1:47" x14ac:dyDescent="0.25">
      <c r="A423" s="245"/>
      <c r="B423" s="240" t="s">
        <v>607</v>
      </c>
      <c r="C423" s="106" t="s">
        <v>608</v>
      </c>
      <c r="D423" s="241" t="s">
        <v>596</v>
      </c>
      <c r="E423" s="58"/>
      <c r="F423" s="58"/>
      <c r="G423" s="58"/>
      <c r="H423" s="56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  <c r="AB423" s="254"/>
      <c r="AC423" s="254"/>
      <c r="AD423" s="254"/>
      <c r="AE423" s="254"/>
      <c r="AF423" s="254"/>
      <c r="AG423" s="254"/>
      <c r="AH423" s="254"/>
      <c r="AI423" s="254"/>
      <c r="AJ423" s="254"/>
      <c r="AK423" s="254"/>
      <c r="AL423" s="254"/>
      <c r="AM423" s="254"/>
      <c r="AN423" s="254"/>
      <c r="AO423" s="254"/>
      <c r="AP423" s="254"/>
      <c r="AQ423" s="254"/>
      <c r="AR423" s="254"/>
      <c r="AS423" s="254"/>
      <c r="AT423" s="255"/>
      <c r="AU423" s="244">
        <f>SUM(I423:AT423)</f>
      </c>
    </row>
    <row r="424" ht="15.75" customHeight="1" spans="1:47" x14ac:dyDescent="0.25">
      <c r="A424" s="245"/>
      <c r="B424" s="180"/>
      <c r="C424" s="93" t="s">
        <v>609</v>
      </c>
      <c r="D424" s="246" t="s">
        <v>317</v>
      </c>
      <c r="E424" s="40"/>
      <c r="F424" s="40"/>
      <c r="G424" s="40"/>
      <c r="H424" s="38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  <c r="AA424" s="247"/>
      <c r="AB424" s="247"/>
      <c r="AC424" s="247"/>
      <c r="AD424" s="247"/>
      <c r="AE424" s="247"/>
      <c r="AF424" s="247"/>
      <c r="AG424" s="247"/>
      <c r="AH424" s="247"/>
      <c r="AI424" s="247"/>
      <c r="AJ424" s="247"/>
      <c r="AK424" s="247"/>
      <c r="AL424" s="247"/>
      <c r="AM424" s="247"/>
      <c r="AN424" s="247"/>
      <c r="AO424" s="247"/>
      <c r="AP424" s="247"/>
      <c r="AQ424" s="247"/>
      <c r="AR424" s="247"/>
      <c r="AS424" s="247"/>
      <c r="AT424" s="248"/>
      <c r="AU424" s="249">
        <f>SUM(I424:AT424)</f>
      </c>
    </row>
    <row r="425" ht="15.75" customHeight="1" spans="1:47" x14ac:dyDescent="0.25">
      <c r="A425" s="245"/>
      <c r="B425" s="183"/>
      <c r="C425" s="101" t="s">
        <v>610</v>
      </c>
      <c r="D425" s="250" t="s">
        <v>433</v>
      </c>
      <c r="E425" s="49"/>
      <c r="F425" s="49"/>
      <c r="G425" s="49"/>
      <c r="H425" s="47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  <c r="AD425" s="251"/>
      <c r="AE425" s="251"/>
      <c r="AF425" s="251"/>
      <c r="AG425" s="251"/>
      <c r="AH425" s="251"/>
      <c r="AI425" s="251"/>
      <c r="AJ425" s="251"/>
      <c r="AK425" s="251"/>
      <c r="AL425" s="251"/>
      <c r="AM425" s="251"/>
      <c r="AN425" s="251"/>
      <c r="AO425" s="251"/>
      <c r="AP425" s="251"/>
      <c r="AQ425" s="251"/>
      <c r="AR425" s="251"/>
      <c r="AS425" s="251"/>
      <c r="AT425" s="252"/>
      <c r="AU425" s="253">
        <f>SUM(I425:AT425)</f>
      </c>
    </row>
    <row r="426" ht="15" customHeight="1" spans="1:47" x14ac:dyDescent="0.25">
      <c r="A426" s="245"/>
      <c r="B426" s="240" t="s">
        <v>611</v>
      </c>
      <c r="C426" s="106" t="s">
        <v>612</v>
      </c>
      <c r="D426" s="241" t="s">
        <v>596</v>
      </c>
      <c r="E426" s="58"/>
      <c r="F426" s="58"/>
      <c r="G426" s="58"/>
      <c r="H426" s="56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254"/>
      <c r="AD426" s="254"/>
      <c r="AE426" s="254"/>
      <c r="AF426" s="254"/>
      <c r="AG426" s="254"/>
      <c r="AH426" s="254"/>
      <c r="AI426" s="254"/>
      <c r="AJ426" s="254"/>
      <c r="AK426" s="254"/>
      <c r="AL426" s="254"/>
      <c r="AM426" s="254"/>
      <c r="AN426" s="254"/>
      <c r="AO426" s="254"/>
      <c r="AP426" s="254"/>
      <c r="AQ426" s="254"/>
      <c r="AR426" s="254"/>
      <c r="AS426" s="254"/>
      <c r="AT426" s="255"/>
      <c r="AU426" s="244">
        <f>SUM(I426:AT426)</f>
      </c>
    </row>
    <row r="427" spans="1:47" x14ac:dyDescent="0.25">
      <c r="A427" s="245"/>
      <c r="B427" s="180"/>
      <c r="C427" s="93" t="s">
        <v>613</v>
      </c>
      <c r="D427" s="246" t="s">
        <v>317</v>
      </c>
      <c r="E427" s="40"/>
      <c r="F427" s="40"/>
      <c r="G427" s="40"/>
      <c r="H427" s="38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  <c r="AA427" s="247"/>
      <c r="AB427" s="247"/>
      <c r="AC427" s="247"/>
      <c r="AD427" s="247"/>
      <c r="AE427" s="247"/>
      <c r="AF427" s="247"/>
      <c r="AG427" s="247"/>
      <c r="AH427" s="247"/>
      <c r="AI427" s="247"/>
      <c r="AJ427" s="247"/>
      <c r="AK427" s="247"/>
      <c r="AL427" s="247"/>
      <c r="AM427" s="247"/>
      <c r="AN427" s="247"/>
      <c r="AO427" s="247"/>
      <c r="AP427" s="247"/>
      <c r="AQ427" s="247"/>
      <c r="AR427" s="247"/>
      <c r="AS427" s="247"/>
      <c r="AT427" s="248"/>
      <c r="AU427" s="249">
        <f>SUM(I427:AT427)</f>
      </c>
    </row>
    <row r="428" ht="15.75" customHeight="1" spans="1:47" x14ac:dyDescent="0.25">
      <c r="A428" s="245"/>
      <c r="B428" s="183"/>
      <c r="C428" s="101" t="s">
        <v>614</v>
      </c>
      <c r="D428" s="250" t="s">
        <v>433</v>
      </c>
      <c r="E428" s="49"/>
      <c r="F428" s="49"/>
      <c r="G428" s="49"/>
      <c r="H428" s="47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  <c r="AD428" s="251"/>
      <c r="AE428" s="251"/>
      <c r="AF428" s="251"/>
      <c r="AG428" s="251"/>
      <c r="AH428" s="251"/>
      <c r="AI428" s="251"/>
      <c r="AJ428" s="251"/>
      <c r="AK428" s="251"/>
      <c r="AL428" s="251"/>
      <c r="AM428" s="251"/>
      <c r="AN428" s="251"/>
      <c r="AO428" s="251"/>
      <c r="AP428" s="251"/>
      <c r="AQ428" s="251"/>
      <c r="AR428" s="251"/>
      <c r="AS428" s="251"/>
      <c r="AT428" s="252"/>
      <c r="AU428" s="253">
        <f>SUM(I428:AT428)</f>
      </c>
    </row>
    <row r="429" spans="1:47" x14ac:dyDescent="0.25">
      <c r="A429" s="245"/>
      <c r="B429" s="240" t="s">
        <v>615</v>
      </c>
      <c r="C429" s="106" t="s">
        <v>616</v>
      </c>
      <c r="D429" s="241" t="s">
        <v>596</v>
      </c>
      <c r="E429" s="58"/>
      <c r="F429" s="58"/>
      <c r="G429" s="58"/>
      <c r="H429" s="56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  <c r="AB429" s="254"/>
      <c r="AC429" s="254"/>
      <c r="AD429" s="254"/>
      <c r="AE429" s="254"/>
      <c r="AF429" s="254"/>
      <c r="AG429" s="254"/>
      <c r="AH429" s="254"/>
      <c r="AI429" s="254"/>
      <c r="AJ429" s="254"/>
      <c r="AK429" s="254"/>
      <c r="AL429" s="254"/>
      <c r="AM429" s="254"/>
      <c r="AN429" s="254"/>
      <c r="AO429" s="254"/>
      <c r="AP429" s="254"/>
      <c r="AQ429" s="254"/>
      <c r="AR429" s="254"/>
      <c r="AS429" s="254"/>
      <c r="AT429" s="255"/>
      <c r="AU429" s="244">
        <f>SUM(I429:AT429)</f>
      </c>
    </row>
    <row r="430" spans="1:47" x14ac:dyDescent="0.25">
      <c r="A430" s="245"/>
      <c r="B430" s="180"/>
      <c r="C430" s="93" t="s">
        <v>617</v>
      </c>
      <c r="D430" s="246" t="s">
        <v>317</v>
      </c>
      <c r="E430" s="40"/>
      <c r="F430" s="40"/>
      <c r="G430" s="40"/>
      <c r="H430" s="38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  <c r="AA430" s="247"/>
      <c r="AB430" s="247"/>
      <c r="AC430" s="247"/>
      <c r="AD430" s="247"/>
      <c r="AE430" s="247"/>
      <c r="AF430" s="247"/>
      <c r="AG430" s="247"/>
      <c r="AH430" s="247"/>
      <c r="AI430" s="247"/>
      <c r="AJ430" s="247"/>
      <c r="AK430" s="247"/>
      <c r="AL430" s="247"/>
      <c r="AM430" s="247"/>
      <c r="AN430" s="247"/>
      <c r="AO430" s="247"/>
      <c r="AP430" s="247"/>
      <c r="AQ430" s="247"/>
      <c r="AR430" s="247"/>
      <c r="AS430" s="247"/>
      <c r="AT430" s="248"/>
      <c r="AU430" s="249">
        <f>SUM(I430:AT430)</f>
      </c>
    </row>
    <row r="431" ht="15.75" customHeight="1" spans="1:47" x14ac:dyDescent="0.25">
      <c r="A431" s="245"/>
      <c r="B431" s="183"/>
      <c r="C431" s="101" t="s">
        <v>618</v>
      </c>
      <c r="D431" s="250" t="s">
        <v>433</v>
      </c>
      <c r="E431" s="49"/>
      <c r="F431" s="49"/>
      <c r="G431" s="49"/>
      <c r="H431" s="47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  <c r="AD431" s="251"/>
      <c r="AE431" s="251"/>
      <c r="AF431" s="251"/>
      <c r="AG431" s="251"/>
      <c r="AH431" s="251"/>
      <c r="AI431" s="251"/>
      <c r="AJ431" s="251"/>
      <c r="AK431" s="251"/>
      <c r="AL431" s="251"/>
      <c r="AM431" s="251"/>
      <c r="AN431" s="251"/>
      <c r="AO431" s="251"/>
      <c r="AP431" s="251"/>
      <c r="AQ431" s="251"/>
      <c r="AR431" s="251"/>
      <c r="AS431" s="251"/>
      <c r="AT431" s="252"/>
      <c r="AU431" s="253">
        <f>SUM(I431:AT431)</f>
      </c>
    </row>
    <row r="432" ht="42" customHeight="1" spans="1:47" x14ac:dyDescent="0.25">
      <c r="A432" s="245"/>
      <c r="B432" s="240" t="s">
        <v>619</v>
      </c>
      <c r="C432" s="106" t="s">
        <v>620</v>
      </c>
      <c r="D432" s="241" t="s">
        <v>596</v>
      </c>
      <c r="E432" s="58"/>
      <c r="F432" s="58"/>
      <c r="G432" s="58"/>
      <c r="H432" s="56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4"/>
      <c r="AC432" s="254"/>
      <c r="AD432" s="254"/>
      <c r="AE432" s="254"/>
      <c r="AF432" s="254"/>
      <c r="AG432" s="254"/>
      <c r="AH432" s="254"/>
      <c r="AI432" s="254"/>
      <c r="AJ432" s="254"/>
      <c r="AK432" s="254"/>
      <c r="AL432" s="254"/>
      <c r="AM432" s="254"/>
      <c r="AN432" s="254"/>
      <c r="AO432" s="254"/>
      <c r="AP432" s="254"/>
      <c r="AQ432" s="254"/>
      <c r="AR432" s="254"/>
      <c r="AS432" s="254"/>
      <c r="AT432" s="255"/>
      <c r="AU432" s="244">
        <f>SUM(I432:AT432)</f>
      </c>
    </row>
    <row r="433" ht="39.75" customHeight="1" spans="1:47" x14ac:dyDescent="0.25">
      <c r="A433" s="245"/>
      <c r="B433" s="183"/>
      <c r="C433" s="101" t="s">
        <v>621</v>
      </c>
      <c r="D433" s="250" t="s">
        <v>317</v>
      </c>
      <c r="E433" s="49"/>
      <c r="F433" s="49"/>
      <c r="G433" s="49"/>
      <c r="H433" s="47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  <c r="AD433" s="251"/>
      <c r="AE433" s="251"/>
      <c r="AF433" s="251"/>
      <c r="AG433" s="251"/>
      <c r="AH433" s="251"/>
      <c r="AI433" s="251"/>
      <c r="AJ433" s="251"/>
      <c r="AK433" s="251"/>
      <c r="AL433" s="251"/>
      <c r="AM433" s="251"/>
      <c r="AN433" s="251"/>
      <c r="AO433" s="251"/>
      <c r="AP433" s="251"/>
      <c r="AQ433" s="251"/>
      <c r="AR433" s="251"/>
      <c r="AS433" s="251"/>
      <c r="AT433" s="252"/>
      <c r="AU433" s="253">
        <f>SUM(I433:AT433)</f>
      </c>
    </row>
    <row r="434" ht="15" customHeight="1" spans="1:47" x14ac:dyDescent="0.25">
      <c r="A434" s="245"/>
      <c r="B434" s="240" t="s">
        <v>622</v>
      </c>
      <c r="C434" s="106" t="s">
        <v>623</v>
      </c>
      <c r="D434" s="241" t="s">
        <v>596</v>
      </c>
      <c r="E434" s="58"/>
      <c r="F434" s="58"/>
      <c r="G434" s="58"/>
      <c r="H434" s="56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  <c r="AB434" s="254"/>
      <c r="AC434" s="254"/>
      <c r="AD434" s="254"/>
      <c r="AE434" s="254"/>
      <c r="AF434" s="254"/>
      <c r="AG434" s="254"/>
      <c r="AH434" s="254"/>
      <c r="AI434" s="254"/>
      <c r="AJ434" s="254"/>
      <c r="AK434" s="254"/>
      <c r="AL434" s="254"/>
      <c r="AM434" s="254"/>
      <c r="AN434" s="254"/>
      <c r="AO434" s="254"/>
      <c r="AP434" s="254"/>
      <c r="AQ434" s="254"/>
      <c r="AR434" s="254"/>
      <c r="AS434" s="254"/>
      <c r="AT434" s="255"/>
      <c r="AU434" s="244">
        <f>SUM(I434:AT434)</f>
      </c>
    </row>
    <row r="435" spans="1:47" x14ac:dyDescent="0.25">
      <c r="A435" s="245"/>
      <c r="B435" s="180"/>
      <c r="C435" s="93" t="s">
        <v>624</v>
      </c>
      <c r="D435" s="246" t="s">
        <v>317</v>
      </c>
      <c r="E435" s="40"/>
      <c r="F435" s="40"/>
      <c r="G435" s="40"/>
      <c r="H435" s="38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  <c r="AA435" s="247"/>
      <c r="AB435" s="247"/>
      <c r="AC435" s="247"/>
      <c r="AD435" s="247"/>
      <c r="AE435" s="247"/>
      <c r="AF435" s="247"/>
      <c r="AG435" s="247"/>
      <c r="AH435" s="247"/>
      <c r="AI435" s="247"/>
      <c r="AJ435" s="247"/>
      <c r="AK435" s="247"/>
      <c r="AL435" s="247"/>
      <c r="AM435" s="247"/>
      <c r="AN435" s="247"/>
      <c r="AO435" s="247"/>
      <c r="AP435" s="247"/>
      <c r="AQ435" s="247"/>
      <c r="AR435" s="247"/>
      <c r="AS435" s="247"/>
      <c r="AT435" s="248"/>
      <c r="AU435" s="249">
        <f>SUM(I435:AT435)</f>
      </c>
    </row>
    <row r="436" ht="15.75" customHeight="1" spans="1:47" x14ac:dyDescent="0.25">
      <c r="A436" s="245"/>
      <c r="B436" s="183"/>
      <c r="C436" s="101" t="s">
        <v>625</v>
      </c>
      <c r="D436" s="250" t="s">
        <v>433</v>
      </c>
      <c r="E436" s="49"/>
      <c r="F436" s="49"/>
      <c r="G436" s="49"/>
      <c r="H436" s="47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  <c r="AD436" s="251"/>
      <c r="AE436" s="251"/>
      <c r="AF436" s="251"/>
      <c r="AG436" s="251"/>
      <c r="AH436" s="251"/>
      <c r="AI436" s="251"/>
      <c r="AJ436" s="251"/>
      <c r="AK436" s="251"/>
      <c r="AL436" s="251"/>
      <c r="AM436" s="251"/>
      <c r="AN436" s="251"/>
      <c r="AO436" s="251"/>
      <c r="AP436" s="251"/>
      <c r="AQ436" s="251"/>
      <c r="AR436" s="251"/>
      <c r="AS436" s="251"/>
      <c r="AT436" s="252"/>
      <c r="AU436" s="253">
        <f>SUM(I436:AT436)</f>
      </c>
    </row>
    <row r="437" ht="16.5" customHeight="1" spans="1:47" x14ac:dyDescent="0.25">
      <c r="A437" s="245"/>
      <c r="B437" s="240" t="s">
        <v>626</v>
      </c>
      <c r="C437" s="106" t="s">
        <v>627</v>
      </c>
      <c r="D437" s="241" t="s">
        <v>596</v>
      </c>
      <c r="E437" s="58"/>
      <c r="F437" s="58"/>
      <c r="G437" s="58"/>
      <c r="H437" s="56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  <c r="AB437" s="254"/>
      <c r="AC437" s="254"/>
      <c r="AD437" s="254"/>
      <c r="AE437" s="254"/>
      <c r="AF437" s="254"/>
      <c r="AG437" s="254"/>
      <c r="AH437" s="254"/>
      <c r="AI437" s="254"/>
      <c r="AJ437" s="254"/>
      <c r="AK437" s="254"/>
      <c r="AL437" s="254"/>
      <c r="AM437" s="254"/>
      <c r="AN437" s="254"/>
      <c r="AO437" s="254"/>
      <c r="AP437" s="254"/>
      <c r="AQ437" s="254"/>
      <c r="AR437" s="254"/>
      <c r="AS437" s="254"/>
      <c r="AT437" s="255"/>
      <c r="AU437" s="244">
        <f>SUM(I437:AT437)</f>
      </c>
    </row>
    <row r="438" ht="17.25" customHeight="1" spans="1:47" x14ac:dyDescent="0.25">
      <c r="A438" s="245"/>
      <c r="B438" s="180"/>
      <c r="C438" s="93" t="s">
        <v>628</v>
      </c>
      <c r="D438" s="246" t="s">
        <v>317</v>
      </c>
      <c r="E438" s="40"/>
      <c r="F438" s="40"/>
      <c r="G438" s="40"/>
      <c r="H438" s="38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  <c r="AA438" s="247"/>
      <c r="AB438" s="247"/>
      <c r="AC438" s="247"/>
      <c r="AD438" s="247"/>
      <c r="AE438" s="247"/>
      <c r="AF438" s="247"/>
      <c r="AG438" s="247"/>
      <c r="AH438" s="247"/>
      <c r="AI438" s="247"/>
      <c r="AJ438" s="247"/>
      <c r="AK438" s="247"/>
      <c r="AL438" s="247"/>
      <c r="AM438" s="247"/>
      <c r="AN438" s="247"/>
      <c r="AO438" s="247"/>
      <c r="AP438" s="247"/>
      <c r="AQ438" s="247"/>
      <c r="AR438" s="247"/>
      <c r="AS438" s="247"/>
      <c r="AT438" s="248"/>
      <c r="AU438" s="249">
        <f>SUM(I438:AT438)</f>
      </c>
    </row>
    <row r="439" ht="15.75" customHeight="1" spans="1:47" x14ac:dyDescent="0.25">
      <c r="A439" s="245"/>
      <c r="B439" s="183"/>
      <c r="C439" s="101" t="s">
        <v>629</v>
      </c>
      <c r="D439" s="250" t="s">
        <v>433</v>
      </c>
      <c r="E439" s="49"/>
      <c r="F439" s="49"/>
      <c r="G439" s="49"/>
      <c r="H439" s="47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  <c r="AD439" s="251"/>
      <c r="AE439" s="251"/>
      <c r="AF439" s="251"/>
      <c r="AG439" s="251"/>
      <c r="AH439" s="251"/>
      <c r="AI439" s="251"/>
      <c r="AJ439" s="251"/>
      <c r="AK439" s="251"/>
      <c r="AL439" s="251"/>
      <c r="AM439" s="251"/>
      <c r="AN439" s="251"/>
      <c r="AO439" s="251"/>
      <c r="AP439" s="251"/>
      <c r="AQ439" s="251"/>
      <c r="AR439" s="251"/>
      <c r="AS439" s="251"/>
      <c r="AT439" s="252"/>
      <c r="AU439" s="253">
        <f>SUM(I439:AT439)</f>
      </c>
    </row>
    <row r="440" spans="1:47" x14ac:dyDescent="0.25">
      <c r="A440" s="245"/>
      <c r="B440" s="240" t="s">
        <v>630</v>
      </c>
      <c r="C440" s="106" t="s">
        <v>631</v>
      </c>
      <c r="D440" s="241" t="s">
        <v>596</v>
      </c>
      <c r="E440" s="58"/>
      <c r="F440" s="58"/>
      <c r="G440" s="58"/>
      <c r="H440" s="56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  <c r="AB440" s="254"/>
      <c r="AC440" s="254"/>
      <c r="AD440" s="254"/>
      <c r="AE440" s="254"/>
      <c r="AF440" s="254"/>
      <c r="AG440" s="254"/>
      <c r="AH440" s="254"/>
      <c r="AI440" s="254"/>
      <c r="AJ440" s="254"/>
      <c r="AK440" s="254"/>
      <c r="AL440" s="254"/>
      <c r="AM440" s="254"/>
      <c r="AN440" s="254"/>
      <c r="AO440" s="254"/>
      <c r="AP440" s="254"/>
      <c r="AQ440" s="254"/>
      <c r="AR440" s="254"/>
      <c r="AS440" s="254"/>
      <c r="AT440" s="255"/>
      <c r="AU440" s="244">
        <f>SUM(I440:AT440)</f>
      </c>
    </row>
    <row r="441" spans="1:47" x14ac:dyDescent="0.25">
      <c r="A441" s="245"/>
      <c r="B441" s="180"/>
      <c r="C441" s="93" t="s">
        <v>632</v>
      </c>
      <c r="D441" s="246" t="s">
        <v>317</v>
      </c>
      <c r="E441" s="40"/>
      <c r="F441" s="40"/>
      <c r="G441" s="40"/>
      <c r="H441" s="38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  <c r="AA441" s="247"/>
      <c r="AB441" s="247"/>
      <c r="AC441" s="247"/>
      <c r="AD441" s="247"/>
      <c r="AE441" s="247"/>
      <c r="AF441" s="247"/>
      <c r="AG441" s="247"/>
      <c r="AH441" s="247"/>
      <c r="AI441" s="247"/>
      <c r="AJ441" s="247"/>
      <c r="AK441" s="247"/>
      <c r="AL441" s="247"/>
      <c r="AM441" s="247"/>
      <c r="AN441" s="247"/>
      <c r="AO441" s="247"/>
      <c r="AP441" s="247"/>
      <c r="AQ441" s="247"/>
      <c r="AR441" s="247"/>
      <c r="AS441" s="247"/>
      <c r="AT441" s="248"/>
      <c r="AU441" s="249">
        <f>SUM(I441:AT441)</f>
      </c>
    </row>
    <row r="442" ht="15.75" customHeight="1" spans="1:47" x14ac:dyDescent="0.25">
      <c r="A442" s="256"/>
      <c r="B442" s="183"/>
      <c r="C442" s="101" t="s">
        <v>633</v>
      </c>
      <c r="D442" s="250" t="s">
        <v>433</v>
      </c>
      <c r="E442" s="49"/>
      <c r="F442" s="49"/>
      <c r="G442" s="49"/>
      <c r="H442" s="73"/>
      <c r="I442" s="257"/>
      <c r="J442" s="257"/>
      <c r="K442" s="257"/>
      <c r="L442" s="257"/>
      <c r="M442" s="257"/>
      <c r="N442" s="257"/>
      <c r="O442" s="257"/>
      <c r="P442" s="257"/>
      <c r="Q442" s="257"/>
      <c r="R442" s="257"/>
      <c r="S442" s="257"/>
      <c r="T442" s="257"/>
      <c r="U442" s="257"/>
      <c r="V442" s="257"/>
      <c r="W442" s="257"/>
      <c r="X442" s="257"/>
      <c r="Y442" s="257"/>
      <c r="Z442" s="257"/>
      <c r="AA442" s="257"/>
      <c r="AB442" s="257"/>
      <c r="AC442" s="257"/>
      <c r="AD442" s="257"/>
      <c r="AE442" s="257"/>
      <c r="AF442" s="257"/>
      <c r="AG442" s="257"/>
      <c r="AH442" s="257"/>
      <c r="AI442" s="257"/>
      <c r="AJ442" s="257"/>
      <c r="AK442" s="257"/>
      <c r="AL442" s="257"/>
      <c r="AM442" s="257"/>
      <c r="AN442" s="257"/>
      <c r="AO442" s="257"/>
      <c r="AP442" s="257"/>
      <c r="AQ442" s="257"/>
      <c r="AR442" s="257"/>
      <c r="AS442" s="257"/>
      <c r="AT442" s="258"/>
      <c r="AU442" s="253">
        <f>SUM(I442:AT442)</f>
      </c>
    </row>
    <row r="443" ht="15.75" customHeight="1" spans="8:47" x14ac:dyDescent="0.25">
      <c r="H443" s="259" t="s">
        <v>634</v>
      </c>
      <c r="I443" s="260">
        <f>SUM(I397:I442)</f>
      </c>
      <c r="J443" s="260">
        <f>SUM(J397:J442)</f>
      </c>
      <c r="K443" s="260">
        <f>SUM(K397:K442)</f>
      </c>
      <c r="L443" s="260">
        <f>SUM(L397:L442)</f>
      </c>
      <c r="M443" s="260">
        <f>SUM(M397:M442)</f>
      </c>
      <c r="N443" s="260">
        <f>SUM(N397:N442)</f>
      </c>
      <c r="O443" s="260">
        <f>SUM(O397:O442)</f>
      </c>
      <c r="P443" s="260">
        <f>SUM(P397:P442)</f>
      </c>
      <c r="Q443" s="260">
        <f>SUM(Q397:Q442)</f>
      </c>
      <c r="R443" s="260">
        <f>SUM(R397:R442)</f>
      </c>
      <c r="S443" s="260">
        <f>SUM(S397:S442)</f>
      </c>
      <c r="T443" s="260">
        <f>SUM(T397:T442)</f>
      </c>
      <c r="U443" s="260">
        <f>SUM(U397:U442)</f>
      </c>
      <c r="V443" s="260">
        <f>SUM(V397:V442)</f>
      </c>
      <c r="W443" s="260">
        <f>SUM(W397:W442)</f>
      </c>
      <c r="X443" s="260">
        <f>SUM(X397:X442)</f>
      </c>
      <c r="Y443" s="260">
        <f>SUM(Y397:Y442)</f>
      </c>
      <c r="Z443" s="260">
        <f>SUM(Z397:Z442)</f>
      </c>
      <c r="AA443" s="260">
        <f>SUM(AA397:AA442)</f>
      </c>
      <c r="AB443" s="260">
        <f>SUM(AB397:AB442)</f>
      </c>
      <c r="AC443" s="260">
        <f>SUM(AC397:AC442)</f>
      </c>
      <c r="AD443" s="260">
        <f>SUM(AD397:AD442)</f>
      </c>
      <c r="AE443" s="260">
        <f>SUM(AE397:AE442)</f>
      </c>
      <c r="AF443" s="260">
        <f>SUM(AF397:AF442)</f>
      </c>
      <c r="AG443" s="260">
        <f>SUM(AG397:AG442)</f>
      </c>
      <c r="AH443" s="260">
        <f>SUM(AH397:AH442)</f>
      </c>
      <c r="AI443" s="260">
        <f>SUM(AI397:AI442)</f>
      </c>
      <c r="AJ443" s="260">
        <f>SUM(AJ397:AJ442)</f>
      </c>
      <c r="AK443" s="260">
        <f>SUM(AK397:AK442)</f>
      </c>
      <c r="AL443" s="260">
        <f>SUM(AL397:AL442)</f>
      </c>
      <c r="AM443" s="260">
        <f>SUM(AM397:AM442)</f>
      </c>
      <c r="AN443" s="260">
        <f>SUM(AN397:AN442)</f>
      </c>
      <c r="AO443" s="260">
        <f>SUM(AO397:AO442)</f>
      </c>
      <c r="AP443" s="260">
        <f>SUM(AP397:AP442)</f>
      </c>
      <c r="AQ443" s="260">
        <f>SUM(AQ397:AQ442)</f>
      </c>
      <c r="AR443" s="260">
        <f>SUM(AR397:AR442)</f>
      </c>
      <c r="AS443" s="260">
        <f>SUM(AS397:AS442)</f>
      </c>
      <c r="AT443" s="260">
        <f>SUM(AT397:AT442)</f>
      </c>
      <c r="AU443" s="260">
        <f>SUM(AU397:AU442)</f>
      </c>
    </row>
  </sheetData>
  <mergeCells count="423">
    <mergeCell ref="A1:G1"/>
    <mergeCell ref="A3:H3"/>
    <mergeCell ref="D4:H4"/>
    <mergeCell ref="AU3:AU4"/>
    <mergeCell ref="A4:A367"/>
    <mergeCell ref="D5:E9"/>
    <mergeCell ref="F5:H5"/>
    <mergeCell ref="B5:B24"/>
    <mergeCell ref="F6:H6"/>
    <mergeCell ref="F7:H7"/>
    <mergeCell ref="F8:H8"/>
    <mergeCell ref="F9:H9"/>
    <mergeCell ref="D10:E14"/>
    <mergeCell ref="F10:H10"/>
    <mergeCell ref="F11:H11"/>
    <mergeCell ref="F12:H12"/>
    <mergeCell ref="F13:H13"/>
    <mergeCell ref="F14:H14"/>
    <mergeCell ref="D15:E19"/>
    <mergeCell ref="F15:H15"/>
    <mergeCell ref="F16:H16"/>
    <mergeCell ref="F17:H17"/>
    <mergeCell ref="F18:H18"/>
    <mergeCell ref="F19:H19"/>
    <mergeCell ref="D20:E24"/>
    <mergeCell ref="F20:H20"/>
    <mergeCell ref="F21:H21"/>
    <mergeCell ref="F22:H22"/>
    <mergeCell ref="F23:H23"/>
    <mergeCell ref="F24:H24"/>
    <mergeCell ref="B25:H25"/>
    <mergeCell ref="D26:E32"/>
    <mergeCell ref="F26:H26"/>
    <mergeCell ref="B26:B53"/>
    <mergeCell ref="F27:G28"/>
    <mergeCell ref="F29:G30"/>
    <mergeCell ref="F31:G32"/>
    <mergeCell ref="D33:E39"/>
    <mergeCell ref="F33:H33"/>
    <mergeCell ref="F34:G35"/>
    <mergeCell ref="F36:G37"/>
    <mergeCell ref="F38:G39"/>
    <mergeCell ref="D40:E46"/>
    <mergeCell ref="F40:H40"/>
    <mergeCell ref="F41:G42"/>
    <mergeCell ref="F43:G44"/>
    <mergeCell ref="F45:G46"/>
    <mergeCell ref="D47:E53"/>
    <mergeCell ref="F47:H47"/>
    <mergeCell ref="F48:G49"/>
    <mergeCell ref="F50:G51"/>
    <mergeCell ref="F52:G53"/>
    <mergeCell ref="B54:H54"/>
    <mergeCell ref="D55:E62"/>
    <mergeCell ref="F55:H55"/>
    <mergeCell ref="B55:B86"/>
    <mergeCell ref="F56:H56"/>
    <mergeCell ref="F57:H57"/>
    <mergeCell ref="F58:H58"/>
    <mergeCell ref="F59:G62"/>
    <mergeCell ref="D63:E70"/>
    <mergeCell ref="F63:H63"/>
    <mergeCell ref="F64:H64"/>
    <mergeCell ref="F65:H65"/>
    <mergeCell ref="F66:H66"/>
    <mergeCell ref="F67:G70"/>
    <mergeCell ref="D71:E78"/>
    <mergeCell ref="F71:H71"/>
    <mergeCell ref="F72:H72"/>
    <mergeCell ref="F73:H73"/>
    <mergeCell ref="F74:H74"/>
    <mergeCell ref="F75:G78"/>
    <mergeCell ref="D79:E86"/>
    <mergeCell ref="F79:H79"/>
    <mergeCell ref="F80:H80"/>
    <mergeCell ref="F81:H81"/>
    <mergeCell ref="F82:H82"/>
    <mergeCell ref="F83:G86"/>
    <mergeCell ref="B87:H87"/>
    <mergeCell ref="D88:E89"/>
    <mergeCell ref="F88:H88"/>
    <mergeCell ref="B88:B95"/>
    <mergeCell ref="F89:H89"/>
    <mergeCell ref="D90:E91"/>
    <mergeCell ref="F90:H90"/>
    <mergeCell ref="F91:H91"/>
    <mergeCell ref="D92:E93"/>
    <mergeCell ref="F92:H92"/>
    <mergeCell ref="F93:H93"/>
    <mergeCell ref="D94:E95"/>
    <mergeCell ref="F94:H94"/>
    <mergeCell ref="F95:H95"/>
    <mergeCell ref="B96:H96"/>
    <mergeCell ref="D97:E100"/>
    <mergeCell ref="F97:H97"/>
    <mergeCell ref="B97:B112"/>
    <mergeCell ref="F98:H98"/>
    <mergeCell ref="F99:G100"/>
    <mergeCell ref="D101:E104"/>
    <mergeCell ref="F101:H101"/>
    <mergeCell ref="F102:H102"/>
    <mergeCell ref="F103:G104"/>
    <mergeCell ref="D105:E108"/>
    <mergeCell ref="F105:H105"/>
    <mergeCell ref="F106:H106"/>
    <mergeCell ref="F107:G108"/>
    <mergeCell ref="D109:E112"/>
    <mergeCell ref="F109:H109"/>
    <mergeCell ref="F110:H110"/>
    <mergeCell ref="F111:G112"/>
    <mergeCell ref="B113:H113"/>
    <mergeCell ref="D114:E120"/>
    <mergeCell ref="F114:H114"/>
    <mergeCell ref="B114:B141"/>
    <mergeCell ref="F115:H115"/>
    <mergeCell ref="F116:H116"/>
    <mergeCell ref="F117:G119"/>
    <mergeCell ref="F120:G120"/>
    <mergeCell ref="D121:E127"/>
    <mergeCell ref="F121:H121"/>
    <mergeCell ref="F122:H122"/>
    <mergeCell ref="F123:H123"/>
    <mergeCell ref="F124:G126"/>
    <mergeCell ref="F127:G127"/>
    <mergeCell ref="D128:E134"/>
    <mergeCell ref="F128:H128"/>
    <mergeCell ref="F129:H129"/>
    <mergeCell ref="F130:H130"/>
    <mergeCell ref="F131:G133"/>
    <mergeCell ref="F134:G134"/>
    <mergeCell ref="D135:E141"/>
    <mergeCell ref="F135:H135"/>
    <mergeCell ref="F136:H136"/>
    <mergeCell ref="F137:H137"/>
    <mergeCell ref="F138:G140"/>
    <mergeCell ref="F141:G141"/>
    <mergeCell ref="B142:H142"/>
    <mergeCell ref="D143:E149"/>
    <mergeCell ref="F143:H143"/>
    <mergeCell ref="B143:B170"/>
    <mergeCell ref="F144:H144"/>
    <mergeCell ref="F145:H145"/>
    <mergeCell ref="F146:G148"/>
    <mergeCell ref="F149:G149"/>
    <mergeCell ref="D150:E156"/>
    <mergeCell ref="F150:H150"/>
    <mergeCell ref="F151:H151"/>
    <mergeCell ref="F152:H152"/>
    <mergeCell ref="F153:G155"/>
    <mergeCell ref="F156:G156"/>
    <mergeCell ref="D157:E163"/>
    <mergeCell ref="F157:H157"/>
    <mergeCell ref="F158:H158"/>
    <mergeCell ref="F159:H159"/>
    <mergeCell ref="F160:G162"/>
    <mergeCell ref="F163:G163"/>
    <mergeCell ref="D164:E170"/>
    <mergeCell ref="F164:H164"/>
    <mergeCell ref="F165:H165"/>
    <mergeCell ref="F166:H166"/>
    <mergeCell ref="F167:G169"/>
    <mergeCell ref="F170:G170"/>
    <mergeCell ref="B171:H171"/>
    <mergeCell ref="D172:E175"/>
    <mergeCell ref="F172:H172"/>
    <mergeCell ref="B172:B187"/>
    <mergeCell ref="F173:H173"/>
    <mergeCell ref="F174:G175"/>
    <mergeCell ref="D176:E179"/>
    <mergeCell ref="F176:H176"/>
    <mergeCell ref="F177:H177"/>
    <mergeCell ref="F178:G179"/>
    <mergeCell ref="D180:E183"/>
    <mergeCell ref="F180:H180"/>
    <mergeCell ref="F181:H181"/>
    <mergeCell ref="F182:G183"/>
    <mergeCell ref="D184:E187"/>
    <mergeCell ref="F184:H184"/>
    <mergeCell ref="F185:H185"/>
    <mergeCell ref="F186:G187"/>
    <mergeCell ref="B188:H188"/>
    <mergeCell ref="D189:E196"/>
    <mergeCell ref="F189:H189"/>
    <mergeCell ref="B189:B220"/>
    <mergeCell ref="F190:H190"/>
    <mergeCell ref="F191:H191"/>
    <mergeCell ref="F192:H192"/>
    <mergeCell ref="F193:H193"/>
    <mergeCell ref="F194:H194"/>
    <mergeCell ref="F195:H195"/>
    <mergeCell ref="F196:H196"/>
    <mergeCell ref="D197:E204"/>
    <mergeCell ref="F197:H197"/>
    <mergeCell ref="F198:H198"/>
    <mergeCell ref="F199:H199"/>
    <mergeCell ref="F200:H200"/>
    <mergeCell ref="F201:H201"/>
    <mergeCell ref="F202:H202"/>
    <mergeCell ref="F203:H203"/>
    <mergeCell ref="F204:H204"/>
    <mergeCell ref="D205:E212"/>
    <mergeCell ref="F205:H205"/>
    <mergeCell ref="F206:H206"/>
    <mergeCell ref="F207:H207"/>
    <mergeCell ref="F208:H208"/>
    <mergeCell ref="F209:H209"/>
    <mergeCell ref="F210:H210"/>
    <mergeCell ref="F211:H211"/>
    <mergeCell ref="F212:H212"/>
    <mergeCell ref="D213:E220"/>
    <mergeCell ref="F213:H213"/>
    <mergeCell ref="F214:H214"/>
    <mergeCell ref="F215:H215"/>
    <mergeCell ref="F216:H216"/>
    <mergeCell ref="F217:H217"/>
    <mergeCell ref="F218:H218"/>
    <mergeCell ref="F219:H219"/>
    <mergeCell ref="F220:H220"/>
    <mergeCell ref="B221:H221"/>
    <mergeCell ref="D222:E228"/>
    <mergeCell ref="F222:G225"/>
    <mergeCell ref="B222:B249"/>
    <mergeCell ref="F226:G228"/>
    <mergeCell ref="D229:E235"/>
    <mergeCell ref="F229:G232"/>
    <mergeCell ref="F233:G235"/>
    <mergeCell ref="D236:E242"/>
    <mergeCell ref="F236:G239"/>
    <mergeCell ref="F240:G242"/>
    <mergeCell ref="D243:E249"/>
    <mergeCell ref="F243:G246"/>
    <mergeCell ref="F247:G249"/>
    <mergeCell ref="B250:H250"/>
    <mergeCell ref="D251:E252"/>
    <mergeCell ref="F251:H251"/>
    <mergeCell ref="B251:B258"/>
    <mergeCell ref="F252:H252"/>
    <mergeCell ref="D253:E254"/>
    <mergeCell ref="F253:H253"/>
    <mergeCell ref="F254:H254"/>
    <mergeCell ref="D255:E256"/>
    <mergeCell ref="F255:H255"/>
    <mergeCell ref="F256:H256"/>
    <mergeCell ref="D257:E258"/>
    <mergeCell ref="F257:H257"/>
    <mergeCell ref="F258:H258"/>
    <mergeCell ref="B259:H259"/>
    <mergeCell ref="D260:E262"/>
    <mergeCell ref="F260:H260"/>
    <mergeCell ref="B260:B271"/>
    <mergeCell ref="F261:H261"/>
    <mergeCell ref="F262:H262"/>
    <mergeCell ref="D263:E265"/>
    <mergeCell ref="F263:H263"/>
    <mergeCell ref="F264:H264"/>
    <mergeCell ref="F265:H265"/>
    <mergeCell ref="D266:E268"/>
    <mergeCell ref="F266:H266"/>
    <mergeCell ref="F267:H267"/>
    <mergeCell ref="F268:H268"/>
    <mergeCell ref="D269:E271"/>
    <mergeCell ref="F269:H269"/>
    <mergeCell ref="F270:H270"/>
    <mergeCell ref="F271:H271"/>
    <mergeCell ref="B272:H272"/>
    <mergeCell ref="F273:G274"/>
    <mergeCell ref="B273:B352"/>
    <mergeCell ref="D273:D280"/>
    <mergeCell ref="E273:E292"/>
    <mergeCell ref="F275:G276"/>
    <mergeCell ref="F277:G278"/>
    <mergeCell ref="F279:G280"/>
    <mergeCell ref="F281:G283"/>
    <mergeCell ref="D281:D292"/>
    <mergeCell ref="F284:G286"/>
    <mergeCell ref="F287:G289"/>
    <mergeCell ref="F290:G292"/>
    <mergeCell ref="F293:G294"/>
    <mergeCell ref="D293:D300"/>
    <mergeCell ref="E293:E312"/>
    <mergeCell ref="F295:G296"/>
    <mergeCell ref="F297:G298"/>
    <mergeCell ref="F299:G300"/>
    <mergeCell ref="F301:G303"/>
    <mergeCell ref="D301:D312"/>
    <mergeCell ref="F304:G306"/>
    <mergeCell ref="F307:G309"/>
    <mergeCell ref="F310:G312"/>
    <mergeCell ref="F313:G314"/>
    <mergeCell ref="D313:D320"/>
    <mergeCell ref="E313:E332"/>
    <mergeCell ref="F315:G316"/>
    <mergeCell ref="F317:G318"/>
    <mergeCell ref="F319:G320"/>
    <mergeCell ref="F321:G323"/>
    <mergeCell ref="D321:D332"/>
    <mergeCell ref="F324:G326"/>
    <mergeCell ref="F327:G329"/>
    <mergeCell ref="F330:G332"/>
    <mergeCell ref="F333:G334"/>
    <mergeCell ref="D333:D340"/>
    <mergeCell ref="E333:E352"/>
    <mergeCell ref="F335:G336"/>
    <mergeCell ref="F337:G338"/>
    <mergeCell ref="F339:G340"/>
    <mergeCell ref="F341:G343"/>
    <mergeCell ref="D341:D352"/>
    <mergeCell ref="F344:G346"/>
    <mergeCell ref="F347:G349"/>
    <mergeCell ref="F350:G352"/>
    <mergeCell ref="B353:H353"/>
    <mergeCell ref="D354:E355"/>
    <mergeCell ref="F354:H354"/>
    <mergeCell ref="B354:B361"/>
    <mergeCell ref="F355:H355"/>
    <mergeCell ref="D356:E357"/>
    <mergeCell ref="F356:H356"/>
    <mergeCell ref="F357:H357"/>
    <mergeCell ref="D358:E359"/>
    <mergeCell ref="F358:H358"/>
    <mergeCell ref="F359:H359"/>
    <mergeCell ref="D360:E361"/>
    <mergeCell ref="F360:H360"/>
    <mergeCell ref="F361:H361"/>
    <mergeCell ref="B362:H362"/>
    <mergeCell ref="D363:E363"/>
    <mergeCell ref="F363:H363"/>
    <mergeCell ref="B363:B366"/>
    <mergeCell ref="D364:E364"/>
    <mergeCell ref="F364:H364"/>
    <mergeCell ref="D365:E365"/>
    <mergeCell ref="F365:H365"/>
    <mergeCell ref="D366:E366"/>
    <mergeCell ref="F366:H366"/>
    <mergeCell ref="B367:H367"/>
    <mergeCell ref="D368:E374"/>
    <mergeCell ref="F368:G370"/>
    <mergeCell ref="A368:A396"/>
    <mergeCell ref="B368:B395"/>
    <mergeCell ref="F371:G371"/>
    <mergeCell ref="F372:G372"/>
    <mergeCell ref="F373:G373"/>
    <mergeCell ref="F374:G374"/>
    <mergeCell ref="D375:E381"/>
    <mergeCell ref="F375:G377"/>
    <mergeCell ref="F378:G378"/>
    <mergeCell ref="F379:G379"/>
    <mergeCell ref="F380:G380"/>
    <mergeCell ref="F381:G381"/>
    <mergeCell ref="D382:E388"/>
    <mergeCell ref="F382:G384"/>
    <mergeCell ref="F385:G385"/>
    <mergeCell ref="F386:G386"/>
    <mergeCell ref="F387:G387"/>
    <mergeCell ref="F388:G388"/>
    <mergeCell ref="D389:E395"/>
    <mergeCell ref="F389:G391"/>
    <mergeCell ref="F392:G392"/>
    <mergeCell ref="F393:G393"/>
    <mergeCell ref="F394:G394"/>
    <mergeCell ref="F395:G395"/>
    <mergeCell ref="B396:H396"/>
    <mergeCell ref="D397:H397"/>
    <mergeCell ref="A397:A442"/>
    <mergeCell ref="B397:B401"/>
    <mergeCell ref="D398:H398"/>
    <mergeCell ref="D399:H399"/>
    <mergeCell ref="D400:H400"/>
    <mergeCell ref="D401:H401"/>
    <mergeCell ref="D402:H402"/>
    <mergeCell ref="B402:B406"/>
    <mergeCell ref="D403:H403"/>
    <mergeCell ref="D404:H404"/>
    <mergeCell ref="D405:H405"/>
    <mergeCell ref="D406:H406"/>
    <mergeCell ref="D407:H407"/>
    <mergeCell ref="B407:B411"/>
    <mergeCell ref="D408:H408"/>
    <mergeCell ref="D409:H409"/>
    <mergeCell ref="D410:H410"/>
    <mergeCell ref="D411:H411"/>
    <mergeCell ref="D412:H412"/>
    <mergeCell ref="B412:B413"/>
    <mergeCell ref="D413:H413"/>
    <mergeCell ref="D414:H414"/>
    <mergeCell ref="B414:B416"/>
    <mergeCell ref="D415:H415"/>
    <mergeCell ref="D416:H416"/>
    <mergeCell ref="D417:H417"/>
    <mergeCell ref="B417:B419"/>
    <mergeCell ref="D418:H418"/>
    <mergeCell ref="D419:H419"/>
    <mergeCell ref="D420:H420"/>
    <mergeCell ref="B420:B422"/>
    <mergeCell ref="D421:H421"/>
    <mergeCell ref="D422:H422"/>
    <mergeCell ref="D423:H423"/>
    <mergeCell ref="B423:B425"/>
    <mergeCell ref="D424:H424"/>
    <mergeCell ref="D425:H425"/>
    <mergeCell ref="D426:H426"/>
    <mergeCell ref="B426:B428"/>
    <mergeCell ref="D427:H427"/>
    <mergeCell ref="D428:H428"/>
    <mergeCell ref="D429:H429"/>
    <mergeCell ref="B429:B431"/>
    <mergeCell ref="D430:H430"/>
    <mergeCell ref="D431:H431"/>
    <mergeCell ref="D432:H432"/>
    <mergeCell ref="B432:B433"/>
    <mergeCell ref="D433:H433"/>
    <mergeCell ref="D434:H434"/>
    <mergeCell ref="B434:B436"/>
    <mergeCell ref="D435:H435"/>
    <mergeCell ref="D436:H436"/>
    <mergeCell ref="D437:H437"/>
    <mergeCell ref="B437:B439"/>
    <mergeCell ref="D438:H438"/>
    <mergeCell ref="D439:H439"/>
    <mergeCell ref="D440:H440"/>
    <mergeCell ref="B440:B442"/>
    <mergeCell ref="D441:H441"/>
    <mergeCell ref="D442:H442"/>
  </mergeCells>
  <pageMargins left="0.2362204724409449" right="0.2362204724409449" top="0.15748031496062992" bottom="0.15748031496062992" header="0.31496062992125984" footer="0.31496062992125984"/>
  <pageSetup paperSize="4636" orientation="portrait" horizontalDpi="1200" verticalDpi="4294967295" scale="46" fitToWidth="3" fitToHeight="2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H100"/>
  <sheetViews>
    <sheetView workbookViewId="0" showGridLines="0" zoomScale="80">
      <pane xSplit="1" ySplit="2" topLeftCell="B3" activePane="bottomRight" state="frozen"/>
      <selection pane="bottomRight"/>
    </sheetView>
  </sheetViews>
  <sheetFormatPr defaultRowHeight="15" outlineLevelRow="0" outlineLevelCol="0" x14ac:dyDescent="0.25"/>
  <cols>
    <col min="1" max="1" width="23.42578125" style="1" customWidth="1"/>
    <col min="2" max="2" width="5.85546875" style="1" customWidth="1"/>
    <col min="3" max="3" width="6.140625" style="1" customWidth="1"/>
    <col min="4" max="5" width="5.140625" style="1" customWidth="1"/>
    <col min="6" max="6" width="5.85546875" style="1" customWidth="1"/>
    <col min="7" max="8" width="5.5703125" style="1" customWidth="1"/>
    <col min="9" max="9" width="7" style="1" customWidth="1"/>
    <col min="10" max="10" width="4.85546875" style="1" customWidth="1"/>
    <col min="11" max="12" width="5.140625" style="1" customWidth="1"/>
    <col min="13" max="13" width="5.7109375" style="1" customWidth="1"/>
    <col min="14" max="14" width="6.42578125" style="1" customWidth="1"/>
    <col min="15" max="15" width="5.7109375" style="1" customWidth="1"/>
    <col min="16" max="20" width="5.85546875" style="1" customWidth="1"/>
    <col min="21" max="21" width="5.140625" style="1" customWidth="1"/>
    <col min="22" max="36" width="5.85546875" style="1" customWidth="1"/>
    <col min="37" max="37" width="7.7109375" style="1" customWidth="1"/>
    <col min="38" max="38" width="5.85546875" style="1" customWidth="1"/>
    <col min="39" max="39" width="6.5703125" style="1" customWidth="1"/>
    <col min="40" max="40" width="9.140625" style="1" customWidth="1"/>
    <col min="41" max="41" width="5.7109375" style="1" customWidth="1"/>
    <col min="42" max="42" width="5" style="1" customWidth="1"/>
  </cols>
  <sheetData>
    <row r="1" ht="24.75" customHeight="1" spans="1:60" x14ac:dyDescent="0.25">
      <c r="A1" s="261" t="s">
        <v>635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62"/>
      <c r="W1" s="1"/>
      <c r="X1" s="1"/>
      <c r="Y1" s="1"/>
      <c r="Z1" s="263"/>
      <c r="AA1" s="1"/>
      <c r="AB1" s="264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110.25" customHeight="1" spans="1:60" x14ac:dyDescent="0.25">
      <c r="A2" s="265" t="s">
        <v>636</v>
      </c>
      <c r="B2" s="266" t="s">
        <v>0</v>
      </c>
      <c r="C2" s="266" t="s">
        <v>1</v>
      </c>
      <c r="D2" s="266" t="s">
        <v>2</v>
      </c>
      <c r="E2" s="266" t="s">
        <v>3</v>
      </c>
      <c r="F2" s="266" t="s">
        <v>4</v>
      </c>
      <c r="G2" s="266" t="s">
        <v>5</v>
      </c>
      <c r="H2" s="266" t="s">
        <v>6</v>
      </c>
      <c r="I2" s="266" t="s">
        <v>7</v>
      </c>
      <c r="J2" s="266" t="s">
        <v>8</v>
      </c>
      <c r="K2" s="266" t="s">
        <v>9</v>
      </c>
      <c r="L2" s="266" t="s">
        <v>10</v>
      </c>
      <c r="M2" s="266" t="s">
        <v>11</v>
      </c>
      <c r="N2" s="266" t="s">
        <v>12</v>
      </c>
      <c r="O2" s="266" t="s">
        <v>13</v>
      </c>
      <c r="P2" s="266" t="s">
        <v>14</v>
      </c>
      <c r="Q2" s="266" t="s">
        <v>15</v>
      </c>
      <c r="R2" s="266" t="s">
        <v>16</v>
      </c>
      <c r="S2" s="266" t="s">
        <v>17</v>
      </c>
      <c r="T2" s="266" t="s">
        <v>18</v>
      </c>
      <c r="U2" s="266" t="s">
        <v>19</v>
      </c>
      <c r="V2" s="266" t="s">
        <v>20</v>
      </c>
      <c r="W2" s="266" t="s">
        <v>21</v>
      </c>
      <c r="X2" s="266" t="s">
        <v>22</v>
      </c>
      <c r="Y2" s="266" t="s">
        <v>23</v>
      </c>
      <c r="Z2" s="266" t="s">
        <v>24</v>
      </c>
      <c r="AA2" s="266" t="s">
        <v>25</v>
      </c>
      <c r="AB2" s="266" t="s">
        <v>26</v>
      </c>
      <c r="AC2" s="266" t="s">
        <v>27</v>
      </c>
      <c r="AD2" s="266" t="s">
        <v>28</v>
      </c>
      <c r="AE2" s="266" t="s">
        <v>29</v>
      </c>
      <c r="AF2" s="266" t="s">
        <v>30</v>
      </c>
      <c r="AG2" s="266" t="s">
        <v>31</v>
      </c>
      <c r="AH2" s="266" t="s">
        <v>32</v>
      </c>
      <c r="AI2" s="266" t="s">
        <v>33</v>
      </c>
      <c r="AJ2" s="266" t="s">
        <v>34</v>
      </c>
      <c r="AK2" s="266" t="s">
        <v>35</v>
      </c>
      <c r="AL2" s="266" t="s">
        <v>36</v>
      </c>
      <c r="AM2" s="266" t="s">
        <v>37</v>
      </c>
      <c r="AN2" s="266" t="s">
        <v>637</v>
      </c>
      <c r="AO2" s="267" t="s">
        <v>638</v>
      </c>
      <c r="AP2" s="268"/>
    </row>
    <row r="3" ht="18.75" customHeight="1" spans="1:60" x14ac:dyDescent="0.25">
      <c r="A3" s="269" t="s">
        <v>639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1"/>
      <c r="AO3" s="272"/>
      <c r="AP3" s="273"/>
    </row>
    <row r="4" ht="15.75" customHeight="1" spans="1:60" x14ac:dyDescent="0.25">
      <c r="A4" s="274" t="s">
        <v>81</v>
      </c>
      <c r="B4" s="275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7"/>
      <c r="AN4" s="278">
        <f>SUM(B4:AM4)</f>
        <v>122</v>
      </c>
      <c r="AO4" s="272"/>
      <c r="AP4" s="273"/>
    </row>
    <row r="5" ht="15.75" customHeight="1" spans="1:60" x14ac:dyDescent="0.25">
      <c r="A5" s="279" t="s">
        <v>640</v>
      </c>
      <c r="B5" s="280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1"/>
      <c r="AM5" s="282"/>
      <c r="AN5" s="283">
        <f>SUM(B5:AM5)</f>
        <v>67.94999999999999</v>
      </c>
      <c r="AO5" s="272"/>
      <c r="AP5" s="273"/>
    </row>
    <row r="6" ht="15.75" customHeight="1" spans="1:60" x14ac:dyDescent="0.25">
      <c r="A6" s="284" t="s">
        <v>641</v>
      </c>
      <c r="B6" s="285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7"/>
      <c r="AN6" s="283">
        <f>SUM(B6:AM6)</f>
        <v>1650</v>
      </c>
      <c r="AO6" s="272"/>
      <c r="AP6" s="273"/>
    </row>
    <row r="7" ht="15.75" customHeight="1" spans="1:60" x14ac:dyDescent="0.25">
      <c r="A7" s="288" t="s">
        <v>189</v>
      </c>
      <c r="B7" s="289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  <c r="AJ7" s="290"/>
      <c r="AK7" s="290"/>
      <c r="AL7" s="290"/>
      <c r="AM7" s="291"/>
      <c r="AN7" s="283">
        <f>SUM(B7:AM7)</f>
        <v>80.3</v>
      </c>
      <c r="AO7" s="272"/>
      <c r="AP7" s="273"/>
    </row>
    <row r="8" ht="15.75" customHeight="1" spans="1:60" x14ac:dyDescent="0.25">
      <c r="A8" s="292" t="s">
        <v>642</v>
      </c>
      <c r="B8" s="293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  <c r="AD8" s="294"/>
      <c r="AE8" s="294"/>
      <c r="AF8" s="294"/>
      <c r="AG8" s="294"/>
      <c r="AH8" s="294"/>
      <c r="AI8" s="294"/>
      <c r="AJ8" s="294"/>
      <c r="AK8" s="294"/>
      <c r="AL8" s="294"/>
      <c r="AM8" s="295"/>
      <c r="AN8" s="283">
        <f>SUM(B8:AM8)</f>
        <v>998</v>
      </c>
      <c r="AO8" s="272"/>
      <c r="AP8" s="273"/>
    </row>
    <row r="9" ht="15.75" customHeight="1" spans="1:60" x14ac:dyDescent="0.25">
      <c r="A9" s="296" t="s">
        <v>643</v>
      </c>
      <c r="B9" s="297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9"/>
      <c r="AN9" s="283">
        <f>SUM(B9:AM9)</f>
        <v>2748</v>
      </c>
      <c r="AO9" s="272"/>
      <c r="AP9" s="273"/>
    </row>
    <row r="10" ht="15.75" customHeight="1" spans="1:60" x14ac:dyDescent="0.25">
      <c r="A10" s="300" t="s">
        <v>644</v>
      </c>
      <c r="B10" s="301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3"/>
      <c r="AN10" s="283">
        <f>SUM(B10:AM10)</f>
      </c>
      <c r="AO10" s="272"/>
      <c r="AP10" s="273"/>
    </row>
    <row r="11" ht="15.75" customHeight="1" spans="1:60" x14ac:dyDescent="0.25">
      <c r="A11" s="304" t="s">
        <v>645</v>
      </c>
      <c r="B11" s="305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306"/>
      <c r="AJ11" s="306"/>
      <c r="AK11" s="306"/>
      <c r="AL11" s="306"/>
      <c r="AM11" s="307"/>
      <c r="AN11" s="283">
        <f>SUM(B11:AM11)</f>
        <v>7784</v>
      </c>
      <c r="AO11" s="272"/>
      <c r="AP11" s="273"/>
    </row>
    <row r="12" ht="15.75" customHeight="1" spans="1:60" x14ac:dyDescent="0.25">
      <c r="A12" s="308" t="s">
        <v>646</v>
      </c>
      <c r="B12" s="309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1"/>
      <c r="AN12" s="283">
        <f>SUM(B12:AM12)</f>
      </c>
      <c r="AO12" s="272"/>
      <c r="AP12" s="273"/>
    </row>
    <row r="13" ht="15.75" customHeight="1" spans="1:60" x14ac:dyDescent="0.25">
      <c r="A13" s="312" t="s">
        <v>647</v>
      </c>
      <c r="B13" s="313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315"/>
      <c r="AN13" s="283">
        <f>SUM(B13:AM13)</f>
        <v>1002</v>
      </c>
      <c r="AO13" s="272"/>
      <c r="AP13" s="273"/>
    </row>
    <row r="14" ht="15.75" customHeight="1" spans="1:60" s="316" customFormat="1" x14ac:dyDescent="0.25">
      <c r="A14" s="317" t="s">
        <v>648</v>
      </c>
      <c r="B14" s="318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20"/>
      <c r="AN14" s="283">
        <f>SUM(B14:AM14)</f>
        <v>341</v>
      </c>
      <c r="AO14" s="272"/>
      <c r="AP14" s="273"/>
    </row>
    <row r="15" ht="15.75" customHeight="1" spans="1:60" x14ac:dyDescent="0.25">
      <c r="A15" s="321" t="s">
        <v>649</v>
      </c>
      <c r="B15" s="322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4"/>
      <c r="AN15" s="283">
        <f>SUM(B15:AM15)</f>
        <v>95.3</v>
      </c>
      <c r="AO15" s="272"/>
      <c r="AP15" s="273"/>
    </row>
    <row r="16" ht="15.75" customHeight="1" spans="1:60" s="316" customFormat="1" x14ac:dyDescent="0.25">
      <c r="A16" s="325" t="s">
        <v>650</v>
      </c>
      <c r="B16" s="326"/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8"/>
      <c r="AN16" s="283">
        <f>SUM(B16:AM16)</f>
        <v>1049</v>
      </c>
      <c r="AO16" s="272"/>
      <c r="AP16" s="273"/>
    </row>
    <row r="17" ht="15.75" customHeight="1" spans="1:60" s="329" customFormat="1" x14ac:dyDescent="0.25">
      <c r="A17" s="330" t="s">
        <v>651</v>
      </c>
      <c r="B17" s="331"/>
      <c r="C17" s="332"/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33"/>
      <c r="AN17" s="283">
        <f>SUM(B17:AM17)</f>
      </c>
      <c r="AO17" s="272"/>
      <c r="AP17" s="273"/>
    </row>
    <row r="18" ht="15.75" customHeight="1" spans="1:60" s="329" customFormat="1" x14ac:dyDescent="0.25">
      <c r="A18" s="334" t="s">
        <v>652</v>
      </c>
      <c r="B18" s="335"/>
      <c r="C18" s="336"/>
      <c r="D18" s="336"/>
      <c r="E18" s="336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7"/>
      <c r="AN18" s="283">
        <f>SUM(B18:AM18)</f>
      </c>
      <c r="AO18" s="272"/>
      <c r="AP18" s="273"/>
    </row>
    <row r="19" ht="15.75" customHeight="1" spans="1:60" x14ac:dyDescent="0.25">
      <c r="A19" s="338" t="s">
        <v>387</v>
      </c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  <c r="AM19" s="341"/>
      <c r="AN19" s="283">
        <f>SUM(B19:AM19)</f>
      </c>
      <c r="AO19" s="272"/>
      <c r="AP19" s="273"/>
    </row>
    <row r="20" ht="16.5" customHeight="1" spans="1:60" x14ac:dyDescent="0.25">
      <c r="A20" s="342" t="s">
        <v>653</v>
      </c>
      <c r="B20" s="343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5"/>
      <c r="AN20" s="283">
        <f>SUM(B20:AM20)</f>
        <v>765</v>
      </c>
      <c r="AO20" s="272"/>
      <c r="AP20" s="273"/>
    </row>
    <row r="21" ht="16.5" customHeight="1" spans="1:60" x14ac:dyDescent="0.25">
      <c r="A21" s="346" t="s">
        <v>521</v>
      </c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48"/>
      <c r="AK21" s="348"/>
      <c r="AL21" s="348"/>
      <c r="AM21" s="349"/>
      <c r="AN21" s="350">
        <f>SUM(B21:AM21)</f>
        <v>665</v>
      </c>
      <c r="AO21" s="272"/>
      <c r="AP21" s="273"/>
    </row>
    <row r="22" ht="18.75" customHeight="1" spans="1:60" x14ac:dyDescent="0.25">
      <c r="A22" s="351" t="s">
        <v>654</v>
      </c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  <c r="AJ22" s="352"/>
      <c r="AK22" s="352"/>
      <c r="AL22" s="352"/>
      <c r="AM22" s="352"/>
      <c r="AN22" s="353"/>
      <c r="AO22" s="272"/>
      <c r="AP22" s="273"/>
    </row>
    <row r="23" ht="15.75" customHeight="1" spans="1:60" x14ac:dyDescent="0.25">
      <c r="A23" s="274" t="s">
        <v>81</v>
      </c>
      <c r="B23" s="275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7"/>
      <c r="AN23" s="278">
        <f>SUM(B23:AM23)</f>
        <v>90</v>
      </c>
      <c r="AO23" s="272"/>
      <c r="AP23" s="273"/>
    </row>
    <row r="24" ht="15.75" customHeight="1" spans="1:60" x14ac:dyDescent="0.25">
      <c r="A24" s="279" t="s">
        <v>640</v>
      </c>
      <c r="B24" s="280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2"/>
      <c r="AN24" s="283">
        <f>SUM(B24:AM24)</f>
        <v>22</v>
      </c>
      <c r="AO24" s="272"/>
      <c r="AP24" s="273"/>
    </row>
    <row r="25" ht="15.75" customHeight="1" spans="1:60" x14ac:dyDescent="0.25">
      <c r="A25" s="284" t="s">
        <v>641</v>
      </c>
      <c r="B25" s="285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7"/>
      <c r="AN25" s="283">
        <f>SUM(B25:AM25)</f>
        <v>1230</v>
      </c>
      <c r="AO25" s="272"/>
      <c r="AP25" s="273"/>
    </row>
    <row r="26" ht="15.75" customHeight="1" spans="1:60" x14ac:dyDescent="0.25">
      <c r="A26" s="288" t="s">
        <v>189</v>
      </c>
      <c r="B26" s="289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1"/>
      <c r="AN26" s="283">
        <f>SUM(B26:AM26)</f>
        <v>24</v>
      </c>
      <c r="AO26" s="272"/>
      <c r="AP26" s="273"/>
    </row>
    <row r="27" ht="15.75" customHeight="1" spans="1:60" x14ac:dyDescent="0.25">
      <c r="A27" s="292" t="s">
        <v>642</v>
      </c>
      <c r="B27" s="293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5"/>
      <c r="AN27" s="283">
        <f>SUM(B27:AM27)</f>
        <v>750</v>
      </c>
      <c r="AO27" s="272"/>
      <c r="AP27" s="273"/>
    </row>
    <row r="28" ht="15.75" customHeight="1" spans="1:60" x14ac:dyDescent="0.25">
      <c r="A28" s="296" t="s">
        <v>643</v>
      </c>
      <c r="B28" s="297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8"/>
      <c r="AF28" s="298"/>
      <c r="AG28" s="298"/>
      <c r="AH28" s="298"/>
      <c r="AI28" s="298"/>
      <c r="AJ28" s="298"/>
      <c r="AK28" s="298"/>
      <c r="AL28" s="298"/>
      <c r="AM28" s="299"/>
      <c r="AN28" s="283">
        <f>SUM(B28:AM28)</f>
        <v>700</v>
      </c>
      <c r="AO28" s="272"/>
      <c r="AP28" s="273"/>
    </row>
    <row r="29" ht="15.75" customHeight="1" spans="1:60" x14ac:dyDescent="0.25">
      <c r="A29" s="300" t="s">
        <v>644</v>
      </c>
      <c r="B29" s="301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3"/>
      <c r="AN29" s="283">
        <f>SUM(B29:AM29)</f>
      </c>
      <c r="AO29" s="272"/>
      <c r="AP29" s="273"/>
    </row>
    <row r="30" ht="15.75" customHeight="1" spans="1:60" x14ac:dyDescent="0.25">
      <c r="A30" s="304" t="s">
        <v>645</v>
      </c>
      <c r="B30" s="305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  <c r="X30" s="306"/>
      <c r="Y30" s="306"/>
      <c r="Z30" s="306"/>
      <c r="AA30" s="306"/>
      <c r="AB30" s="306"/>
      <c r="AC30" s="306"/>
      <c r="AD30" s="306"/>
      <c r="AE30" s="306"/>
      <c r="AF30" s="306"/>
      <c r="AG30" s="306"/>
      <c r="AH30" s="306"/>
      <c r="AI30" s="306"/>
      <c r="AJ30" s="306"/>
      <c r="AK30" s="306"/>
      <c r="AL30" s="306"/>
      <c r="AM30" s="307"/>
      <c r="AN30" s="283">
        <f>SUM(B30:AM30)</f>
        <v>560</v>
      </c>
      <c r="AO30" s="272"/>
      <c r="AP30" s="273"/>
    </row>
    <row r="31" ht="15.75" customHeight="1" spans="1:60" x14ac:dyDescent="0.25">
      <c r="A31" s="308" t="s">
        <v>646</v>
      </c>
      <c r="B31" s="309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Y31" s="310"/>
      <c r="Z31" s="310"/>
      <c r="AA31" s="310"/>
      <c r="AB31" s="310"/>
      <c r="AC31" s="310"/>
      <c r="AD31" s="310"/>
      <c r="AE31" s="310"/>
      <c r="AF31" s="310"/>
      <c r="AG31" s="310"/>
      <c r="AH31" s="310"/>
      <c r="AI31" s="310"/>
      <c r="AJ31" s="310"/>
      <c r="AK31" s="310"/>
      <c r="AL31" s="310"/>
      <c r="AM31" s="311"/>
      <c r="AN31" s="283">
        <f>SUM(B31:AM31)</f>
      </c>
      <c r="AO31" s="272"/>
      <c r="AP31" s="273"/>
    </row>
    <row r="32" ht="15.75" customHeight="1" spans="1:60" x14ac:dyDescent="0.25">
      <c r="A32" s="312" t="s">
        <v>647</v>
      </c>
      <c r="B32" s="313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  <c r="AM32" s="315"/>
      <c r="AN32" s="283">
        <f>SUM(B32:AM32)</f>
        <v>33</v>
      </c>
      <c r="AO32" s="272"/>
      <c r="AP32" s="273"/>
    </row>
    <row r="33" ht="15.75" customHeight="1" spans="1:60" x14ac:dyDescent="0.25">
      <c r="A33" s="317" t="s">
        <v>648</v>
      </c>
      <c r="B33" s="318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20"/>
      <c r="AN33" s="283">
        <f>SUM(B33:AM33)</f>
        <v>130</v>
      </c>
      <c r="AO33" s="272"/>
      <c r="AP33" s="273"/>
    </row>
    <row r="34" ht="15.75" customHeight="1" spans="1:60" x14ac:dyDescent="0.25">
      <c r="A34" s="321" t="s">
        <v>649</v>
      </c>
      <c r="B34" s="322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3"/>
      <c r="W34" s="323"/>
      <c r="X34" s="323"/>
      <c r="Y34" s="323"/>
      <c r="Z34" s="323"/>
      <c r="AA34" s="323"/>
      <c r="AB34" s="323"/>
      <c r="AC34" s="323"/>
      <c r="AD34" s="323"/>
      <c r="AE34" s="323"/>
      <c r="AF34" s="323"/>
      <c r="AG34" s="323"/>
      <c r="AH34" s="323"/>
      <c r="AI34" s="323"/>
      <c r="AJ34" s="323"/>
      <c r="AK34" s="323"/>
      <c r="AL34" s="323"/>
      <c r="AM34" s="324"/>
      <c r="AN34" s="283">
        <f>SUM(B34:AM34)</f>
        <v>36</v>
      </c>
      <c r="AO34" s="272"/>
      <c r="AP34" s="273"/>
    </row>
    <row r="35" ht="15.75" customHeight="1" spans="1:60" x14ac:dyDescent="0.25">
      <c r="A35" s="325" t="s">
        <v>650</v>
      </c>
      <c r="B35" s="326"/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327"/>
      <c r="N35" s="327"/>
      <c r="O35" s="327"/>
      <c r="P35" s="327"/>
      <c r="Q35" s="327"/>
      <c r="R35" s="327"/>
      <c r="S35" s="327"/>
      <c r="T35" s="327"/>
      <c r="U35" s="327"/>
      <c r="V35" s="327"/>
      <c r="W35" s="327"/>
      <c r="X35" s="327"/>
      <c r="Y35" s="327"/>
      <c r="Z35" s="327"/>
      <c r="AA35" s="327"/>
      <c r="AB35" s="327"/>
      <c r="AC35" s="327"/>
      <c r="AD35" s="327"/>
      <c r="AE35" s="327"/>
      <c r="AF35" s="327"/>
      <c r="AG35" s="327"/>
      <c r="AH35" s="327"/>
      <c r="AI35" s="327"/>
      <c r="AJ35" s="327"/>
      <c r="AK35" s="327"/>
      <c r="AL35" s="327"/>
      <c r="AM35" s="328"/>
      <c r="AN35" s="283">
        <f>SUM(B35:AM35)</f>
        <v>257</v>
      </c>
      <c r="AO35" s="272"/>
      <c r="AP35" s="273"/>
    </row>
    <row r="36" ht="15.75" customHeight="1" spans="1:60" s="329" customFormat="1" x14ac:dyDescent="0.25">
      <c r="A36" s="330" t="s">
        <v>651</v>
      </c>
      <c r="B36" s="331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2"/>
      <c r="AK36" s="332"/>
      <c r="AL36" s="332"/>
      <c r="AM36" s="333"/>
      <c r="AN36" s="283">
        <f>SUM(B36:AM36)</f>
      </c>
      <c r="AO36" s="272"/>
      <c r="AP36" s="273"/>
    </row>
    <row r="37" ht="15.75" customHeight="1" spans="1:60" s="329" customFormat="1" x14ac:dyDescent="0.25">
      <c r="A37" s="334" t="s">
        <v>652</v>
      </c>
      <c r="B37" s="335"/>
      <c r="C37" s="336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7"/>
      <c r="AN37" s="283">
        <f>SUM(B37:AM37)</f>
      </c>
      <c r="AO37" s="272"/>
      <c r="AP37" s="273"/>
    </row>
    <row r="38" ht="15.75" customHeight="1" spans="1:60" x14ac:dyDescent="0.25">
      <c r="A38" s="338" t="s">
        <v>387</v>
      </c>
      <c r="B38" s="339"/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  <c r="AK38" s="340"/>
      <c r="AL38" s="340"/>
      <c r="AM38" s="341"/>
      <c r="AN38" s="283">
        <f>SUM(B38:AM38)</f>
      </c>
      <c r="AO38" s="272"/>
      <c r="AP38" s="273"/>
    </row>
    <row r="39" ht="16.5" customHeight="1" spans="1:60" x14ac:dyDescent="0.25">
      <c r="A39" s="342" t="s">
        <v>653</v>
      </c>
      <c r="B39" s="343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5"/>
      <c r="AN39" s="283">
        <f>SUM(B39:AM39)</f>
        <v>87</v>
      </c>
      <c r="AO39" s="272"/>
      <c r="AP39" s="273"/>
    </row>
    <row r="40" ht="16.5" customHeight="1" spans="1:60" x14ac:dyDescent="0.25">
      <c r="A40" s="346" t="s">
        <v>521</v>
      </c>
      <c r="B40" s="347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348"/>
      <c r="AB40" s="348"/>
      <c r="AC40" s="348"/>
      <c r="AD40" s="348"/>
      <c r="AE40" s="348"/>
      <c r="AF40" s="348"/>
      <c r="AG40" s="348"/>
      <c r="AH40" s="348"/>
      <c r="AI40" s="348"/>
      <c r="AJ40" s="348"/>
      <c r="AK40" s="348"/>
      <c r="AL40" s="348"/>
      <c r="AM40" s="349"/>
      <c r="AN40" s="283">
        <f>SUM(B40:AM40)</f>
        <v>160</v>
      </c>
      <c r="AO40" s="272"/>
      <c r="AP40" s="273"/>
    </row>
    <row r="41" ht="18.75" customHeight="1" spans="1:60" x14ac:dyDescent="0.25">
      <c r="A41" s="351" t="s">
        <v>655</v>
      </c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3"/>
      <c r="AO41" s="272"/>
      <c r="AP41" s="273"/>
    </row>
    <row r="42" ht="15.75" customHeight="1" spans="1:60" x14ac:dyDescent="0.25">
      <c r="A42" s="274" t="s">
        <v>81</v>
      </c>
      <c r="B42" s="275"/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/>
      <c r="AM42" s="277"/>
      <c r="AN42" s="278">
        <f>SUM(B42:AM42)</f>
        <v>275</v>
      </c>
      <c r="AO42" s="354">
        <f>PALOTEO!AU25</f>
        <v>275</v>
      </c>
      <c r="AP42" s="355"/>
    </row>
    <row r="43" ht="15.75" customHeight="1" spans="1:60" x14ac:dyDescent="0.25">
      <c r="A43" s="279" t="s">
        <v>640</v>
      </c>
      <c r="B43" s="280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2"/>
      <c r="AN43" s="283">
        <f>SUM(B43:AM43)</f>
        <v>230</v>
      </c>
      <c r="AO43" s="356">
        <f>((PALOTEO!AU26)/2)+(SUM(PALOTEO!AU27:AU32))</f>
        <v>230</v>
      </c>
      <c r="AP43" s="357"/>
    </row>
    <row r="44" ht="15.75" customHeight="1" spans="1:60" x14ac:dyDescent="0.25">
      <c r="A44" s="284" t="s">
        <v>641</v>
      </c>
      <c r="B44" s="285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7"/>
      <c r="AN44" s="283">
        <f>SUM(B44:AM44)</f>
        <v>1699</v>
      </c>
      <c r="AO44" s="358">
        <f>PALOTEO!AU87</f>
        <v>1699</v>
      </c>
      <c r="AP44" s="359"/>
    </row>
    <row r="45" ht="15.75" customHeight="1" spans="1:60" x14ac:dyDescent="0.25">
      <c r="A45" s="288" t="s">
        <v>189</v>
      </c>
      <c r="B45" s="289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  <c r="AJ45" s="290"/>
      <c r="AK45" s="290"/>
      <c r="AL45" s="290"/>
      <c r="AM45" s="291"/>
      <c r="AN45" s="283">
        <f>SUM(B45:AM45)</f>
        <v>381</v>
      </c>
      <c r="AO45" s="360">
        <f>PALOTEO!AU96</f>
        <v>404</v>
      </c>
      <c r="AP45" s="361"/>
    </row>
    <row r="46" ht="15.75" customHeight="1" spans="1:60" x14ac:dyDescent="0.25">
      <c r="A46" s="292" t="s">
        <v>642</v>
      </c>
      <c r="B46" s="293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5"/>
      <c r="AN46" s="283">
        <f>SUM(B46:AM46)</f>
        <v>868</v>
      </c>
      <c r="AO46" s="362">
        <f>PALOTEO!AU113</f>
        <v>868</v>
      </c>
      <c r="AP46" s="363"/>
    </row>
    <row r="47" ht="15.75" customHeight="1" spans="1:60" x14ac:dyDescent="0.25">
      <c r="A47" s="296" t="s">
        <v>643</v>
      </c>
      <c r="B47" s="297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9"/>
      <c r="AN47" s="283">
        <f>SUM(B47:AM47)</f>
        <v>1378</v>
      </c>
      <c r="AO47" s="364">
        <f>PALOTEO!AU142</f>
        <v>1378</v>
      </c>
      <c r="AP47" s="365"/>
    </row>
    <row r="48" ht="15.75" customHeight="1" spans="1:60" x14ac:dyDescent="0.25">
      <c r="A48" s="300" t="s">
        <v>644</v>
      </c>
      <c r="B48" s="301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3"/>
      <c r="AN48" s="283">
        <f>SUM(B48:AM48)</f>
      </c>
      <c r="AO48" s="366">
        <f>PALOTEO!AU171</f>
      </c>
      <c r="AP48" s="367"/>
    </row>
    <row r="49" ht="15.75" customHeight="1" spans="1:60" x14ac:dyDescent="0.25">
      <c r="A49" s="304" t="s">
        <v>645</v>
      </c>
      <c r="B49" s="305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  <c r="AA49" s="306"/>
      <c r="AB49" s="306"/>
      <c r="AC49" s="306"/>
      <c r="AD49" s="306"/>
      <c r="AE49" s="306"/>
      <c r="AF49" s="306"/>
      <c r="AG49" s="306"/>
      <c r="AH49" s="306"/>
      <c r="AI49" s="306"/>
      <c r="AJ49" s="306"/>
      <c r="AK49" s="306"/>
      <c r="AL49" s="306"/>
      <c r="AM49" s="307"/>
      <c r="AN49" s="283">
        <f>SUM(B49:AM49)</f>
        <v>1078</v>
      </c>
      <c r="AO49" s="368">
        <f>PALOTEO!AU188</f>
        <v>1038</v>
      </c>
      <c r="AP49" s="369"/>
    </row>
    <row r="50" ht="15.75" customHeight="1" spans="1:60" x14ac:dyDescent="0.25">
      <c r="A50" s="308" t="s">
        <v>646</v>
      </c>
      <c r="B50" s="309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/>
      <c r="AF50" s="310"/>
      <c r="AG50" s="310"/>
      <c r="AH50" s="310"/>
      <c r="AI50" s="310"/>
      <c r="AJ50" s="310"/>
      <c r="AK50" s="310"/>
      <c r="AL50" s="310"/>
      <c r="AM50" s="311"/>
      <c r="AN50" s="283">
        <f>SUM(B50:AM50)</f>
      </c>
      <c r="AO50" s="370">
        <f>PALOTEO!AU443</f>
      </c>
      <c r="AP50" s="371"/>
    </row>
    <row r="51" ht="15.75" customHeight="1" spans="1:60" x14ac:dyDescent="0.25">
      <c r="A51" s="312" t="s">
        <v>647</v>
      </c>
      <c r="B51" s="313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5"/>
      <c r="AN51" s="283">
        <f>SUM(B51:AM51)</f>
        <v>251</v>
      </c>
      <c r="AO51" s="372">
        <f>PALOTEO!AU221</f>
        <v>291</v>
      </c>
      <c r="AP51" s="373"/>
    </row>
    <row r="52" ht="15.75" customHeight="1" spans="1:60" x14ac:dyDescent="0.25">
      <c r="A52" s="317" t="s">
        <v>648</v>
      </c>
      <c r="B52" s="318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/>
      <c r="AM52" s="320"/>
      <c r="AN52" s="283">
        <f>SUM(B52:AM52)</f>
        <v>8</v>
      </c>
      <c r="AO52" s="374">
        <f>PALOTEO!AU250</f>
        <v>8</v>
      </c>
      <c r="AP52" s="375"/>
    </row>
    <row r="53" ht="15.75" customHeight="1" spans="1:60" x14ac:dyDescent="0.25">
      <c r="A53" s="321" t="s">
        <v>649</v>
      </c>
      <c r="B53" s="322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23"/>
      <c r="Y53" s="323"/>
      <c r="Z53" s="323"/>
      <c r="AA53" s="323"/>
      <c r="AB53" s="323"/>
      <c r="AC53" s="323"/>
      <c r="AD53" s="323"/>
      <c r="AE53" s="323"/>
      <c r="AF53" s="323"/>
      <c r="AG53" s="323"/>
      <c r="AH53" s="323"/>
      <c r="AI53" s="323"/>
      <c r="AJ53" s="323"/>
      <c r="AK53" s="323"/>
      <c r="AL53" s="323"/>
      <c r="AM53" s="324"/>
      <c r="AN53" s="283">
        <f>SUM(B53:AM53)</f>
        <v>524</v>
      </c>
      <c r="AO53" s="376">
        <f>PALOTEO!AU353</f>
        <v>524</v>
      </c>
      <c r="AP53" s="377"/>
    </row>
    <row r="54" ht="15.75" customHeight="1" spans="1:60" x14ac:dyDescent="0.25">
      <c r="A54" s="325" t="s">
        <v>650</v>
      </c>
      <c r="B54" s="326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7"/>
      <c r="X54" s="327"/>
      <c r="Y54" s="327"/>
      <c r="Z54" s="327"/>
      <c r="AA54" s="327"/>
      <c r="AB54" s="327"/>
      <c r="AC54" s="327"/>
      <c r="AD54" s="327"/>
      <c r="AE54" s="327"/>
      <c r="AF54" s="327"/>
      <c r="AG54" s="327"/>
      <c r="AH54" s="327"/>
      <c r="AI54" s="327"/>
      <c r="AJ54" s="327"/>
      <c r="AK54" s="327"/>
      <c r="AL54" s="327"/>
      <c r="AM54" s="328"/>
      <c r="AN54" s="283">
        <f>SUM(B54:AM54)</f>
        <v>443</v>
      </c>
      <c r="AO54" s="378">
        <f>PALOTEO!AU362</f>
        <v>420</v>
      </c>
      <c r="AP54" s="379"/>
    </row>
    <row r="55" ht="15.75" customHeight="1" spans="1:60" s="329" customFormat="1" x14ac:dyDescent="0.25">
      <c r="A55" s="330" t="s">
        <v>651</v>
      </c>
      <c r="B55" s="331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3"/>
      <c r="AN55" s="283">
        <f>SUM(B55:AM55)</f>
      </c>
      <c r="AO55" s="380">
        <f>((SUM(PALOTEO!AU368:AU370)/2)+(SUM(PALOTEO!AU371:AU374)))</f>
      </c>
      <c r="AP55" s="381"/>
    </row>
    <row r="56" ht="15.75" customHeight="1" spans="1:60" s="329" customFormat="1" x14ac:dyDescent="0.25">
      <c r="A56" s="334" t="s">
        <v>652</v>
      </c>
      <c r="B56" s="335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7"/>
      <c r="AN56" s="283">
        <f>SUM(B56:AM56)</f>
      </c>
      <c r="AO56" s="380"/>
      <c r="AP56" s="381"/>
    </row>
    <row r="57" ht="15.75" customHeight="1" spans="1:60" x14ac:dyDescent="0.25">
      <c r="A57" s="338" t="s">
        <v>387</v>
      </c>
      <c r="B57" s="339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1"/>
      <c r="AN57" s="283">
        <f>SUM(B57:AM57)</f>
      </c>
      <c r="AO57" s="382">
        <f>PALOTEO!AU259</f>
      </c>
      <c r="AP57" s="383"/>
    </row>
    <row r="58" ht="16.5" customHeight="1" spans="1:60" x14ac:dyDescent="0.25">
      <c r="A58" s="342" t="s">
        <v>653</v>
      </c>
      <c r="B58" s="343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4"/>
      <c r="AM58" s="345"/>
      <c r="AN58" s="283">
        <f>SUM(B58:AM58)</f>
        <v>231</v>
      </c>
      <c r="AO58" s="384">
        <f>PALOTEO!AU272</f>
        <v>231</v>
      </c>
      <c r="AP58" s="385"/>
    </row>
    <row r="59" ht="16.5" customHeight="1" spans="1:60" x14ac:dyDescent="0.25">
      <c r="A59" s="346" t="s">
        <v>521</v>
      </c>
      <c r="B59" s="347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  <c r="AH59" s="348"/>
      <c r="AI59" s="348"/>
      <c r="AJ59" s="348"/>
      <c r="AK59" s="348"/>
      <c r="AL59" s="348"/>
      <c r="AM59" s="349"/>
      <c r="AN59" s="350">
        <f>SUM(B59:AM59)</f>
        <v>287</v>
      </c>
      <c r="AO59" s="386">
        <f>PALOTEO!AU367</f>
        <v>287</v>
      </c>
      <c r="AP59" s="387"/>
    </row>
    <row r="60" ht="18.75" customHeight="1" spans="1:60" x14ac:dyDescent="0.25">
      <c r="A60" s="351" t="s">
        <v>656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352"/>
      <c r="AB60" s="352"/>
      <c r="AC60" s="352"/>
      <c r="AD60" s="352"/>
      <c r="AE60" s="352"/>
      <c r="AF60" s="352"/>
      <c r="AG60" s="352"/>
      <c r="AH60" s="352"/>
      <c r="AI60" s="352"/>
      <c r="AJ60" s="352"/>
      <c r="AK60" s="352"/>
      <c r="AL60" s="352"/>
      <c r="AM60" s="352"/>
      <c r="AN60" s="353"/>
      <c r="AO60" s="272" t="s">
        <v>638</v>
      </c>
      <c r="AP60" s="273"/>
    </row>
    <row r="61" ht="15.75" customHeight="1" spans="1:60" x14ac:dyDescent="0.25">
      <c r="A61" s="274" t="s">
        <v>81</v>
      </c>
      <c r="B61" s="275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7"/>
      <c r="AN61" s="278">
        <f>SUM(B61:AM61)</f>
        <v>695</v>
      </c>
      <c r="AO61" s="272"/>
      <c r="AP61" s="273"/>
    </row>
    <row r="62" ht="15.75" customHeight="1" spans="1:60" x14ac:dyDescent="0.25">
      <c r="A62" s="279" t="s">
        <v>640</v>
      </c>
      <c r="B62" s="280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2"/>
      <c r="AN62" s="283">
        <f>SUM(B62:AM62)</f>
        <v>68</v>
      </c>
      <c r="AO62" s="272"/>
      <c r="AP62" s="273"/>
    </row>
    <row r="63" ht="15.75" customHeight="1" spans="1:60" x14ac:dyDescent="0.25">
      <c r="A63" s="284" t="s">
        <v>641</v>
      </c>
      <c r="B63" s="285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7"/>
      <c r="AN63" s="283">
        <f>SUM(B63:AM63)</f>
      </c>
      <c r="AO63" s="272"/>
      <c r="AP63" s="273"/>
    </row>
    <row r="64" ht="15.75" customHeight="1" spans="1:60" x14ac:dyDescent="0.25">
      <c r="A64" s="288" t="s">
        <v>189</v>
      </c>
      <c r="B64" s="289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  <c r="AJ64" s="290"/>
      <c r="AK64" s="290"/>
      <c r="AL64" s="290"/>
      <c r="AM64" s="291"/>
      <c r="AN64" s="283">
        <f>SUM(B64:AM64)</f>
        <v>59</v>
      </c>
      <c r="AO64" s="272"/>
      <c r="AP64" s="273"/>
    </row>
    <row r="65" ht="15.75" customHeight="1" spans="1:60" x14ac:dyDescent="0.25">
      <c r="A65" s="292" t="s">
        <v>642</v>
      </c>
      <c r="B65" s="293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5"/>
      <c r="AN65" s="283">
        <f>SUM(B65:AM65)</f>
      </c>
      <c r="AO65" s="272"/>
      <c r="AP65" s="273"/>
    </row>
    <row r="66" ht="15.75" customHeight="1" spans="1:60" x14ac:dyDescent="0.25">
      <c r="A66" s="296" t="s">
        <v>643</v>
      </c>
      <c r="B66" s="297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  <c r="AK66" s="298"/>
      <c r="AL66" s="298"/>
      <c r="AM66" s="299"/>
      <c r="AN66" s="283">
        <f>SUM(B66:AM66)</f>
        <v>93</v>
      </c>
      <c r="AO66" s="272"/>
      <c r="AP66" s="273"/>
    </row>
    <row r="67" ht="15.75" customHeight="1" spans="1:60" x14ac:dyDescent="0.25">
      <c r="A67" s="300" t="s">
        <v>644</v>
      </c>
      <c r="B67" s="301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3"/>
      <c r="AN67" s="283">
        <f>SUM(B67:AM67)</f>
      </c>
      <c r="AO67" s="272"/>
      <c r="AP67" s="273"/>
    </row>
    <row r="68" ht="15.75" customHeight="1" spans="1:60" x14ac:dyDescent="0.25">
      <c r="A68" s="304" t="s">
        <v>645</v>
      </c>
      <c r="B68" s="305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  <c r="AB68" s="306"/>
      <c r="AC68" s="306"/>
      <c r="AD68" s="306"/>
      <c r="AE68" s="306"/>
      <c r="AF68" s="306"/>
      <c r="AG68" s="306"/>
      <c r="AH68" s="306"/>
      <c r="AI68" s="306"/>
      <c r="AJ68" s="306"/>
      <c r="AK68" s="306"/>
      <c r="AL68" s="306"/>
      <c r="AM68" s="307"/>
      <c r="AN68" s="283">
        <f>SUM(B68:AM68)</f>
      </c>
      <c r="AO68" s="272"/>
      <c r="AP68" s="273"/>
    </row>
    <row r="69" ht="15.75" customHeight="1" spans="1:60" x14ac:dyDescent="0.25">
      <c r="A69" s="308" t="s">
        <v>646</v>
      </c>
      <c r="B69" s="309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310"/>
      <c r="AF69" s="310"/>
      <c r="AG69" s="310"/>
      <c r="AH69" s="310"/>
      <c r="AI69" s="310"/>
      <c r="AJ69" s="310"/>
      <c r="AK69" s="310"/>
      <c r="AL69" s="310"/>
      <c r="AM69" s="311"/>
      <c r="AN69" s="283">
        <f>SUM(B69:AM69)</f>
      </c>
      <c r="AO69" s="272"/>
      <c r="AP69" s="273"/>
    </row>
    <row r="70" ht="15.75" customHeight="1" spans="1:60" x14ac:dyDescent="0.25">
      <c r="A70" s="312" t="s">
        <v>647</v>
      </c>
      <c r="B70" s="313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314"/>
      <c r="AM70" s="315"/>
      <c r="AN70" s="283">
        <f>SUM(B70:AM70)</f>
        <v>469</v>
      </c>
      <c r="AO70" s="272"/>
      <c r="AP70" s="273"/>
    </row>
    <row r="71" ht="15.75" customHeight="1" spans="1:60" x14ac:dyDescent="0.25">
      <c r="A71" s="317" t="s">
        <v>648</v>
      </c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20"/>
      <c r="AN71" s="283">
        <f>SUM(B71:AM71)</f>
      </c>
      <c r="AO71" s="272"/>
      <c r="AP71" s="273"/>
    </row>
    <row r="72" ht="15.75" customHeight="1" spans="1:60" x14ac:dyDescent="0.25">
      <c r="A72" s="321" t="s">
        <v>649</v>
      </c>
      <c r="B72" s="322"/>
      <c r="C72" s="323"/>
      <c r="D72" s="323"/>
      <c r="E72" s="323"/>
      <c r="F72" s="323"/>
      <c r="G72" s="323"/>
      <c r="H72" s="323"/>
      <c r="I72" s="323"/>
      <c r="J72" s="323"/>
      <c r="K72" s="323"/>
      <c r="L72" s="323"/>
      <c r="M72" s="323"/>
      <c r="N72" s="323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3"/>
      <c r="AM72" s="324"/>
      <c r="AN72" s="283">
        <f>SUM(B72:AM72)</f>
        <v>36</v>
      </c>
      <c r="AO72" s="272"/>
      <c r="AP72" s="273"/>
    </row>
    <row r="73" ht="15.75" customHeight="1" spans="1:60" x14ac:dyDescent="0.25">
      <c r="A73" s="325" t="s">
        <v>650</v>
      </c>
      <c r="B73" s="326"/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7"/>
      <c r="Y73" s="327"/>
      <c r="Z73" s="327"/>
      <c r="AA73" s="327"/>
      <c r="AB73" s="327"/>
      <c r="AC73" s="327"/>
      <c r="AD73" s="327"/>
      <c r="AE73" s="327"/>
      <c r="AF73" s="327"/>
      <c r="AG73" s="327"/>
      <c r="AH73" s="327"/>
      <c r="AI73" s="327"/>
      <c r="AJ73" s="327"/>
      <c r="AK73" s="327"/>
      <c r="AL73" s="327"/>
      <c r="AM73" s="328"/>
      <c r="AN73" s="283">
        <f>SUM(B73:AM73)</f>
      </c>
      <c r="AO73" s="272"/>
      <c r="AP73" s="273"/>
    </row>
    <row r="74" ht="15.75" customHeight="1" spans="1:60" s="329" customFormat="1" x14ac:dyDescent="0.25">
      <c r="A74" s="330" t="s">
        <v>651</v>
      </c>
      <c r="B74" s="331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  <c r="AA74" s="332"/>
      <c r="AB74" s="332"/>
      <c r="AC74" s="332"/>
      <c r="AD74" s="332"/>
      <c r="AE74" s="332"/>
      <c r="AF74" s="332"/>
      <c r="AG74" s="332"/>
      <c r="AH74" s="332"/>
      <c r="AI74" s="332"/>
      <c r="AJ74" s="332"/>
      <c r="AK74" s="332"/>
      <c r="AL74" s="332"/>
      <c r="AM74" s="333"/>
      <c r="AN74" s="283">
        <f>SUM(B74:AM74)</f>
      </c>
      <c r="AO74" s="272"/>
      <c r="AP74" s="273"/>
    </row>
    <row r="75" ht="15.75" customHeight="1" spans="1:60" s="329" customFormat="1" x14ac:dyDescent="0.25">
      <c r="A75" s="334" t="s">
        <v>652</v>
      </c>
      <c r="B75" s="335"/>
      <c r="C75" s="336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6"/>
      <c r="X75" s="336"/>
      <c r="Y75" s="336"/>
      <c r="Z75" s="336"/>
      <c r="AA75" s="336"/>
      <c r="AB75" s="336"/>
      <c r="AC75" s="336"/>
      <c r="AD75" s="336"/>
      <c r="AE75" s="336"/>
      <c r="AF75" s="336"/>
      <c r="AG75" s="336"/>
      <c r="AH75" s="336"/>
      <c r="AI75" s="336"/>
      <c r="AJ75" s="336"/>
      <c r="AK75" s="336"/>
      <c r="AL75" s="336"/>
      <c r="AM75" s="337"/>
      <c r="AN75" s="283">
        <f>SUM(B75:AM75)</f>
      </c>
      <c r="AO75" s="272"/>
      <c r="AP75" s="273"/>
    </row>
    <row r="76" ht="15.75" customHeight="1" spans="1:60" x14ac:dyDescent="0.25">
      <c r="A76" s="338" t="s">
        <v>387</v>
      </c>
      <c r="B76" s="339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1"/>
      <c r="AN76" s="283">
        <f>SUM(B76:AM76)</f>
      </c>
      <c r="AO76" s="272"/>
      <c r="AP76" s="273"/>
    </row>
    <row r="77" ht="16.5" customHeight="1" spans="1:60" x14ac:dyDescent="0.25">
      <c r="A77" s="342" t="s">
        <v>653</v>
      </c>
      <c r="B77" s="343"/>
      <c r="C77" s="344"/>
      <c r="D77" s="344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5"/>
      <c r="AN77" s="283">
        <f>SUM(B77:AM77)</f>
      </c>
      <c r="AO77" s="272"/>
      <c r="AP77" s="273"/>
    </row>
    <row r="78" ht="16.5" customHeight="1" spans="1:60" x14ac:dyDescent="0.25">
      <c r="A78" s="346" t="s">
        <v>521</v>
      </c>
      <c r="B78" s="347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348"/>
      <c r="AB78" s="348"/>
      <c r="AC78" s="348"/>
      <c r="AD78" s="348"/>
      <c r="AE78" s="348"/>
      <c r="AF78" s="348"/>
      <c r="AG78" s="348"/>
      <c r="AH78" s="348"/>
      <c r="AI78" s="348"/>
      <c r="AJ78" s="348"/>
      <c r="AK78" s="348"/>
      <c r="AL78" s="348"/>
      <c r="AM78" s="349"/>
      <c r="AN78" s="283">
        <f>SUM(B78:AM78)</f>
        <v>1</v>
      </c>
      <c r="AO78" s="272"/>
      <c r="AP78" s="273"/>
    </row>
    <row r="79" ht="18.75" customHeight="1" spans="1:60" x14ac:dyDescent="0.25">
      <c r="A79" s="351" t="s">
        <v>657</v>
      </c>
      <c r="B79" s="352"/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/>
      <c r="AC79" s="352"/>
      <c r="AD79" s="352"/>
      <c r="AE79" s="352"/>
      <c r="AF79" s="352"/>
      <c r="AG79" s="352"/>
      <c r="AH79" s="352"/>
      <c r="AI79" s="352"/>
      <c r="AJ79" s="352"/>
      <c r="AK79" s="352"/>
      <c r="AL79" s="352"/>
      <c r="AM79" s="352"/>
      <c r="AN79" s="353"/>
      <c r="AO79" s="272"/>
      <c r="AP79" s="273"/>
    </row>
    <row r="80" ht="15.75" customHeight="1" spans="1:60" x14ac:dyDescent="0.25">
      <c r="A80" s="274" t="s">
        <v>81</v>
      </c>
      <c r="B80" s="275">
        <f>SUM(((B4+B23)*10-(B42+B61))/10)</f>
      </c>
      <c r="C80" s="276">
        <f>SUM(((C4+C23)*10-(C42+C61))/10)</f>
      </c>
      <c r="D80" s="276">
        <f>SUM(((D4+D23)*10-(D42+D61))/10)</f>
      </c>
      <c r="E80" s="276">
        <f>SUM(((E4+E23)*10-(E42+E61))/10)</f>
        <v>3</v>
      </c>
      <c r="F80" s="276">
        <f>SUM(((F4+F23)*10-(F42+F61))/10)</f>
        <v>3</v>
      </c>
      <c r="G80" s="276">
        <f>SUM(((G4+G23)*10-(G42+G61))/10)</f>
        <v>1</v>
      </c>
      <c r="H80" s="276">
        <f>SUM(((H4+H23)*10-(H42+H61))/10)</f>
      </c>
      <c r="I80" s="276">
        <f>SUM(((I4+I23)*10-(I42+I61))/10)</f>
        <v>16</v>
      </c>
      <c r="J80" s="276">
        <f>SUM(((J4+J23)*10-(J42+J61))/10)</f>
        <v>2</v>
      </c>
      <c r="K80" s="276">
        <f>SUM(((K4+K23)*10-(K42+K61))/10)</f>
        <v>3</v>
      </c>
      <c r="L80" s="276">
        <f>SUM(((L4+L23)*10-(L42+L61))/10)</f>
        <v>3</v>
      </c>
      <c r="M80" s="276">
        <f>SUM(((M4+M23)*10-(M42+M61))/10)</f>
        <v>5</v>
      </c>
      <c r="N80" s="276">
        <f>SUM(((N4+N23)*10-(N42+N61))/10)</f>
        <v>1</v>
      </c>
      <c r="O80" s="276">
        <f>SUM(((O4+O23)*10-(O42+O61))/10)</f>
        <v>1</v>
      </c>
      <c r="P80" s="276">
        <f>SUM(((P4+P23)*10-(P42+P61))/10)</f>
        <v>5</v>
      </c>
      <c r="Q80" s="276">
        <f>SUM(((Q4+Q23)*10-(Q42+Q61))/10)</f>
        <v>1</v>
      </c>
      <c r="R80" s="276">
        <f>SUM(((R4+R23)*10-(R42+R61))/10)</f>
        <v>4</v>
      </c>
      <c r="S80" s="276">
        <f>SUM(((S4+S23)*10-(S42+S61))/10)</f>
        <v>2</v>
      </c>
      <c r="T80" s="276">
        <f>SUM(((T4+T23)*10-(T42+T61))/10)</f>
        <v>4</v>
      </c>
      <c r="U80" s="276">
        <f>SUM(((U4+U23)*10-(U42+U61))/10)</f>
      </c>
      <c r="V80" s="276">
        <f>SUM(((V4+V23)*10-(V42+V61))/10)</f>
      </c>
      <c r="W80" s="276">
        <f>SUM(((W4+W23)*10-(W42+W61))/10)</f>
      </c>
      <c r="X80" s="276">
        <f>SUM(((X4+X23)*10-(X42+X61))/10)</f>
      </c>
      <c r="Y80" s="276">
        <f>SUM(((Y4+Y23)*10-(Y42+Y61))/10)</f>
      </c>
      <c r="Z80" s="276">
        <f>SUM(((Z4+Z23)*10-(Z42+Z61))/10)</f>
      </c>
      <c r="AA80" s="276">
        <f>SUM(((AA4+AA23)*10-(AA42+AA61))/10)</f>
        <v>7</v>
      </c>
      <c r="AB80" s="276">
        <f>SUM(((AB4+AB23)*10-(AB42+AB61))/10)</f>
      </c>
      <c r="AC80" s="276">
        <f>SUM(((AC4+AC23)*10-(AC42+AC61))/10)</f>
      </c>
      <c r="AD80" s="276">
        <f>SUM(((AD4+AD23)*10-(AD42+AD61))/10)</f>
      </c>
      <c r="AE80" s="276">
        <f>SUM(((AE4+AE23)*10-(AE42+AE61))/10)</f>
      </c>
      <c r="AF80" s="276">
        <f>SUM(((AF4+AF23)*10-(AF42+AF61))/10)</f>
      </c>
      <c r="AG80" s="276">
        <f>SUM(((AG4+AG23)*10-(AG42+AG61))/10)</f>
      </c>
      <c r="AH80" s="276">
        <f>SUM(((AH4+AH23)*10-(AH42+AH61))/10)</f>
      </c>
      <c r="AI80" s="276">
        <f>SUM(((AI4+AI23)*10-(AI42+AI61))/10)</f>
        <v>18</v>
      </c>
      <c r="AJ80" s="276">
        <f>SUM(((AJ4+AJ23)*10-(AJ42+AJ61))/10)</f>
        <v>17</v>
      </c>
      <c r="AK80" s="276">
        <f>SUM(((AK4+AK23)*10-(AK42+AK61))/10)</f>
        <v>6</v>
      </c>
      <c r="AL80" s="276">
        <f>SUM(((AL4+AL23)*10-(AL42+AL61))/10)</f>
        <v>11</v>
      </c>
      <c r="AM80" s="277">
        <f>SUM(((AM4+AM23)*10-(AM42+AM61))/10)</f>
        <v>2</v>
      </c>
      <c r="AN80" s="388">
        <f>SUM(((AN4+AN23)*10-(AN42+AN61))/10)</f>
        <v>115</v>
      </c>
      <c r="AO80" s="272"/>
      <c r="AP80" s="273"/>
    </row>
    <row r="81" ht="15.75" customHeight="1" spans="1:60" x14ac:dyDescent="0.25">
      <c r="A81" s="279" t="s">
        <v>640</v>
      </c>
      <c r="B81" s="280">
        <f>SUM(((B5+B24)*10-(B43+B62))/10)</f>
      </c>
      <c r="C81" s="281">
        <f>SUM(((C5+C24)*10-(C43+C62))/10)</f>
      </c>
      <c r="D81" s="281">
        <f>SUM(((D5+D24)*10-(D43+D62))/10)</f>
        <v>1.9</v>
      </c>
      <c r="E81" s="281">
        <f>SUM(((E5+E24)*10-(E43+E62))/10)</f>
        <v>1</v>
      </c>
      <c r="F81" s="281">
        <f>SUM(((F5+F24)*10-(F43+F62))/10)</f>
        <v>0.65</v>
      </c>
      <c r="G81" s="281">
        <f>SUM(((G5+G24)*10-(G43+G62))/10)</f>
        <v>1</v>
      </c>
      <c r="H81" s="281">
        <f>SUM(((H5+H24)*10-(H43+H62))/10)</f>
        <v>0.7</v>
      </c>
      <c r="I81" s="281">
        <f>SUM(((I5+I24)*10-(I43+I62))/10)</f>
        <v>6.5</v>
      </c>
      <c r="J81" s="281">
        <f>SUM(((J5+J24)*10-(J43+J62))/10)</f>
        <v>1</v>
      </c>
      <c r="K81" s="281">
        <f>SUM(((K5+K24)*10-(K43+K62))/10)</f>
        <v>3</v>
      </c>
      <c r="L81" s="281">
        <f>SUM(((L5+L24)*10-(L43+L62))/10)</f>
        <v>2</v>
      </c>
      <c r="M81" s="281">
        <f>SUM(((M5+M24)*10-(M43+M62))/10)</f>
        <v>1</v>
      </c>
      <c r="N81" s="281">
        <f>SUM(((N5+N24)*10-(N43+N62))/10)</f>
        <v>2</v>
      </c>
      <c r="O81" s="281">
        <f>SUM(((O5+O24)*10-(O43+O62))/10)</f>
        <v>0.65</v>
      </c>
      <c r="P81" s="281">
        <f>SUM(((P5+P24)*10-(P43+P62))/10)</f>
        <v>2.8</v>
      </c>
      <c r="Q81" s="281">
        <f>SUM(((Q5+Q24)*10-(Q43+Q62))/10)</f>
        <v>0.95</v>
      </c>
      <c r="R81" s="281">
        <f>SUM(((R5+R24)*10-(R43+R62))/10)</f>
        <v>1.65</v>
      </c>
      <c r="S81" s="281">
        <f>SUM(((S5+S24)*10-(S43+S62))/10)</f>
        <v>2.65</v>
      </c>
      <c r="T81" s="281">
        <f>SUM(((T5+T24)*10-(T43+T62))/10)</f>
        <v>5.8</v>
      </c>
      <c r="U81" s="281">
        <f>SUM(((U5+U24)*10-(U43+U62))/10)</f>
      </c>
      <c r="V81" s="281">
        <f>SUM(((V5+V24)*10-(V43+V62))/10)</f>
        <v>2.9</v>
      </c>
      <c r="W81" s="281">
        <f>SUM(((W5+W24)*10-(W43+W62))/10)</f>
        <v>1</v>
      </c>
      <c r="X81" s="281">
        <f>SUM(((X5+X24)*10-(X43+X62))/10)</f>
      </c>
      <c r="Y81" s="281">
        <f>SUM(((Y5+Y24)*10-(Y43+Y62))/10)</f>
      </c>
      <c r="Z81" s="281">
        <f>SUM(((Z5+Z24)*10-(Z43+Z62))/10)</f>
      </c>
      <c r="AA81" s="281">
        <f>SUM(((AA5+AA24)*10-(AA43+AA62))/10)</f>
        <v>2.85</v>
      </c>
      <c r="AB81" s="281">
        <f>SUM(((AB5+AB24)*10-(AB43+AB62))/10)</f>
      </c>
      <c r="AC81" s="281">
        <f>SUM(((AC5+AC24)*10-(AC43+AC62))/10)</f>
        <v>1.9</v>
      </c>
      <c r="AD81" s="281">
        <f>SUM(((AD5+AD24)*10-(AD43+AD62))/10)</f>
        <v>1</v>
      </c>
      <c r="AE81" s="281">
        <f>SUM(((AE5+AE24)*10-(AE43+AE62))/10)</f>
        <v>0.7</v>
      </c>
      <c r="AF81" s="281">
        <f>SUM(((AF5+AF24)*10-(AF43+AF62))/10)</f>
      </c>
      <c r="AG81" s="281">
        <f>SUM(((AG5+AG24)*10-(AG43+AG62))/10)</f>
      </c>
      <c r="AH81" s="281">
        <f>SUM(((AH5+AH24)*10-(AH43+AH62))/10)</f>
      </c>
      <c r="AI81" s="281">
        <f>SUM(((AI5+AI24)*10-(AI43+AI62))/10)</f>
      </c>
      <c r="AJ81" s="281">
        <f>SUM(((AJ5+AJ24)*10-(AJ43+AJ62))/10)</f>
        <v>4.25</v>
      </c>
      <c r="AK81" s="281">
        <f>SUM(((AK5+AK24)*10-(AK43+AK62))/10)</f>
        <v>2</v>
      </c>
      <c r="AL81" s="281">
        <f>SUM(((AL5+AL24)*10-(AL43+AL62))/10)</f>
        <v>7.5</v>
      </c>
      <c r="AM81" s="282">
        <f>SUM(((AM5+AM24)*10-(AM43+AM62))/10)</f>
        <v>0.8</v>
      </c>
      <c r="AN81" s="389">
        <f>SUM(((AN5+AN24)*10-(AN43+AN62))/10)</f>
        <v>60.14999999999999</v>
      </c>
      <c r="AO81" s="272"/>
      <c r="AP81" s="273"/>
    </row>
    <row r="82" ht="15.75" customHeight="1" spans="1:60" x14ac:dyDescent="0.25">
      <c r="A82" s="284" t="s">
        <v>641</v>
      </c>
      <c r="B82" s="285">
        <f>(B6+B25)-(B44+B63)</f>
      </c>
      <c r="C82" s="286">
        <f>(C6+C25)-(C44+C63)</f>
        <v>9</v>
      </c>
      <c r="D82" s="286">
        <f>(D6+D25)-(D44+D63)</f>
        <v>59</v>
      </c>
      <c r="E82" s="286">
        <f>(E6+E25)-(E44+E63)</f>
        <v>68</v>
      </c>
      <c r="F82" s="286">
        <f>(F6+F25)-(F44+F63)</f>
        <v>63</v>
      </c>
      <c r="G82" s="286">
        <f>(G6+G25)-(G44+G63)</f>
        <v>28</v>
      </c>
      <c r="H82" s="286">
        <f>(H6+H25)-(H44+H63)</f>
        <v>129</v>
      </c>
      <c r="I82" s="286">
        <f>(I6+I25)-(I44+I63)</f>
      </c>
      <c r="J82" s="286">
        <f>(J6+J25)-(J44+J63)</f>
        <v>14</v>
      </c>
      <c r="K82" s="286">
        <f>(K6+K25)-(K44+K63)</f>
        <v>14</v>
      </c>
      <c r="L82" s="286">
        <f>(L6+L25)-(L44+L63)</f>
        <v>1</v>
      </c>
      <c r="M82" s="286">
        <f>(M6+M25)-(M44+M63)</f>
        <v>12</v>
      </c>
      <c r="N82" s="286">
        <f>(N6+N25)-(N44+N63)</f>
        <v>22</v>
      </c>
      <c r="O82" s="286">
        <f>(O6+O25)-(O44+O63)</f>
        <v>34</v>
      </c>
      <c r="P82" s="286">
        <f>(P6+P25)-(P44+P63)</f>
        <v>23</v>
      </c>
      <c r="Q82" s="286">
        <f>(Q6+Q25)-(Q44+Q63)</f>
        <v>2</v>
      </c>
      <c r="R82" s="286">
        <f>(R6+R25)-(R44+R63)</f>
        <v>45</v>
      </c>
      <c r="S82" s="286">
        <f>(S6+S25)-(S44+S63)</f>
        <v>84</v>
      </c>
      <c r="T82" s="286">
        <f>(T6+T25)-(T44+T63)</f>
        <v>22</v>
      </c>
      <c r="U82" s="286">
        <f>(U6+U25)-(U44+U63)</f>
      </c>
      <c r="V82" s="286">
        <f>(V6+V25)-(V44+V63)</f>
        <v>12</v>
      </c>
      <c r="W82" s="286">
        <f>(W6+W25)-(W44+W63)</f>
        <v>19</v>
      </c>
      <c r="X82" s="286">
        <f>(X6+X25)-(X44+X63)</f>
        <v>23</v>
      </c>
      <c r="Y82" s="286">
        <f>(Y6+Y25)-(Y44+Y63)</f>
        <v>18</v>
      </c>
      <c r="Z82" s="286">
        <f>(Z6+Z25)-(Z44+Z63)</f>
        <v>30</v>
      </c>
      <c r="AA82" s="286">
        <f>(AA6+AA25)-(AA44+AA63)</f>
        <v>13</v>
      </c>
      <c r="AB82" s="286">
        <f>(AB6+AB25)-(AB44+AB63)</f>
      </c>
      <c r="AC82" s="286">
        <f>(AC6+AC25)-(AC44+AC63)</f>
        <v>15</v>
      </c>
      <c r="AD82" s="286">
        <f>(AD6+AD25)-(AD44+AD63)</f>
        <v>6</v>
      </c>
      <c r="AE82" s="286">
        <f>(AE6+AE25)-(AE44+AE63)</f>
        <v>7</v>
      </c>
      <c r="AF82" s="286">
        <f>(AF6+AF25)-(AF44+AF63)</f>
        <v>10</v>
      </c>
      <c r="AG82" s="286">
        <f>(AG6+AG25)-(AG44+AG63)</f>
      </c>
      <c r="AH82" s="286">
        <f>(AH6+AH25)-(AH44+AH63)</f>
      </c>
      <c r="AI82" s="286">
        <f>(AI6+AI25)-(AI44+AI63)</f>
        <v>42</v>
      </c>
      <c r="AJ82" s="286">
        <f>(AJ6+AJ25)-(AJ44+AJ63)</f>
        <v>213</v>
      </c>
      <c r="AK82" s="286">
        <f>(AK6+AK25)-(AK44+AK63)</f>
        <v>68</v>
      </c>
      <c r="AL82" s="286">
        <f>(AL6+AL25)-(AL44+AL63)</f>
        <v>76</v>
      </c>
      <c r="AM82" s="287">
        <f>(AM6+AM25)-(AM44+AM63)</f>
      </c>
      <c r="AN82" s="389">
        <f>(AN6+AN25)-(AN44+AN63)</f>
        <v>1181</v>
      </c>
      <c r="AO82" s="272"/>
      <c r="AP82" s="273"/>
    </row>
    <row r="83" ht="15.75" customHeight="1" spans="1:60" x14ac:dyDescent="0.25">
      <c r="A83" s="288" t="s">
        <v>189</v>
      </c>
      <c r="B83" s="289">
        <f>SUM(((B7+B26)*10-(B45+B64))/10)</f>
      </c>
      <c r="C83" s="290">
        <f>SUM(((C7+C26)*10-(C45+C64))/10)</f>
        <v>1.7</v>
      </c>
      <c r="D83" s="290">
        <f>SUM(((D7+D26)*10-(D45+D64))/10)</f>
        <v>0.8</v>
      </c>
      <c r="E83" s="290">
        <f>SUM(((E7+E26)*10-(E45+E64))/10)</f>
        <v>1.9</v>
      </c>
      <c r="F83" s="290">
        <f>SUM(((F7+F26)*10-(F45+F64))/10)</f>
        <v>0.4</v>
      </c>
      <c r="G83" s="290">
        <f>SUM(((G7+G26)*10-(G45+G64))/10)</f>
        <v>1.4</v>
      </c>
      <c r="H83" s="290">
        <f>SUM(((H7+H26)*10-(H45+H64))/10)</f>
        <v>3</v>
      </c>
      <c r="I83" s="290">
        <f>SUM(((I7+I26)*10-(I45+I64))/10)</f>
        <v>5.5</v>
      </c>
      <c r="J83" s="290">
        <f>SUM(((J7+J26)*10-(J45+J64))/10)</f>
        <v>0.7</v>
      </c>
      <c r="K83" s="290">
        <f>SUM(((K7+K26)*10-(K45+K64))/10)</f>
      </c>
      <c r="L83" s="290">
        <f>SUM(((L7+L26)*10-(L45+L64))/10)</f>
      </c>
      <c r="M83" s="290">
        <f>SUM(((M7+M26)*10-(M45+M64))/10)</f>
        <v>1.6</v>
      </c>
      <c r="N83" s="290">
        <f>SUM(((N7+N26)*10-(N45+N64))/10)</f>
        <v>2.3</v>
      </c>
      <c r="O83" s="290">
        <f>SUM(((O7+O26)*10-(O45+O64))/10)</f>
        <v>1</v>
      </c>
      <c r="P83" s="290">
        <f>SUM(((P7+P26)*10-(P45+P64))/10)</f>
        <v>1.7</v>
      </c>
      <c r="Q83" s="290">
        <f>SUM(((Q7+Q26)*10-(Q45+Q64))/10)</f>
        <v>0.5</v>
      </c>
      <c r="R83" s="290">
        <f>SUM(((R7+R26)*10-(R45+R64))/10)</f>
        <v>2</v>
      </c>
      <c r="S83" s="290">
        <f>SUM(((S7+S26)*10-(S45+S64))/10)</f>
        <v>4.2</v>
      </c>
      <c r="T83" s="290">
        <f>SUM(((T7+T26)*10-(T45+T64))/10)</f>
        <v>5.8</v>
      </c>
      <c r="U83" s="290">
        <f>SUM(((U7+U26)*10-(U45+U64))/10)</f>
      </c>
      <c r="V83" s="290">
        <f>SUM(((V7+V26)*10-(V45+V64))/10)</f>
      </c>
      <c r="W83" s="290">
        <f>SUM(((W7+W26)*10-(W45+W64))/10)</f>
      </c>
      <c r="X83" s="290">
        <f>SUM(((X7+X26)*10-(X45+X64))/10)</f>
      </c>
      <c r="Y83" s="290">
        <f>SUM(((Y7+Y26)*10-(Y45+Y64))/10)</f>
        <v>1</v>
      </c>
      <c r="Z83" s="290">
        <f>SUM(((Z7+Z26)*10-(Z45+Z64))/10)</f>
        <v>1.7</v>
      </c>
      <c r="AA83" s="290">
        <f>SUM(((AA7+AA26)*10-(AA45+AA64))/10)</f>
        <v>2.4</v>
      </c>
      <c r="AB83" s="290">
        <f>SUM(((AB7+AB26)*10-(AB45+AB64))/10)</f>
      </c>
      <c r="AC83" s="290">
        <f>SUM(((AC7+AC26)*10-(AC45+AC64))/10)</f>
        <v>1.7</v>
      </c>
      <c r="AD83" s="290">
        <f>SUM(((AD7+AD26)*10-(AD45+AD64))/10)</f>
        <v>1</v>
      </c>
      <c r="AE83" s="290">
        <f>SUM(((AE7+AE26)*10-(AE45+AE64))/10)</f>
        <v>1</v>
      </c>
      <c r="AF83" s="290">
        <f>SUM(((AF7+AF26)*10-(AF45+AF64))/10)</f>
      </c>
      <c r="AG83" s="290">
        <f>SUM(((AG7+AG26)*10-(AG45+AG64))/10)</f>
      </c>
      <c r="AH83" s="290">
        <f>SUM(((AH7+AH26)*10-(AH45+AH64))/10)</f>
      </c>
      <c r="AI83" s="290">
        <f>SUM(((AI7+AI26)*10-(AI45+AI64))/10)</f>
        <v>5.2</v>
      </c>
      <c r="AJ83" s="290">
        <f>SUM(((AJ7+AJ26)*10-(AJ45+AJ64))/10)</f>
        <v>0.9</v>
      </c>
      <c r="AK83" s="290">
        <f>SUM(((AK7+AK26)*10-(AK45+AK64))/10)</f>
        <v>3</v>
      </c>
      <c r="AL83" s="290">
        <f>SUM(((AL7+AL26)*10-(AL45+AL64))/10)</f>
        <v>5.9</v>
      </c>
      <c r="AM83" s="291">
        <f>SUM(((AM7+AM26)*10-(AM45+AM64))/10)</f>
        <v>2</v>
      </c>
      <c r="AN83" s="389">
        <f>SUM(((AN7+AN26)*10-(AN45+AN64))/10)</f>
        <v>60.3</v>
      </c>
      <c r="AO83" s="272"/>
      <c r="AP83" s="273"/>
    </row>
    <row r="84" ht="15.75" customHeight="1" spans="1:60" x14ac:dyDescent="0.25">
      <c r="A84" s="292" t="s">
        <v>642</v>
      </c>
      <c r="B84" s="293">
        <f>(B8+B27)-(B46+B65)</f>
      </c>
      <c r="C84" s="294">
        <f>(C8+C27)-(C46+C65)</f>
        <v>14</v>
      </c>
      <c r="D84" s="294">
        <f>(D8+D27)-(D46+D65)</f>
        <v>11</v>
      </c>
      <c r="E84" s="294">
        <f>(E8+E27)-(E46+E65)</f>
        <v>22</v>
      </c>
      <c r="F84" s="294">
        <f>(F8+F27)-(F46+F65)</f>
        <v>3</v>
      </c>
      <c r="G84" s="294">
        <f>(G8+G27)-(G46+G65)</f>
        <v>46</v>
      </c>
      <c r="H84" s="294">
        <f>(H8+H27)-(H46+H65)</f>
        <v>97</v>
      </c>
      <c r="I84" s="294">
        <f>(I8+I27)-(I46+I65)</f>
        <v>13</v>
      </c>
      <c r="J84" s="294">
        <f>(J8+J27)-(J46+J65)</f>
        <v>9</v>
      </c>
      <c r="K84" s="294">
        <f>(K8+K27)-(K46+K65)</f>
        <v>19</v>
      </c>
      <c r="L84" s="294">
        <f>(L8+L27)-(L46+L65)</f>
        <v>14</v>
      </c>
      <c r="M84" s="294">
        <f>(M8+M27)-(M46+M65)</f>
        <v>19</v>
      </c>
      <c r="N84" s="294">
        <f>(N8+N27)-(N46+N65)</f>
        <v>21</v>
      </c>
      <c r="O84" s="294">
        <f>(O8+O27)-(O46+O65)</f>
        <v>21</v>
      </c>
      <c r="P84" s="294">
        <f>(P8+P27)-(P46+P65)</f>
        <v>24</v>
      </c>
      <c r="Q84" s="294">
        <f>(Q8+Q27)-(Q46+Q65)</f>
        <v>5</v>
      </c>
      <c r="R84" s="294">
        <f>(R8+R27)-(R46+R65)</f>
      </c>
      <c r="S84" s="294">
        <f>(S8+S27)-(S46+S65)</f>
        <v>123</v>
      </c>
      <c r="T84" s="294">
        <f>(T8+T27)-(T46+T65)</f>
        <v>86</v>
      </c>
      <c r="U84" s="294">
        <f>(U8+U27)-(U46+U65)</f>
      </c>
      <c r="V84" s="294">
        <f>(V8+V27)-(V46+V65)</f>
        <v>8</v>
      </c>
      <c r="W84" s="294">
        <f>(W8+W27)-(W46+W65)</f>
        <v>10</v>
      </c>
      <c r="X84" s="294">
        <f>(X8+X27)-(X46+X65)</f>
        <v>13</v>
      </c>
      <c r="Y84" s="294">
        <f>(Y8+Y27)-(Y46+Y65)</f>
        <v>9</v>
      </c>
      <c r="Z84" s="294">
        <f>(Z8+Z27)-(Z46+Z65)</f>
        <v>23</v>
      </c>
      <c r="AA84" s="294">
        <f>(AA8+AA27)-(AA46+AA65)</f>
        <v>10</v>
      </c>
      <c r="AB84" s="294">
        <f>(AB8+AB27)-(AB46+AB65)</f>
      </c>
      <c r="AC84" s="294">
        <f>(AC8+AC27)-(AC46+AC65)</f>
        <v>6</v>
      </c>
      <c r="AD84" s="294">
        <f>(AD8+AD27)-(AD46+AD65)</f>
        <v>11</v>
      </c>
      <c r="AE84" s="294">
        <f>(AE8+AE27)-(AE46+AE65)</f>
        <v>13</v>
      </c>
      <c r="AF84" s="294">
        <f>(AF8+AF27)-(AF46+AF65)</f>
        <v>9</v>
      </c>
      <c r="AG84" s="294">
        <f>(AG8+AG27)-(AG46+AG65)</f>
      </c>
      <c r="AH84" s="294">
        <f>(AH8+AH27)-(AH46+AH65)</f>
      </c>
      <c r="AI84" s="294">
        <f>(AI8+AI27)-(AI46+AI65)</f>
        <v>43</v>
      </c>
      <c r="AJ84" s="294">
        <f>(AJ8+AJ27)-(AJ46+AJ65)</f>
        <v>67</v>
      </c>
      <c r="AK84" s="294">
        <f>(AK8+AK27)-(AK46+AK65)</f>
        <v>51</v>
      </c>
      <c r="AL84" s="294">
        <f>(AL8+AL27)-(AL46+AL65)</f>
        <v>52</v>
      </c>
      <c r="AM84" s="295">
        <f>(AM8+AM27)-(AM46+AM65)</f>
        <v>8</v>
      </c>
      <c r="AN84" s="389">
        <f>(AN8+AN27)-(AN46+AN65)</f>
        <v>880</v>
      </c>
      <c r="AO84" s="272"/>
      <c r="AP84" s="273"/>
    </row>
    <row r="85" ht="15.75" customHeight="1" spans="1:60" x14ac:dyDescent="0.25">
      <c r="A85" s="296" t="s">
        <v>643</v>
      </c>
      <c r="B85" s="297">
        <f>(B9+B28)-(B47+B66)</f>
      </c>
      <c r="C85" s="298">
        <f>(C9+C28)-(C47+C66)</f>
        <v>22</v>
      </c>
      <c r="D85" s="298">
        <f>(D9+D28)-(D47+D66)</f>
        <v>18</v>
      </c>
      <c r="E85" s="298">
        <f>(E9+E28)-(E47+E66)</f>
        <v>87</v>
      </c>
      <c r="F85" s="298">
        <f>(F9+F28)-(F47+F66)</f>
        <v>15</v>
      </c>
      <c r="G85" s="298">
        <f>(G9+G28)-(G47+G66)</f>
        <v>65</v>
      </c>
      <c r="H85" s="298">
        <f>(H9+H28)-(H47+H66)</f>
        <v>67</v>
      </c>
      <c r="I85" s="298">
        <f>(I9+I28)-(I47+I66)</f>
        <v>758</v>
      </c>
      <c r="J85" s="298">
        <f>(J9+J28)-(J47+J66)</f>
        <v>10</v>
      </c>
      <c r="K85" s="298">
        <f>(K9+K28)-(K47+K66)</f>
        <v>7</v>
      </c>
      <c r="L85" s="298">
        <f>(L9+L28)-(L47+L66)</f>
        <v>5</v>
      </c>
      <c r="M85" s="298">
        <f>(M9+M28)-(M47+M66)</f>
        <v>22</v>
      </c>
      <c r="N85" s="298">
        <f>(N9+N28)-(N47+N66)</f>
        <v>27</v>
      </c>
      <c r="O85" s="298">
        <f>(O9+O28)-(O47+O66)</f>
        <v>18</v>
      </c>
      <c r="P85" s="298">
        <f>(P9+P28)-(P47+P66)</f>
        <v>19</v>
      </c>
      <c r="Q85" s="298">
        <f>(Q9+Q28)-(Q47+Q66)</f>
      </c>
      <c r="R85" s="298">
        <f>(R9+R28)-(R47+R66)</f>
      </c>
      <c r="S85" s="298">
        <f>(S9+S28)-(S47+S66)</f>
        <v>204</v>
      </c>
      <c r="T85" s="298">
        <f>(T9+T28)-(T47+T66)</f>
        <v>111</v>
      </c>
      <c r="U85" s="298">
        <f>(U9+U28)-(U47+U66)</f>
      </c>
      <c r="V85" s="298">
        <f>(V9+V28)-(V47+V66)</f>
        <v>15</v>
      </c>
      <c r="W85" s="298">
        <f>(W9+W28)-(W47+W66)</f>
        <v>18</v>
      </c>
      <c r="X85" s="298">
        <f>(X9+X28)-(X47+X66)</f>
        <v>34</v>
      </c>
      <c r="Y85" s="298">
        <f>(Y9+Y28)-(Y47+Y66)</f>
        <v>23</v>
      </c>
      <c r="Z85" s="298">
        <f>(Z9+Z28)-(Z47+Z66)</f>
        <v>17</v>
      </c>
      <c r="AA85" s="298">
        <f>(AA9+AA28)-(AA47+AA66)</f>
        <v>14</v>
      </c>
      <c r="AB85" s="298">
        <f>(AB9+AB28)-(AB47+AB66)</f>
      </c>
      <c r="AC85" s="298">
        <f>(AC9+AC28)-(AC47+AC66)</f>
        <v>5</v>
      </c>
      <c r="AD85" s="298">
        <f>(AD9+AD28)-(AD47+AD66)</f>
        <v>21</v>
      </c>
      <c r="AE85" s="298">
        <f>(AE9+AE28)-(AE47+AE66)</f>
        <v>11</v>
      </c>
      <c r="AF85" s="298">
        <f>(AF9+AF28)-(AF47+AF66)</f>
      </c>
      <c r="AG85" s="298">
        <f>(AG9+AG28)-(AG47+AG66)</f>
      </c>
      <c r="AH85" s="298">
        <f>(AH9+AH28)-(AH47+AH66)</f>
      </c>
      <c r="AI85" s="298">
        <f>(AI9+AI28)-(AI47+AI66)</f>
      </c>
      <c r="AJ85" s="298">
        <f>(AJ9+AJ28)-(AJ47+AJ66)</f>
        <v>175</v>
      </c>
      <c r="AK85" s="298">
        <f>(AK9+AK28)-(AK47+AK66)</f>
        <v>91</v>
      </c>
      <c r="AL85" s="298">
        <f>(AL9+AL28)-(AL47+AL66)</f>
        <v>78</v>
      </c>
      <c r="AM85" s="299">
        <f>(AM9+AM28)-(AM47+AM66)</f>
        <v>20</v>
      </c>
      <c r="AN85" s="389">
        <f>(AN9+AN28)-(AN47+AN66)</f>
        <v>1977</v>
      </c>
      <c r="AO85" s="272"/>
      <c r="AP85" s="273"/>
    </row>
    <row r="86" ht="15.75" customHeight="1" spans="1:60" x14ac:dyDescent="0.25">
      <c r="A86" s="300" t="s">
        <v>644</v>
      </c>
      <c r="B86" s="301">
        <f>(B10+B29)-(B48+B67)</f>
      </c>
      <c r="C86" s="302">
        <f>(C10+C29)-(C48+C67)</f>
      </c>
      <c r="D86" s="302">
        <f>(D10+D29)-(D48+D67)</f>
      </c>
      <c r="E86" s="302">
        <f>(E10+E29)-(E48+E67)</f>
      </c>
      <c r="F86" s="302">
        <f>(F10+F29)-(F48+F67)</f>
      </c>
      <c r="G86" s="302">
        <f>(G10+G29)-(G48+G67)</f>
      </c>
      <c r="H86" s="302">
        <f>(H10+H29)-(H48+H67)</f>
      </c>
      <c r="I86" s="302">
        <f>(I10+I29)-(I48+I67)</f>
      </c>
      <c r="J86" s="302">
        <f>(J10+J29)-(J48+J67)</f>
      </c>
      <c r="K86" s="302">
        <f>(K10+K29)-(K48+K67)</f>
      </c>
      <c r="L86" s="302">
        <f>(L10+L29)-(L48+L67)</f>
      </c>
      <c r="M86" s="302">
        <f>(M10+M29)-(M48+M67)</f>
      </c>
      <c r="N86" s="302">
        <f>(N10+N29)-(N48+N67)</f>
      </c>
      <c r="O86" s="302">
        <f>(O10+O29)-(O48+O67)</f>
      </c>
      <c r="P86" s="302">
        <f>(P10+P29)-(P48+P67)</f>
      </c>
      <c r="Q86" s="302">
        <f>(Q10+Q29)-(Q48+Q67)</f>
      </c>
      <c r="R86" s="302">
        <f>(R10+R29)-(R48+R67)</f>
      </c>
      <c r="S86" s="302">
        <f>(S10+S29)-(S48+S67)</f>
      </c>
      <c r="T86" s="302">
        <f>(T10+T29)-(T48+T67)</f>
      </c>
      <c r="U86" s="302">
        <f>(U10+U29)-(U48+U67)</f>
      </c>
      <c r="V86" s="302">
        <f>(V10+V29)-(V48+V67)</f>
      </c>
      <c r="W86" s="302">
        <f>(W10+W29)-(W48+W67)</f>
      </c>
      <c r="X86" s="302">
        <f>(X10+X29)-(X48+X67)</f>
      </c>
      <c r="Y86" s="302">
        <f>(Y10+Y29)-(Y48+Y67)</f>
      </c>
      <c r="Z86" s="302">
        <f>(Z10+Z29)-(Z48+Z67)</f>
      </c>
      <c r="AA86" s="302">
        <f>(AA10+AA29)-(AA48+AA67)</f>
      </c>
      <c r="AB86" s="302">
        <f>(AB10+AB29)-(AB48+AB67)</f>
      </c>
      <c r="AC86" s="302">
        <f>(AC10+AC29)-(AC48+AC67)</f>
      </c>
      <c r="AD86" s="302">
        <f>(AD10+AD29)-(AD48+AD67)</f>
      </c>
      <c r="AE86" s="302">
        <f>(AE10+AE29)-(AE48+AE67)</f>
      </c>
      <c r="AF86" s="302">
        <f>(AF10+AF29)-(AF48+AF67)</f>
      </c>
      <c r="AG86" s="302">
        <f>(AG10+AG29)-(AG48+AG67)</f>
      </c>
      <c r="AH86" s="302">
        <f>(AH10+AH29)-(AH48+AH67)</f>
      </c>
      <c r="AI86" s="302">
        <f>(AI10+AI29)-(AI48+AI67)</f>
      </c>
      <c r="AJ86" s="302">
        <f>(AJ10+AJ29)-(AJ48+AJ67)</f>
      </c>
      <c r="AK86" s="302">
        <f>(AK10+AK29)-(AK48+AK67)</f>
      </c>
      <c r="AL86" s="302">
        <f>(AL10+AL29)-(AL48+AL67)</f>
      </c>
      <c r="AM86" s="303">
        <f>(AM10+AM29)-(AM48+AM67)</f>
      </c>
      <c r="AN86" s="389">
        <f>(AN10+AN29)-(AN48+AN67)</f>
      </c>
      <c r="AO86" s="272"/>
      <c r="AP86" s="273"/>
    </row>
    <row r="87" ht="15.75" customHeight="1" spans="1:60" x14ac:dyDescent="0.25">
      <c r="A87" s="304" t="s">
        <v>645</v>
      </c>
      <c r="B87" s="305">
        <f>(B11+B30)-(B49+B68)</f>
      </c>
      <c r="C87" s="306">
        <f>(C11+C30)-(C49+C68)</f>
        <v>7</v>
      </c>
      <c r="D87" s="306">
        <f>(D11+D30)-(D49+D68)</f>
        <v>25</v>
      </c>
      <c r="E87" s="306">
        <f>(E11+E30)-(E49+E68)</f>
        <v>102</v>
      </c>
      <c r="F87" s="306">
        <f>(F11+F30)-(F49+F68)</f>
        <v>23</v>
      </c>
      <c r="G87" s="306">
        <f>(G11+G30)-(G49+G68)</f>
        <v>207</v>
      </c>
      <c r="H87" s="306">
        <f>(H11+H30)-(H49+H68)</f>
        <v>38</v>
      </c>
      <c r="I87" s="306">
        <f>(I11+I30)-(I49+I68)</f>
        <v>5010</v>
      </c>
      <c r="J87" s="306">
        <f>(J11+J30)-(J49+J68)</f>
        <v>20</v>
      </c>
      <c r="K87" s="306">
        <f>(K11+K30)-(K49+K68)</f>
        <v>10</v>
      </c>
      <c r="L87" s="306">
        <f>(L11+L30)-(L49+L68)</f>
        <v>6</v>
      </c>
      <c r="M87" s="306">
        <f>(M11+M30)-(M49+M68)</f>
        <v>20</v>
      </c>
      <c r="N87" s="306">
        <f>(N11+N30)-(N49+N68)</f>
        <v>31</v>
      </c>
      <c r="O87" s="306">
        <f>(O11+O30)-(O49+O68)</f>
        <v>16</v>
      </c>
      <c r="P87" s="306">
        <f>(P11+P30)-(P49+P68)</f>
        <v>77</v>
      </c>
      <c r="Q87" s="306">
        <f>(Q11+Q30)-(Q49+Q68)</f>
        <v>15</v>
      </c>
      <c r="R87" s="306">
        <f>(R11+R30)-(R49+R68)</f>
        <v>21</v>
      </c>
      <c r="S87" s="306">
        <f>(S11+S30)-(S49+S68)</f>
        <v>162</v>
      </c>
      <c r="T87" s="306">
        <f>(T11+T30)-(T49+T68)</f>
        <v>158</v>
      </c>
      <c r="U87" s="306">
        <f>(U11+U30)-(U49+U68)</f>
      </c>
      <c r="V87" s="306">
        <f>(V11+V30)-(V49+V68)</f>
        <v>31</v>
      </c>
      <c r="W87" s="306">
        <f>(W11+W30)-(W49+W68)</f>
        <v>12</v>
      </c>
      <c r="X87" s="306">
        <f>(X11+X30)-(X49+X68)</f>
        <v>82</v>
      </c>
      <c r="Y87" s="306">
        <f>(Y11+Y30)-(Y49+Y68)</f>
        <v>47</v>
      </c>
      <c r="Z87" s="306">
        <f>(Z11+Z30)-(Z49+Z68)</f>
        <v>15</v>
      </c>
      <c r="AA87" s="306">
        <f>(AA11+AA30)-(AA49+AA68)</f>
        <v>57</v>
      </c>
      <c r="AB87" s="306">
        <f>(AB11+AB30)-(AB49+AB68)</f>
        <v>3</v>
      </c>
      <c r="AC87" s="306">
        <f>(AC11+AC30)-(AC49+AC68)</f>
        <v>20</v>
      </c>
      <c r="AD87" s="306">
        <f>(AD11+AD30)-(AD49+AD68)</f>
        <v>186</v>
      </c>
      <c r="AE87" s="306">
        <f>(AE11+AE30)-(AE49+AE68)</f>
        <v>14</v>
      </c>
      <c r="AF87" s="306">
        <f>(AF11+AF30)-(AF49+AF68)</f>
        <v>30</v>
      </c>
      <c r="AG87" s="306">
        <f>(AG11+AG30)-(AG49+AG68)</f>
      </c>
      <c r="AH87" s="306">
        <f>(AH11+AH30)-(AH49+AH68)</f>
        <v>4</v>
      </c>
      <c r="AI87" s="306">
        <f>(AI11+AI30)-(AI49+AI68)</f>
        <v>53</v>
      </c>
      <c r="AJ87" s="306">
        <f>(AJ11+AJ30)-(AJ49+AJ68)</f>
        <v>457</v>
      </c>
      <c r="AK87" s="306">
        <f>(AK11+AK30)-(AK49+AK68)</f>
        <v>79</v>
      </c>
      <c r="AL87" s="306">
        <f>(AL11+AL30)-(AL49+AL68)</f>
        <v>224</v>
      </c>
      <c r="AM87" s="307">
        <f>(AM11+AM30)-(AM49+AM68)</f>
        <v>4</v>
      </c>
      <c r="AN87" s="389">
        <f>(AN11+AN30)-(AN49+AN68)</f>
        <v>7266</v>
      </c>
      <c r="AO87" s="272"/>
      <c r="AP87" s="273"/>
    </row>
    <row r="88" ht="15.75" customHeight="1" spans="1:60" x14ac:dyDescent="0.25">
      <c r="A88" s="308" t="s">
        <v>646</v>
      </c>
      <c r="B88" s="309">
        <f>SUM(((B12+B31)*10-(B50+B69))/10)</f>
      </c>
      <c r="C88" s="310">
        <f>SUM(((C12+C31)*10-(C50+C69))/10)</f>
      </c>
      <c r="D88" s="310">
        <f>SUM(((D12+D31)*10-(D50+D69))/10)</f>
      </c>
      <c r="E88" s="310">
        <f>SUM(((E12+E31)*10-(E50+E69))/10)</f>
      </c>
      <c r="F88" s="310">
        <f>SUM(((F12+F31)*10-(F50+F69))/10)</f>
      </c>
      <c r="G88" s="310">
        <f>SUM(((G12+G31)*10-(G50+G69))/10)</f>
      </c>
      <c r="H88" s="310">
        <f>SUM(((H12+H31)*10-(H50+H69))/10)</f>
      </c>
      <c r="I88" s="310">
        <f>SUM(((I12+I31)*10-(I50+I69))/10)</f>
      </c>
      <c r="J88" s="310">
        <f>SUM(((J12+J31)*10-(J50+J69))/10)</f>
      </c>
      <c r="K88" s="310">
        <f>SUM(((K12+K31)*10-(K50+K69))/10)</f>
      </c>
      <c r="L88" s="310">
        <f>SUM(((L12+L31)*10-(L50+L69))/10)</f>
      </c>
      <c r="M88" s="310">
        <f>SUM(((M12+M31)*10-(M50+M69))/10)</f>
      </c>
      <c r="N88" s="310">
        <f>SUM(((N12+N31)*10-(N50+N69))/10)</f>
      </c>
      <c r="O88" s="310">
        <f>SUM(((O12+O31)*10-(O50+O69))/10)</f>
      </c>
      <c r="P88" s="310">
        <f>SUM(((P12+P31)*10-(P50+P69))/10)</f>
      </c>
      <c r="Q88" s="310">
        <f>SUM(((Q12+Q31)*10-(Q50+Q69))/10)</f>
      </c>
      <c r="R88" s="310">
        <f>SUM(((R12+R31)*10-(R50+R69))/10)</f>
      </c>
      <c r="S88" s="310">
        <f>SUM(((S12+S31)*10-(S50+S69))/10)</f>
      </c>
      <c r="T88" s="310">
        <f>SUM(((T12+T31)*10-(T50+T69))/10)</f>
      </c>
      <c r="U88" s="310">
        <f>SUM(((U12+U31)*10-(U50+U69))/10)</f>
      </c>
      <c r="V88" s="310">
        <f>SUM(((V12+V31)*10-(V50+V69))/10)</f>
      </c>
      <c r="W88" s="310">
        <f>SUM(((W12+W31)*10-(W50+W69))/10)</f>
      </c>
      <c r="X88" s="310">
        <f>SUM(((X12+X31)*10-(X50+X69))/10)</f>
      </c>
      <c r="Y88" s="310">
        <f>SUM(((Y12+Y31)*10-(Y50+Y69))/10)</f>
      </c>
      <c r="Z88" s="310">
        <f>SUM(((Z12+Z31)*10-(Z50+Z69))/10)</f>
      </c>
      <c r="AA88" s="310">
        <f>SUM(((AA12+AA31)*10-(AA50+AA69))/10)</f>
      </c>
      <c r="AB88" s="310">
        <f>SUM(((AB12+AB31)*10-(AB50+AB69))/10)</f>
      </c>
      <c r="AC88" s="310">
        <f>SUM(((AC12+AC31)*10-(AC50+AC69))/10)</f>
      </c>
      <c r="AD88" s="310">
        <f>SUM(((AD12+AD31)*10-(AD50+AD69))/10)</f>
      </c>
      <c r="AE88" s="310">
        <f>SUM(((AE12+AE31)*10-(AE50+AE69))/10)</f>
      </c>
      <c r="AF88" s="310">
        <f>SUM(((AF12+AF31)*10-(AF50+AF69))/10)</f>
      </c>
      <c r="AG88" s="310">
        <f>SUM(((AG12+AG31)*10-(AG50+AG69))/10)</f>
      </c>
      <c r="AH88" s="310">
        <f>SUM(((AH12+AH31)*10-(AH50+AH69))/10)</f>
      </c>
      <c r="AI88" s="310">
        <f>SUM(((AI12+AI31)*10-(AI50+AI69))/10)</f>
      </c>
      <c r="AJ88" s="310">
        <f>SUM(((AJ12+AJ31)*10-(AJ50+AJ69))/10)</f>
      </c>
      <c r="AK88" s="310">
        <f>SUM(((AK12+AK31)*10-(AK50+AK69))/10)</f>
      </c>
      <c r="AL88" s="310">
        <f>SUM(((AL12+AL31)*10-(AL50+AL69))/10)</f>
      </c>
      <c r="AM88" s="311">
        <f>SUM(((AM12+AM31)*10-(AM50+AM69))/10)</f>
      </c>
      <c r="AN88" s="389">
        <f>SUM(((AN12+AN31)*10-(AN50+AN69))/10)</f>
      </c>
      <c r="AO88" s="272"/>
      <c r="AP88" s="273"/>
    </row>
    <row r="89" ht="15.75" customHeight="1" spans="1:60" x14ac:dyDescent="0.25">
      <c r="A89" s="312" t="s">
        <v>647</v>
      </c>
      <c r="B89" s="313">
        <f>SUM(((B13+B32)*10-(B51+B70))/10)</f>
      </c>
      <c r="C89" s="314">
        <f>SUM(((C13+C32)*10-(C51+C70))/10)</f>
        <v>1</v>
      </c>
      <c r="D89" s="314">
        <f>SUM(((D13+D32)*10-(D51+D70))/10)</f>
        <v>1</v>
      </c>
      <c r="E89" s="314">
        <f>SUM(((E13+E32)*10-(E51+E70))/10)</f>
        <v>5</v>
      </c>
      <c r="F89" s="314">
        <f>SUM(((F13+F32)*10-(F51+F70))/10)</f>
        <v>6</v>
      </c>
      <c r="G89" s="314">
        <f>SUM(((G13+G32)*10-(G51+G70))/10)</f>
        <v>1</v>
      </c>
      <c r="H89" s="314">
        <f>SUM(((H13+H32)*10-(H51+H70))/10)</f>
      </c>
      <c r="I89" s="314">
        <f>SUM(((I13+I32)*10-(I51+I70))/10)</f>
        <v>889</v>
      </c>
      <c r="J89" s="314">
        <f>SUM(((J13+J32)*10-(J51+J70))/10)</f>
        <v>1</v>
      </c>
      <c r="K89" s="314">
        <f>SUM(((K13+K32)*10-(K51+K70))/10)</f>
        <v>2</v>
      </c>
      <c r="L89" s="314">
        <f>SUM(((L13+L32)*10-(L51+L70))/10)</f>
        <v>2</v>
      </c>
      <c r="M89" s="314">
        <f>SUM(((M13+M32)*10-(M51+M70))/10)</f>
        <v>3</v>
      </c>
      <c r="N89" s="314">
        <f>SUM(((N13+N32)*10-(N51+N70))/10)</f>
        <v>2</v>
      </c>
      <c r="O89" s="314">
        <f>SUM(((O13+O32)*10-(O51+O70))/10)</f>
      </c>
      <c r="P89" s="314">
        <f>SUM(((P13+P32)*10-(P51+P70))/10)</f>
        <v>6</v>
      </c>
      <c r="Q89" s="314">
        <f>SUM(((Q13+Q32)*10-(Q51+Q70))/10)</f>
      </c>
      <c r="R89" s="314">
        <f>SUM(((R13+R32)*10-(R51+R70))/10)</f>
        <v>2</v>
      </c>
      <c r="S89" s="314">
        <f>SUM(((S13+S32)*10-(S51+S70))/10)</f>
        <v>1</v>
      </c>
      <c r="T89" s="314">
        <f>SUM(((T13+T32)*10-(T51+T70))/10)</f>
        <v>4</v>
      </c>
      <c r="U89" s="314">
        <f>SUM(((U13+U32)*10-(U51+U70))/10)</f>
      </c>
      <c r="V89" s="314">
        <f>SUM(((V13+V32)*10-(V51+V70))/10)</f>
        <v>2</v>
      </c>
      <c r="W89" s="314">
        <f>SUM(((W13+W32)*10-(W51+W70))/10)</f>
        <v>2</v>
      </c>
      <c r="X89" s="314">
        <f>SUM(((X13+X32)*10-(X51+X70))/10)</f>
      </c>
      <c r="Y89" s="314">
        <f>SUM(((Y13+Y32)*10-(Y51+Y70))/10)</f>
      </c>
      <c r="Z89" s="314">
        <f>SUM(((Z13+Z32)*10-(Z51+Z70))/10)</f>
        <v>10</v>
      </c>
      <c r="AA89" s="314">
        <f>SUM(((AA13+AA32)*10-(AA51+AA70))/10)</f>
        <v>1</v>
      </c>
      <c r="AB89" s="314">
        <f>SUM(((AB13+AB32)*10-(AB51+AB70))/10)</f>
      </c>
      <c r="AC89" s="314">
        <f>SUM(((AC13+AC32)*10-(AC51+AC70))/10)</f>
        <v>1</v>
      </c>
      <c r="AD89" s="314">
        <f>SUM(((AD13+AD32)*10-(AD51+AD70))/10)</f>
      </c>
      <c r="AE89" s="314">
        <f>SUM(((AE13+AE32)*10-(AE51+AE70))/10)</f>
        <v>8</v>
      </c>
      <c r="AF89" s="314">
        <f>SUM(((AF13+AF32)*10-(AF51+AF70))/10)</f>
      </c>
      <c r="AG89" s="314">
        <f>SUM(((AG13+AG32)*10-(AG51+AG70))/10)</f>
      </c>
      <c r="AH89" s="314">
        <f>SUM(((AH13+AH32)*10-(AH51+AH70))/10)</f>
      </c>
      <c r="AI89" s="314">
        <f>SUM(((AI13+AI32)*10-(AI51+AI70))/10)</f>
      </c>
      <c r="AJ89" s="314">
        <f>SUM(((AJ13+AJ32)*10-(AJ51+AJ70))/10)</f>
      </c>
      <c r="AK89" s="314">
        <f>SUM(((AK13+AK32)*10-(AK51+AK70))/10)</f>
        <v>3</v>
      </c>
      <c r="AL89" s="314">
        <f>SUM(((AL13+AL32)*10-(AL51+AL70))/10)</f>
        <v>10</v>
      </c>
      <c r="AM89" s="315">
        <f>SUM(((AM13+AM32)*10-(AM51+AM70))/10)</f>
      </c>
      <c r="AN89" s="389">
        <f>SUM(((AN13+AN32)*10-(AN51+AN70))/10)</f>
        <v>963</v>
      </c>
      <c r="AO89" s="272"/>
      <c r="AP89" s="273"/>
    </row>
    <row r="90" ht="15.75" customHeight="1" spans="1:60" x14ac:dyDescent="0.25">
      <c r="A90" s="317" t="s">
        <v>648</v>
      </c>
      <c r="B90" s="318">
        <f>(B14+B33)-(B52+B71)</f>
      </c>
      <c r="C90" s="319">
        <f>(C14+C33)-(C52+C71)</f>
      </c>
      <c r="D90" s="319">
        <f>(D14+D33)-(D52+D71)</f>
        <v>13</v>
      </c>
      <c r="E90" s="319">
        <f>(E14+E33)-(E52+E71)</f>
        <v>10</v>
      </c>
      <c r="F90" s="319">
        <f>(F14+F33)-(F52+F71)</f>
      </c>
      <c r="G90" s="319">
        <f>(G14+G33)-(G52+G71)</f>
        <v>5</v>
      </c>
      <c r="H90" s="319">
        <f>(H14+H33)-(H52+H71)</f>
      </c>
      <c r="I90" s="319">
        <f>(I14+I33)-(I52+I71)</f>
        <v>233</v>
      </c>
      <c r="J90" s="319">
        <f>(J14+J33)-(J52+J71)</f>
        <v>1</v>
      </c>
      <c r="K90" s="319">
        <f>(K14+K33)-(K52+K71)</f>
      </c>
      <c r="L90" s="319">
        <f>(L14+L33)-(L52+L71)</f>
        <v>26</v>
      </c>
      <c r="M90" s="319">
        <f>(M14+M33)-(M52+M71)</f>
        <v>6</v>
      </c>
      <c r="N90" s="319">
        <f>(N14+N33)-(N52+N71)</f>
        <v>1</v>
      </c>
      <c r="O90" s="319">
        <f>(O14+O33)-(O52+O71)</f>
      </c>
      <c r="P90" s="319">
        <f>(P14+P33)-(P52+P71)</f>
        <v>16</v>
      </c>
      <c r="Q90" s="319">
        <f>(Q14+Q33)-(Q52+Q71)</f>
      </c>
      <c r="R90" s="319">
        <f>(R14+R33)-(R52+R71)</f>
        <v>24</v>
      </c>
      <c r="S90" s="319">
        <f>(S14+S33)-(S52+S71)</f>
      </c>
      <c r="T90" s="319">
        <f>(T14+T33)-(T52+T71)</f>
      </c>
      <c r="U90" s="319">
        <f>(U14+U33)-(U52+U71)</f>
      </c>
      <c r="V90" s="319">
        <f>(V14+V33)-(V52+V71)</f>
        <v>3</v>
      </c>
      <c r="W90" s="319">
        <f>(W14+W33)-(W52+W71)</f>
      </c>
      <c r="X90" s="319">
        <f>(X14+X33)-(X52+X71)</f>
        <v>32</v>
      </c>
      <c r="Y90" s="319">
        <f>(Y14+Y33)-(Y52+Y71)</f>
        <v>1</v>
      </c>
      <c r="Z90" s="319">
        <f>(Z14+Z33)-(Z52+Z71)</f>
        <v>27</v>
      </c>
      <c r="AA90" s="319">
        <f>(AA14+AA33)-(AA52+AA71)</f>
        <v>10</v>
      </c>
      <c r="AB90" s="319">
        <f>(AB14+AB33)-(AB52+AB71)</f>
        <v>2</v>
      </c>
      <c r="AC90" s="319">
        <f>(AC14+AC33)-(AC52+AC71)</f>
        <v>5</v>
      </c>
      <c r="AD90" s="319">
        <f>(AD14+AD33)-(AD52+AD71)</f>
        <v>11</v>
      </c>
      <c r="AE90" s="319">
        <f>(AE14+AE33)-(AE52+AE71)</f>
        <v>13</v>
      </c>
      <c r="AF90" s="319">
        <f>(AF14+AF33)-(AF52+AF71)</f>
      </c>
      <c r="AG90" s="319">
        <f>(AG14+AG33)-(AG52+AG71)</f>
      </c>
      <c r="AH90" s="319">
        <f>(AH14+AH33)-(AH52+AH71)</f>
      </c>
      <c r="AI90" s="319">
        <f>(AI14+AI33)-(AI52+AI71)</f>
      </c>
      <c r="AJ90" s="319">
        <f>(AJ14+AJ33)-(AJ52+AJ71)</f>
      </c>
      <c r="AK90" s="319">
        <f>(AK14+AK33)-(AK52+AK71)</f>
      </c>
      <c r="AL90" s="319">
        <f>(AL14+AL33)-(AL52+AL71)</f>
        <v>24</v>
      </c>
      <c r="AM90" s="320">
        <f>(AM14+AM33)-(AM52+AM71)</f>
      </c>
      <c r="AN90" s="389">
        <f>(AN14+AN33)-(AN52+AN71)</f>
        <v>463</v>
      </c>
      <c r="AO90" s="272"/>
      <c r="AP90" s="273"/>
    </row>
    <row r="91" ht="15.75" customHeight="1" spans="1:60" x14ac:dyDescent="0.25">
      <c r="A91" s="321" t="s">
        <v>649</v>
      </c>
      <c r="B91" s="322">
        <f>SUM(((B15+B34)*10-(B53+B72))/10)</f>
      </c>
      <c r="C91" s="323">
        <f>SUM(((C15+C34)*10-(C53+C72))/10)</f>
      </c>
      <c r="D91" s="323">
        <f>SUM(((D15+D34)*10-(D53+D72))/10)</f>
        <v>1</v>
      </c>
      <c r="E91" s="323">
        <f>SUM(((E15+E34)*10-(E53+E72))/10)</f>
        <v>0.8</v>
      </c>
      <c r="F91" s="323">
        <f>SUM(((F15+F34)*10-(F53+F72))/10)</f>
        <v>1.6</v>
      </c>
      <c r="G91" s="323">
        <f>SUM(((G15+G34)*10-(G53+G72))/10)</f>
        <v>0.3</v>
      </c>
      <c r="H91" s="323">
        <f>SUM(((H15+H34)*10-(H53+H72))/10)</f>
        <v>2</v>
      </c>
      <c r="I91" s="323">
        <f>SUM(((I15+I34)*10-(I53+I72))/10)</f>
      </c>
      <c r="J91" s="323">
        <f>SUM(((J15+J34)*10-(J53+J72))/10)</f>
        <v>1</v>
      </c>
      <c r="K91" s="323">
        <f>SUM(((K15+K34)*10-(K53+K72))/10)</f>
        <v>1</v>
      </c>
      <c r="L91" s="323">
        <f>SUM(((L15+L34)*10-(L53+L72))/10)</f>
        <v>1</v>
      </c>
      <c r="M91" s="323">
        <f>SUM(((M15+M34)*10-(M53+M72))/10)</f>
        <v>1.6</v>
      </c>
      <c r="N91" s="323">
        <f>SUM(((N15+N34)*10-(N53+N72))/10)</f>
        <v>1.4</v>
      </c>
      <c r="O91" s="323">
        <f>SUM(((O15+O34)*10-(O53+O72))/10)</f>
        <v>0.8</v>
      </c>
      <c r="P91" s="323">
        <f>SUM(((P15+P34)*10-(P53+P72))/10)</f>
        <v>6.8</v>
      </c>
      <c r="Q91" s="323">
        <f>SUM(((Q15+Q34)*10-(Q53+Q72))/10)</f>
        <v>0.7</v>
      </c>
      <c r="R91" s="323">
        <f>SUM(((R15+R34)*10-(R53+R72))/10)</f>
        <v>2</v>
      </c>
      <c r="S91" s="323">
        <f>SUM(((S15+S34)*10-(S53+S72))/10)</f>
        <v>4.5</v>
      </c>
      <c r="T91" s="323">
        <f>SUM(((T15+T34)*10-(T53+T72))/10)</f>
        <v>18.4</v>
      </c>
      <c r="U91" s="323">
        <f>SUM(((U15+U34)*10-(U53+U72))/10)</f>
      </c>
      <c r="V91" s="323">
        <f>SUM(((V15+V34)*10-(V53+V72))/10)</f>
        <v>0.6</v>
      </c>
      <c r="W91" s="323">
        <f>SUM(((W15+W34)*10-(W53+W72))/10)</f>
        <v>0.6</v>
      </c>
      <c r="X91" s="323">
        <f>SUM(((X15+X34)*10-(X53+X72))/10)</f>
      </c>
      <c r="Y91" s="323">
        <f>SUM(((Y15+Y34)*10-(Y53+Y72))/10)</f>
      </c>
      <c r="Z91" s="323">
        <f>SUM(((Z15+Z34)*10-(Z53+Z72))/10)</f>
        <v>1.4</v>
      </c>
      <c r="AA91" s="323">
        <f>SUM(((AA15+AA34)*10-(AA53+AA72))/10)</f>
        <v>2.4</v>
      </c>
      <c r="AB91" s="323">
        <f>SUM(((AB15+AB34)*10-(AB53+AB72))/10)</f>
      </c>
      <c r="AC91" s="323">
        <f>SUM(((AC15+AC34)*10-(AC53+AC72))/10)</f>
        <v>2.5</v>
      </c>
      <c r="AD91" s="323">
        <f>SUM(((AD15+AD34)*10-(AD53+AD72))/10)</f>
        <v>3</v>
      </c>
      <c r="AE91" s="323">
        <f>SUM(((AE15+AE34)*10-(AE53+AE72))/10)</f>
        <v>2</v>
      </c>
      <c r="AF91" s="323">
        <f>SUM(((AF15+AF34)*10-(AF53+AF72))/10)</f>
      </c>
      <c r="AG91" s="323">
        <f>SUM(((AG15+AG34)*10-(AG53+AG72))/10)</f>
      </c>
      <c r="AH91" s="323">
        <f>SUM(((AH15+AH34)*10-(AH53+AH72))/10)</f>
      </c>
      <c r="AI91" s="323">
        <f>SUM(((AI15+AI34)*10-(AI53+AI72))/10)</f>
      </c>
      <c r="AJ91" s="323">
        <f>SUM(((AJ15+AJ34)*10-(AJ53+AJ72))/10)</f>
        <v>5.9</v>
      </c>
      <c r="AK91" s="323">
        <f>SUM(((AK15+AK34)*10-(AK53+AK72))/10)</f>
        <v>4</v>
      </c>
      <c r="AL91" s="323">
        <f>SUM(((AL15+AL34)*10-(AL53+AL72))/10)</f>
        <v>8</v>
      </c>
      <c r="AM91" s="324">
        <f>SUM(((AM15+AM34)*10-(AM53+AM72))/10)</f>
      </c>
      <c r="AN91" s="389">
        <f>SUM(((AN15+AN34)*10-(AN53+AN72))/10)</f>
        <v>75.3</v>
      </c>
      <c r="AO91" s="272"/>
      <c r="AP91" s="273"/>
    </row>
    <row r="92" ht="15.75" customHeight="1" spans="1:60" x14ac:dyDescent="0.25">
      <c r="A92" s="325" t="s">
        <v>650</v>
      </c>
      <c r="B92" s="326">
        <f>(B16+B35)-(B54+B73)</f>
      </c>
      <c r="C92" s="327">
        <f>(C16+C35)-(C54+C73)</f>
        <v>14</v>
      </c>
      <c r="D92" s="327">
        <f>(D16+D35)-(D54+D73)</f>
        <v>15</v>
      </c>
      <c r="E92" s="327">
        <f>(E16+E35)-(E54+E73)</f>
        <v>13</v>
      </c>
      <c r="F92" s="327">
        <f>(F16+F35)-(F54+F73)</f>
        <v>17</v>
      </c>
      <c r="G92" s="327">
        <f>(G16+G35)-(G54+G73)</f>
        <v>10</v>
      </c>
      <c r="H92" s="327">
        <f>(H16+H35)-(H54+H73)</f>
        <v>25</v>
      </c>
      <c r="I92" s="327">
        <f>(I16+I35)-(I54+I73)</f>
        <v>23</v>
      </c>
      <c r="J92" s="327">
        <f>(J16+J35)-(J54+J73)</f>
        <v>11</v>
      </c>
      <c r="K92" s="327">
        <f>(K16+K35)-(K54+K73)</f>
        <v>34</v>
      </c>
      <c r="L92" s="327">
        <f>(L16+L35)-(L54+L73)</f>
        <v>6</v>
      </c>
      <c r="M92" s="327">
        <f>(M16+M35)-(M54+M73)</f>
        <v>3</v>
      </c>
      <c r="N92" s="327">
        <f>(N16+N35)-(N54+N73)</f>
        <v>24</v>
      </c>
      <c r="O92" s="327">
        <f>(O16+O35)-(O54+O73)</f>
        <v>11</v>
      </c>
      <c r="P92" s="327">
        <f>(P16+P35)-(P54+P73)</f>
        <v>13</v>
      </c>
      <c r="Q92" s="327">
        <f>(Q16+Q35)-(Q54+Q73)</f>
      </c>
      <c r="R92" s="327">
        <f>(R16+R35)-(R54+R73)</f>
        <v>195</v>
      </c>
      <c r="S92" s="327">
        <f>(S16+S35)-(S54+S73)</f>
        <v>44</v>
      </c>
      <c r="T92" s="327">
        <f>(T16+T35)-(T54+T73)</f>
        <v>41</v>
      </c>
      <c r="U92" s="327">
        <f>(U16+U35)-(U54+U73)</f>
      </c>
      <c r="V92" s="327">
        <f>(V16+V35)-(V54+V73)</f>
        <v>9</v>
      </c>
      <c r="W92" s="327">
        <f>(W16+W35)-(W54+W73)</f>
        <v>13</v>
      </c>
      <c r="X92" s="327">
        <f>(X16+X35)-(X54+X73)</f>
        <v>4</v>
      </c>
      <c r="Y92" s="327">
        <f>(Y16+Y35)-(Y54+Y73)</f>
        <v>13</v>
      </c>
      <c r="Z92" s="327">
        <f>(Z16+Z35)-(Z54+Z73)</f>
        <v>40</v>
      </c>
      <c r="AA92" s="327">
        <f>(AA16+AA35)-(AA54+AA73)</f>
        <v>24</v>
      </c>
      <c r="AB92" s="327">
        <f>(AB16+AB35)-(AB54+AB73)</f>
        <v>10</v>
      </c>
      <c r="AC92" s="327">
        <f>(AC16+AC35)-(AC54+AC73)</f>
        <v>15</v>
      </c>
      <c r="AD92" s="327">
        <f>(AD16+AD35)-(AD54+AD73)</f>
        <v>20</v>
      </c>
      <c r="AE92" s="327">
        <f>(AE16+AE35)-(AE54+AE73)</f>
        <v>11</v>
      </c>
      <c r="AF92" s="327">
        <f>(AF16+AF35)-(AF54+AF73)</f>
        <v>18</v>
      </c>
      <c r="AG92" s="327">
        <f>(AG16+AG35)-(AG54+AG73)</f>
      </c>
      <c r="AH92" s="327">
        <f>(AH16+AH35)-(AH54+AH73)</f>
      </c>
      <c r="AI92" s="327">
        <f>(AI16+AI35)-(AI54+AI73)</f>
        <v>54</v>
      </c>
      <c r="AJ92" s="327">
        <f>(AJ16+AJ35)-(AJ54+AJ73)</f>
        <v>42</v>
      </c>
      <c r="AK92" s="327">
        <f>(AK16+AK35)-(AK54+AK73)</f>
        <v>33</v>
      </c>
      <c r="AL92" s="327">
        <f>(AL16+AL35)-(AL54+AL73)</f>
        <v>43</v>
      </c>
      <c r="AM92" s="328">
        <f>(AM16+AM35)-(AM54+AM73)</f>
        <v>15</v>
      </c>
      <c r="AN92" s="389">
        <f>(AN16+AN35)-(AN54+AN73)</f>
        <v>863</v>
      </c>
      <c r="AO92" s="272"/>
      <c r="AP92" s="273"/>
    </row>
    <row r="93" ht="15.75" customHeight="1" spans="1:60" s="329" customFormat="1" x14ac:dyDescent="0.25">
      <c r="A93" s="330" t="s">
        <v>651</v>
      </c>
      <c r="B93" s="331">
        <f>SUM(((B17+B36)*5-(B55+B74))/5)</f>
      </c>
      <c r="C93" s="332">
        <f>SUM(((C17+C36)*5-(C55+C74))/5)</f>
      </c>
      <c r="D93" s="332">
        <f>SUM(((D17+D36)*5-(D55+D74))/5)</f>
      </c>
      <c r="E93" s="332">
        <f>SUM(((E17+E36)*5-(E55+E74))/5)</f>
      </c>
      <c r="F93" s="332">
        <f>SUM(((F17+F36)*5-(F55+F74))/5)</f>
      </c>
      <c r="G93" s="332">
        <f>SUM(((G17+G36)*5-(G55+G74))/5)</f>
      </c>
      <c r="H93" s="332">
        <f>SUM(((H17+H36)*5-(H55+H74))/5)</f>
      </c>
      <c r="I93" s="332">
        <f>SUM(((I17+I36)*5-(I55+I74))/5)</f>
      </c>
      <c r="J93" s="332">
        <f>SUM(((J17+J36)*5-(J55+J74))/5)</f>
      </c>
      <c r="K93" s="332">
        <f>SUM(((K17+K36)*5-(K55+K74))/5)</f>
      </c>
      <c r="L93" s="332">
        <f>SUM(((L17+L36)*5-(L55+L74))/5)</f>
      </c>
      <c r="M93" s="332">
        <f>SUM(((M17+M36)*5-(M55+M74))/5)</f>
      </c>
      <c r="N93" s="332">
        <f>SUM(((N17+N36)*5-(N55+N74))/5)</f>
      </c>
      <c r="O93" s="332">
        <f>SUM(((O17+O36)*5-(O55+O74))/5)</f>
      </c>
      <c r="P93" s="332">
        <f>SUM(((P17+P36)*5-(P55+P74))/5)</f>
      </c>
      <c r="Q93" s="332">
        <f>SUM(((Q17+Q36)*5-(Q55+Q74))/5)</f>
      </c>
      <c r="R93" s="332">
        <f>SUM(((R17+R36)*5-(R55+R74))/5)</f>
      </c>
      <c r="S93" s="332">
        <f>SUM(((S17+S36)*5-(S55+S74))/5)</f>
      </c>
      <c r="T93" s="332">
        <f>SUM(((T17+T36)*5-(T55+T74))/5)</f>
      </c>
      <c r="U93" s="332">
        <f>SUM(((U17+U36)*5-(U55+U74))/5)</f>
      </c>
      <c r="V93" s="332">
        <f>SUM(((V17+V36)*5-(V55+V74))/5)</f>
      </c>
      <c r="W93" s="332">
        <f>SUM(((W17+W36)*5-(W55+W74))/5)</f>
      </c>
      <c r="X93" s="332">
        <f>SUM(((X17+X36)*5-(X55+X74))/5)</f>
      </c>
      <c r="Y93" s="332">
        <f>SUM(((Y17+Y36)*5-(Y55+Y74))/5)</f>
      </c>
      <c r="Z93" s="332">
        <f>SUM(((Z17+Z36)*5-(Z55+Z74))/5)</f>
      </c>
      <c r="AA93" s="332">
        <f>SUM(((AA17+AA36)*5-(AA55+AA74))/5)</f>
      </c>
      <c r="AB93" s="332">
        <f>SUM(((AB17+AB36)*5-(AB55+AB74))/5)</f>
      </c>
      <c r="AC93" s="332">
        <f>SUM(((AC17+AC36)*5-(AC55+AC74))/5)</f>
      </c>
      <c r="AD93" s="332">
        <f>SUM(((AD17+AD36)*5-(AD55+AD74))/5)</f>
      </c>
      <c r="AE93" s="332">
        <f>SUM(((AE17+AE36)*5-(AE55+AE74))/5)</f>
      </c>
      <c r="AF93" s="332">
        <f>SUM(((AF17+AF36)*5-(AF55+AF74))/5)</f>
      </c>
      <c r="AG93" s="332">
        <f>SUM(((AG17+AG36)*5-(AG55+AG74))/5)</f>
      </c>
      <c r="AH93" s="332">
        <f>SUM(((AH17+AH36)*5-(AH55+AH74))/5)</f>
      </c>
      <c r="AI93" s="332">
        <f>SUM(((AI17+AI36)*5-(AI55+AI74))/5)</f>
      </c>
      <c r="AJ93" s="332">
        <f>SUM(((AJ17+AJ36)*5-(AJ55+AJ74))/5)</f>
      </c>
      <c r="AK93" s="332">
        <f>SUM(((AK17+AK36)*5-(AK55+AK74))/5)</f>
      </c>
      <c r="AL93" s="332">
        <f>SUM(((AL17+AL36)*5-(AL55+AL74))/5)</f>
      </c>
      <c r="AM93" s="333">
        <f>SUM(((AM17+AM36)*5-(AM55+AM74))/5)</f>
      </c>
      <c r="AN93" s="389">
        <f>SUM(((AN17+AN36)*10-(AN55+AN74))/10)</f>
      </c>
      <c r="AO93" s="272"/>
      <c r="AP93" s="273"/>
    </row>
    <row r="94" ht="15.75" customHeight="1" spans="1:60" s="329" customFormat="1" x14ac:dyDescent="0.25">
      <c r="A94" s="334" t="s">
        <v>652</v>
      </c>
      <c r="B94" s="335">
        <f>SUM(((B18+B37)*6-(B56+B75))/6)</f>
      </c>
      <c r="C94" s="336">
        <f>SUM(((C18+C37)*6-(C56+C75))/6)</f>
      </c>
      <c r="D94" s="336">
        <f>SUM(((D18+D37)*6-(D56+D75))/6)</f>
      </c>
      <c r="E94" s="336">
        <f>SUM(((E18+E37)*6-(E56+E75))/6)</f>
      </c>
      <c r="F94" s="336">
        <f>SUM(((F18+F37)*6-(F56+F75))/6)</f>
      </c>
      <c r="G94" s="336">
        <f>SUM(((G18+G37)*6-(G56+G75))/6)</f>
      </c>
      <c r="H94" s="336">
        <f>SUM(((H18+H37)*6-(H56+H75))/6)</f>
      </c>
      <c r="I94" s="336">
        <f>SUM(((I18+I37)*6-(I56+I75))/6)</f>
      </c>
      <c r="J94" s="336">
        <f>SUM(((J18+J37)*6-(J56+J75))/6)</f>
      </c>
      <c r="K94" s="336">
        <f>SUM(((K18+K37)*6-(K56+K75))/6)</f>
      </c>
      <c r="L94" s="336">
        <f>SUM(((L18+L37)*6-(L56+L75))/6)</f>
      </c>
      <c r="M94" s="336">
        <f>SUM(((M18+M37)*6-(M56+M75))/6)</f>
      </c>
      <c r="N94" s="336">
        <f>SUM(((N18+N37)*6-(N56+N75))/6)</f>
      </c>
      <c r="O94" s="336">
        <f>SUM(((O18+O37)*6-(O56+O75))/6)</f>
      </c>
      <c r="P94" s="336">
        <f>SUM(((P18+P37)*6-(P56+P75))/6)</f>
      </c>
      <c r="Q94" s="336">
        <f>SUM(((Q18+Q37)*6-(Q56+Q75))/6)</f>
      </c>
      <c r="R94" s="336">
        <f>SUM(((R18+R37)*6-(R56+R75))/6)</f>
      </c>
      <c r="S94" s="336">
        <f>SUM(((S18+S37)*6-(S56+S75))/6)</f>
      </c>
      <c r="T94" s="336">
        <f>SUM(((T18+T37)*6-(T56+T75))/6)</f>
      </c>
      <c r="U94" s="336">
        <f>SUM(((U18+U37)*6-(U56+U75))/6)</f>
      </c>
      <c r="V94" s="336">
        <f>SUM(((V18+V37)*6-(V56+V75))/6)</f>
      </c>
      <c r="W94" s="336">
        <f>SUM(((W18+W37)*6-(W56+W75))/6)</f>
      </c>
      <c r="X94" s="336">
        <f>SUM(((X18+X37)*6-(X56+X75))/6)</f>
      </c>
      <c r="Y94" s="336">
        <f>SUM(((Y18+Y37)*6-(Y56+Y75))/6)</f>
      </c>
      <c r="Z94" s="336">
        <f>SUM(((Z18+Z37)*6-(Z56+Z75))/6)</f>
      </c>
      <c r="AA94" s="336">
        <f>SUM(((AA18+AA37)*6-(AA56+AA75))/6)</f>
      </c>
      <c r="AB94" s="336">
        <f>SUM(((AB18+AB37)*6-(AB56+AB75))/6)</f>
      </c>
      <c r="AC94" s="336">
        <f>SUM(((AC18+AC37)*6-(AC56+AC75))/6)</f>
      </c>
      <c r="AD94" s="336">
        <f>SUM(((AD18+AD37)*6-(AD56+AD75))/6)</f>
      </c>
      <c r="AE94" s="336">
        <f>SUM(((AE18+AE37)*6-(AE56+AE75))/6)</f>
      </c>
      <c r="AF94" s="336">
        <f>SUM(((AF18+AF37)*6-(AF56+AF75))/6)</f>
      </c>
      <c r="AG94" s="336">
        <f>SUM(((AG18+AG37)*6-(AG56+AG75))/6)</f>
      </c>
      <c r="AH94" s="336">
        <f>SUM(((AH18+AH37)*6-(AH56+AH75))/6)</f>
      </c>
      <c r="AI94" s="336">
        <f>SUM(((AI18+AI37)*6-(AI56+AI75))/6)</f>
      </c>
      <c r="AJ94" s="336">
        <f>SUM(((AJ18+AJ37)*6-(AJ56+AJ75))/6)</f>
      </c>
      <c r="AK94" s="336">
        <f>SUM(((AK18+AK37)*6-(AK56+AK75))/6)</f>
      </c>
      <c r="AL94" s="336">
        <f>SUM(((AL18+AL37)*6-(AL56+AL75))/6)</f>
      </c>
      <c r="AM94" s="337">
        <f>SUM(((AM18+AM37)*6-(AM56+AM75))/6)</f>
      </c>
      <c r="AN94" s="389">
        <f>SUM(((AN18+AN37)*10-(AN56+AN75))/10)</f>
      </c>
      <c r="AO94" s="272"/>
      <c r="AP94" s="273"/>
    </row>
    <row r="95" ht="15.75" customHeight="1" spans="1:60" x14ac:dyDescent="0.25">
      <c r="A95" s="338" t="s">
        <v>387</v>
      </c>
      <c r="B95" s="339">
        <f>(B19+B38)-(B57+B76)</f>
      </c>
      <c r="C95" s="340">
        <f>(C19+C38)-(C57+C76)</f>
      </c>
      <c r="D95" s="340">
        <f>(D19+D38)-(D57+D76)</f>
      </c>
      <c r="E95" s="340">
        <f>(E19+E38)-(E57+E76)</f>
      </c>
      <c r="F95" s="340">
        <f>(F19+F38)-(F57+F76)</f>
      </c>
      <c r="G95" s="340">
        <f>(G19+G38)-(G57+G76)</f>
      </c>
      <c r="H95" s="340">
        <f>(H19+H38)-(H57+H76)</f>
      </c>
      <c r="I95" s="340">
        <f>(I19+I38)-(I57+I76)</f>
      </c>
      <c r="J95" s="340">
        <f>(J19+J38)-(J57+J76)</f>
      </c>
      <c r="K95" s="340">
        <f>(K19+K38)-(K57+K76)</f>
      </c>
      <c r="L95" s="340">
        <f>(L19+L38)-(L57+L76)</f>
      </c>
      <c r="M95" s="340">
        <f>(M19+M38)-(M57+M76)</f>
      </c>
      <c r="N95" s="340">
        <f>(N19+N38)-(N57+N76)</f>
      </c>
      <c r="O95" s="340">
        <f>(O19+O38)-(O57+O76)</f>
      </c>
      <c r="P95" s="340">
        <f>(P19+P38)-(P57+P76)</f>
      </c>
      <c r="Q95" s="340">
        <f>(Q19+Q38)-(Q57+Q76)</f>
      </c>
      <c r="R95" s="340">
        <f>(R19+R38)-(R57+R76)</f>
      </c>
      <c r="S95" s="340">
        <f>(S19+S38)-(S57+S76)</f>
      </c>
      <c r="T95" s="340">
        <f>(T19+T38)-(T57+T76)</f>
      </c>
      <c r="U95" s="340">
        <f>(U19+U38)-(U57+U76)</f>
      </c>
      <c r="V95" s="340">
        <f>(V19+V38)-(V57+V76)</f>
      </c>
      <c r="W95" s="340">
        <f>(W19+W38)-(W57+W76)</f>
      </c>
      <c r="X95" s="340">
        <f>(X19+X38)-(X57+X76)</f>
      </c>
      <c r="Y95" s="340">
        <f>(Y19+Y38)-(Y57+Y76)</f>
      </c>
      <c r="Z95" s="340">
        <f>(Z19+Z38)-(Z57+Z76)</f>
      </c>
      <c r="AA95" s="340">
        <f>(AA19+AA38)-(AA57+AA76)</f>
      </c>
      <c r="AB95" s="340">
        <f>(AB19+AB38)-(AB57+AB76)</f>
      </c>
      <c r="AC95" s="340">
        <f>(AC19+AC38)-(AC57+AC76)</f>
      </c>
      <c r="AD95" s="340">
        <f>(AD19+AD38)-(AD57+AD76)</f>
      </c>
      <c r="AE95" s="340">
        <f>(AE19+AE38)-(AE57+AE76)</f>
      </c>
      <c r="AF95" s="340">
        <f>(AF19+AF38)-(AF57+AF76)</f>
      </c>
      <c r="AG95" s="340">
        <f>(AG19+AG38)-(AG57+AG76)</f>
      </c>
      <c r="AH95" s="340">
        <f>(AH19+AH38)-(AH57+AH76)</f>
      </c>
      <c r="AI95" s="340">
        <f>(AI19+AI38)-(AI57+AI76)</f>
      </c>
      <c r="AJ95" s="340">
        <f>(AJ19+AJ38)-(AJ57+AJ76)</f>
      </c>
      <c r="AK95" s="340">
        <f>(AK19+AK38)-(AK57+AK76)</f>
      </c>
      <c r="AL95" s="340">
        <f>(AL19+AL38)-(AL57+AL76)</f>
      </c>
      <c r="AM95" s="341">
        <f>(AM19+AM38)-(AM57+AM76)</f>
      </c>
      <c r="AN95" s="389">
        <f>(AN19+AN38)-(AN57+AN76)</f>
      </c>
      <c r="AO95" s="272"/>
      <c r="AP95" s="273"/>
    </row>
    <row r="96" ht="16.5" customHeight="1" spans="1:60" x14ac:dyDescent="0.25">
      <c r="A96" s="342" t="s">
        <v>653</v>
      </c>
      <c r="B96" s="343">
        <f>(B20+B39)-(B58+B77)</f>
      </c>
      <c r="C96" s="344">
        <f>(C20+C39)-(C58+C77)</f>
        <v>9</v>
      </c>
      <c r="D96" s="344">
        <f>(D20+D39)-(D58+D77)</f>
        <v>11</v>
      </c>
      <c r="E96" s="344">
        <f>(E20+E39)-(E58+E77)</f>
        <v>9</v>
      </c>
      <c r="F96" s="344">
        <f>(F20+F39)-(F58+F77)</f>
        <v>4</v>
      </c>
      <c r="G96" s="344">
        <f>(G20+G39)-(G58+G77)</f>
        <v>15</v>
      </c>
      <c r="H96" s="344">
        <f>(H20+H39)-(H58+H77)</f>
        <v>21</v>
      </c>
      <c r="I96" s="344">
        <f>(I20+I39)-(I58+I77)</f>
        <v>123</v>
      </c>
      <c r="J96" s="344">
        <f>(J20+J39)-(J58+J77)</f>
        <v>7</v>
      </c>
      <c r="K96" s="344">
        <f>(K20+K39)-(K58+K77)</f>
        <v>20</v>
      </c>
      <c r="L96" s="344">
        <f>(L20+L39)-(L58+L77)</f>
        <v>6</v>
      </c>
      <c r="M96" s="344">
        <f>(M20+M39)-(M58+M77)</f>
        <v>10</v>
      </c>
      <c r="N96" s="344">
        <f>(N20+N39)-(N58+N77)</f>
        <v>20</v>
      </c>
      <c r="O96" s="344">
        <f>(O20+O39)-(O58+O77)</f>
        <v>4</v>
      </c>
      <c r="P96" s="344">
        <f>(P20+P39)-(P58+P77)</f>
        <v>11</v>
      </c>
      <c r="Q96" s="344">
        <f>(Q20+Q39)-(Q58+Q77)</f>
        <v>10</v>
      </c>
      <c r="R96" s="344">
        <f>(R20+R39)-(R58+R77)</f>
        <v>24</v>
      </c>
      <c r="S96" s="344">
        <f>(S20+S39)-(S58+S77)</f>
        <v>38</v>
      </c>
      <c r="T96" s="344">
        <f>(T20+T39)-(T58+T77)</f>
        <v>37</v>
      </c>
      <c r="U96" s="344">
        <f>(U20+U39)-(U58+U77)</f>
      </c>
      <c r="V96" s="344">
        <f>(V20+V39)-(V58+V77)</f>
        <v>6</v>
      </c>
      <c r="W96" s="344">
        <f>(W20+W39)-(W58+W77)</f>
        <v>10</v>
      </c>
      <c r="X96" s="344">
        <f>(X20+X39)-(X58+X77)</f>
        <v>5</v>
      </c>
      <c r="Y96" s="344">
        <f>(Y20+Y39)-(Y58+Y77)</f>
        <v>4</v>
      </c>
      <c r="Z96" s="344">
        <f>(Z20+Z39)-(Z58+Z77)</f>
        <v>1</v>
      </c>
      <c r="AA96" s="344">
        <f>(AA20+AA39)-(AA58+AA77)</f>
        <v>17</v>
      </c>
      <c r="AB96" s="344">
        <f>(AB20+AB39)-(AB58+AB77)</f>
      </c>
      <c r="AC96" s="344">
        <f>(AC20+AC39)-(AC58+AC77)</f>
        <v>9</v>
      </c>
      <c r="AD96" s="344">
        <f>(AD20+AD39)-(AD58+AD77)</f>
        <v>4</v>
      </c>
      <c r="AE96" s="344">
        <f>(AE20+AE39)-(AE58+AE77)</f>
        <v>5</v>
      </c>
      <c r="AF96" s="344">
        <f>(AF20+AF39)-(AF58+AF77)</f>
        <v>5</v>
      </c>
      <c r="AG96" s="344">
        <f>(AG20+AG39)-(AG58+AG77)</f>
      </c>
      <c r="AH96" s="344">
        <f>(AH20+AH39)-(AH58+AH77)</f>
      </c>
      <c r="AI96" s="344">
        <f>(AI20+AI39)-(AI58+AI77)</f>
        <v>22</v>
      </c>
      <c r="AJ96" s="344">
        <f>(AJ20+AJ39)-(AJ58+AJ77)</f>
        <v>53</v>
      </c>
      <c r="AK96" s="344">
        <f>(AK20+AK39)-(AK58+AK77)</f>
        <v>16</v>
      </c>
      <c r="AL96" s="344">
        <f>(AL20+AL39)-(AL58+AL77)</f>
        <v>62</v>
      </c>
      <c r="AM96" s="345">
        <f>(AM20+AM39)-(AM58+AM77)</f>
        <v>23</v>
      </c>
      <c r="AN96" s="389">
        <f>(AN20+AN39)-(AN58+AN77)</f>
        <v>621</v>
      </c>
      <c r="AO96" s="272"/>
      <c r="AP96" s="273"/>
    </row>
    <row r="97" ht="16.5" customHeight="1" spans="1:60" x14ac:dyDescent="0.25">
      <c r="A97" s="390" t="s">
        <v>521</v>
      </c>
      <c r="B97" s="391">
        <f>(B21+B40)-(B59+B78)</f>
      </c>
      <c r="C97" s="391">
        <f>(C21+C40)-(C59+C78)</f>
        <v>2</v>
      </c>
      <c r="D97" s="391">
        <f>(D21+D40)-(D59+D78)</f>
        <v>5</v>
      </c>
      <c r="E97" s="391">
        <f>(E21+E40)-(E59+E78)</f>
        <v>6</v>
      </c>
      <c r="F97" s="391">
        <f>(F21+F40)-(F59+F78)</f>
        <v>7</v>
      </c>
      <c r="G97" s="391">
        <f>(G21+G40)-(G59+G78)</f>
        <v>6</v>
      </c>
      <c r="H97" s="391">
        <f>(H21+H40)-(H59+H78)</f>
        <v>26</v>
      </c>
      <c r="I97" s="391">
        <f>(I21+I40)-(I59+I78)</f>
        <v>89</v>
      </c>
      <c r="J97" s="391">
        <f>(J21+J40)-(J59+J78)</f>
        <v>5</v>
      </c>
      <c r="K97" s="391">
        <f>(K21+K40)-(K59+K78)</f>
        <v>19</v>
      </c>
      <c r="L97" s="391">
        <f>(L21+L40)-(L59+L78)</f>
        <v>5</v>
      </c>
      <c r="M97" s="391">
        <f>(M21+M40)-(M59+M78)</f>
        <v>4</v>
      </c>
      <c r="N97" s="391">
        <f>(N21+N40)-(N59+N78)</f>
        <v>11</v>
      </c>
      <c r="O97" s="391">
        <f>(O21+O40)-(O59+O78)</f>
        <v>5</v>
      </c>
      <c r="P97" s="391">
        <f>(P21+P40)-(P59+P78)</f>
        <v>15</v>
      </c>
      <c r="Q97" s="391">
        <f>(Q21+Q40)-(Q59+Q78)</f>
        <v>2</v>
      </c>
      <c r="R97" s="391">
        <f>(R21+R40)-(R59+R78)</f>
        <v>37</v>
      </c>
      <c r="S97" s="391">
        <f>(S21+S40)-(S59+S78)</f>
        <v>28</v>
      </c>
      <c r="T97" s="391">
        <f>(T21+T40)-(T59+T78)</f>
        <v>93</v>
      </c>
      <c r="U97" s="391">
        <f>(U21+U40)-(U59+U78)</f>
      </c>
      <c r="V97" s="391">
        <f>(V21+V40)-(V59+V78)</f>
        <v>4</v>
      </c>
      <c r="W97" s="391">
        <f>(W21+W40)-(W59+W78)</f>
        <v>7</v>
      </c>
      <c r="X97" s="391">
        <f>(X21+X40)-(X59+X78)</f>
        <v>5</v>
      </c>
      <c r="Y97" s="391">
        <f>(Y21+Y40)-(Y59+Y78)</f>
        <v>5</v>
      </c>
      <c r="Z97" s="391">
        <f>(Z21+Z40)-(Z59+Z78)</f>
      </c>
      <c r="AA97" s="391">
        <f>(AA21+AA40)-(AA59+AA78)</f>
        <v>34</v>
      </c>
      <c r="AB97" s="391">
        <f>(AB21+AB40)-(AB59+AB78)</f>
      </c>
      <c r="AC97" s="391">
        <f>(AC21+AC40)-(AC59+AC78)</f>
        <v>6</v>
      </c>
      <c r="AD97" s="391">
        <f>(AD21+AD40)-(AD59+AD78)</f>
        <v>10</v>
      </c>
      <c r="AE97" s="391">
        <f>(AE21+AE40)-(AE59+AE78)</f>
        <v>5</v>
      </c>
      <c r="AF97" s="391">
        <f>(AF21+AF40)-(AF59+AF78)</f>
        <v>5</v>
      </c>
      <c r="AG97" s="391">
        <f>(AG21+AG40)-(AG59+AG78)</f>
      </c>
      <c r="AH97" s="391">
        <f>(AH21+AH40)-(AH59+AH78)</f>
      </c>
      <c r="AI97" s="391">
        <f>(AI21+AI40)-(AI59+AI78)</f>
        <v>14</v>
      </c>
      <c r="AJ97" s="391">
        <f>(AJ21+AJ40)-(AJ59+AJ78)</f>
        <v>15</v>
      </c>
      <c r="AK97" s="391">
        <f>(AK21+AK40)-(AK59+AK78)</f>
        <v>21</v>
      </c>
      <c r="AL97" s="391">
        <f>(AL21+AL40)-(AL59+AL78)</f>
        <v>25</v>
      </c>
      <c r="AM97" s="392">
        <f>(AM21+AM40)-(AM59+AM78)</f>
        <v>16</v>
      </c>
      <c r="AN97" s="393">
        <f>(AN21+AN40)-(AN59+AN78)</f>
        <v>537</v>
      </c>
      <c r="AO97" s="394"/>
      <c r="AP97" s="395"/>
    </row>
    <row r="98" ht="15.75" customHeight="1" spans="1:60" x14ac:dyDescent="0.25">
      <c r="A98" s="396"/>
      <c r="B98" s="397"/>
      <c r="C98" s="397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9"/>
      <c r="U98" s="398"/>
    </row>
    <row r="99" spans="43:60" x14ac:dyDescent="0.25"/>
    <row r="100" spans="43:60" x14ac:dyDescent="0.25"/>
  </sheetData>
  <mergeCells count="24">
    <mergeCell ref="AO2:AP41"/>
    <mergeCell ref="A3:AN3"/>
    <mergeCell ref="A22:AN22"/>
    <mergeCell ref="A41:AN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6"/>
    <mergeCell ref="AO57:AP57"/>
    <mergeCell ref="AO58:AP58"/>
    <mergeCell ref="AO59:AP59"/>
    <mergeCell ref="A60:AN60"/>
    <mergeCell ref="AO60:AP97"/>
    <mergeCell ref="A79:AN79"/>
  </mergeCells>
  <conditionalFormatting sqref="B80:AM80 B89:AM89 B93:AM949">
    <cfRule type="expression" dxfId="0" priority="5">
      <formula>MOD(B80,1)&lt;&gt;0</formula>
    </cfRule>
  </conditionalFormatting>
  <conditionalFormatting sqref="B80:AM97">
    <cfRule type="cellIs" dxfId="1" priority="6" operator="lessThan">
      <formula>0</formula>
    </cfRule>
  </conditionalFormatting>
  <conditionalFormatting sqref="AO42:AO59">
    <cfRule type="expression" dxfId="2" priority="7">
      <formula>AN42=AO42</formula>
    </cfRule>
    <cfRule type="expression" dxfId="3" priority="8">
      <formula>AN42&lt;&gt;AO42</formula>
    </cfRule>
  </conditionalFormatting>
  <conditionalFormatting sqref="AQ51">
    <cfRule type="expression" dxfId="4" priority="1">
      <formula>$AN$51=$AQ$51</formula>
    </cfRule>
    <cfRule type="expression" dxfId="5" priority="2">
      <formula>$AN$51&lt;&gt;$AQ$51</formula>
    </cfRule>
  </conditionalFormatting>
  <conditionalFormatting sqref="AQ54">
    <cfRule type="expression" dxfId="6" priority="3">
      <formula>$AQ$54=$AN$54</formula>
    </cfRule>
    <cfRule type="expression" dxfId="7" priority="4">
      <formula>$AN$54&lt;&gt;$AQ$54</formula>
    </cfRule>
  </conditionalFormatting>
  <printOptions horizontalCentered="1" verticalCentered="1"/>
  <pageMargins left="0.1181102362204725" right="0.1181102362204725" top="0" bottom="0" header="0.3149606299212598" footer="0.3149606299212598"/>
  <pageSetup orientation="portrait" horizontalDpi="1200" verticalDpi="4294967295" scale="4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PALOTEO</vt:lpstr>
      <vt:lpstr>SEGUIMIENTO DE BIOLOGICO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Juris I</dc:creator>
  <cp:lastModifiedBy>Carlos Becerra</cp:lastModifiedBy>
  <cp:lastPrinted>2026-09-04T15:44:49Z</cp:lastPrinted>
  <dcterms:created xsi:type="dcterms:W3CDTF">2019-02-01T05:10:14Z</dcterms:created>
  <dcterms:modified xsi:type="dcterms:W3CDTF">2026-09-08T16:30:06Z</dcterms:modified>
</cp:coreProperties>
</file>