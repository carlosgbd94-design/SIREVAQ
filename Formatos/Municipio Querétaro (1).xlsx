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 B\Downloads\"/>
    </mc:Choice>
  </mc:AlternateContent>
  <xr:revisionPtr revIDLastSave="0" documentId="13_ncr:1_{173490D6-472E-4C33-AA6B-6B61FEBDF470}" xr6:coauthVersionLast="47" xr6:coauthVersionMax="47" xr10:uidLastSave="{00000000-0000-0000-0000-000000000000}"/>
  <bookViews>
    <workbookView xWindow="-120" yWindow="-120" windowWidth="24240" windowHeight="13020" tabRatio="868" firstSheet="7" activeTab="7" xr2:uid="{00000000-000D-0000-FFFF-FFFF00000000}"/>
  </bookViews>
  <sheets>
    <sheet name="UMME QUERÉTARO" sheetId="75" state="hidden" r:id="rId1"/>
    <sheet name="JURICA" sheetId="20" state="hidden" r:id="rId2"/>
    <sheet name="MENCHACA" sheetId="45" state="hidden" r:id="rId3"/>
    <sheet name="SAN ANTONIO DE LA PUNTA" sheetId="46" state="hidden" r:id="rId4"/>
    <sheet name="SAN PABLO" sheetId="47" state="hidden" r:id="rId5"/>
    <sheet name="CARRILLO" sheetId="48" state="hidden" r:id="rId6"/>
    <sheet name="LOMA BONITA" sheetId="49" state="hidden" r:id="rId7"/>
    <sheet name="PEDRO ESCOBEDO" sheetId="81" r:id="rId8"/>
    <sheet name="JOFRITO" sheetId="51" state="hidden" r:id="rId9"/>
    <sheet name="MONTENEGRO" sheetId="52" state="hidden" r:id="rId10"/>
    <sheet name="PIE DE GALLO" sheetId="53" state="hidden" r:id="rId11"/>
    <sheet name="SAN JOSÉ BUENAVISTA" sheetId="54" state="hidden" r:id="rId12"/>
    <sheet name="SAN MIGUELITO" sheetId="55" state="hidden" r:id="rId13"/>
    <sheet name="SANTA MARÍA MAGDALENA" sheetId="56" state="hidden" r:id="rId14"/>
    <sheet name="LA SOLANA" sheetId="57" state="hidden" r:id="rId15"/>
    <sheet name="TINAJA" sheetId="58" state="hidden" r:id="rId16"/>
    <sheet name="TLACOTE " sheetId="59" state="hidden" r:id="rId17"/>
    <sheet name="LÁZARO C." sheetId="60" state="hidden" r:id="rId18"/>
    <sheet name="PEÑUELAS" sheetId="61" state="hidden" r:id="rId19"/>
    <sheet name="MENCHACA NORTE" sheetId="62" state="hidden" r:id="rId20"/>
    <sheet name="C. LA BARRETA" sheetId="63" state="hidden" r:id="rId21"/>
    <sheet name="UMME CERRO DE LA CRUZ" sheetId="64" state="hidden" r:id="rId22"/>
    <sheet name="UMME LA LUZ" sheetId="65" state="hidden" r:id="rId23"/>
    <sheet name="UMME SAN PEDRITO" sheetId="66" state="hidden" r:id="rId24"/>
    <sheet name="UMME RANCHO LARGO" sheetId="67" state="hidden" r:id="rId25"/>
    <sheet name="LA GOTERA" sheetId="68" state="hidden" r:id="rId26"/>
    <sheet name="SAN JOSÉ EL ALTO" sheetId="69" state="hidden" r:id="rId27"/>
    <sheet name="FAM BUENAVISTA" sheetId="70" state="hidden" r:id="rId28"/>
    <sheet name="FAM PEDRO E." sheetId="71" state="hidden" r:id="rId29"/>
    <sheet name="FAM PALO ALTO" sheetId="72" state="hidden" r:id="rId30"/>
    <sheet name="C. MF1" sheetId="73" state="hidden" r:id="rId31"/>
    <sheet name="C. AMB1" sheetId="74" state="hidden" r:id="rId32"/>
    <sheet name="C. UMD" sheetId="76" state="hidden" r:id="rId33"/>
    <sheet name="SANTA ROSA" sheetId="77" state="hidden" r:id="rId34"/>
    <sheet name="SATÉLITE" sheetId="82" state="hidden" r:id="rId35"/>
    <sheet name="LOMAS DE CASABLANCA" sheetId="83" state="hidden" r:id="rId36"/>
    <sheet name="SAN PEDRO MÁRTIR" sheetId="79" state="hidden" r:id="rId37"/>
    <sheet name="GENERAL" sheetId="44" r:id="rId38"/>
  </sheets>
  <definedNames>
    <definedName name="_xlnm.Print_Area" localSheetId="31">'C. AMB1'!$A$1:$P$87</definedName>
    <definedName name="_xlnm.Print_Area" localSheetId="20">'C. LA BARRETA'!$A$1:$P$84</definedName>
    <definedName name="_xlnm.Print_Area" localSheetId="30">'C. MF1'!$A$1:$P$87</definedName>
    <definedName name="_xlnm.Print_Area" localSheetId="32">'C. UMD'!$A$1:$P$87</definedName>
    <definedName name="_xlnm.Print_Area" localSheetId="5">CARRILLO!$A$1:$P$87</definedName>
    <definedName name="_xlnm.Print_Area" localSheetId="27">'FAM BUENAVISTA'!$A$1:$P$87</definedName>
    <definedName name="_xlnm.Print_Area" localSheetId="29">'FAM PALO ALTO'!$A$1:$P$87</definedName>
    <definedName name="_xlnm.Print_Area" localSheetId="28">'FAM PEDRO E.'!$A$1:$P$87</definedName>
    <definedName name="_xlnm.Print_Area" localSheetId="37">GENERAL!$A$1:$P$87</definedName>
    <definedName name="_xlnm.Print_Area" localSheetId="8">JOFRITO!$A$1:$P$87</definedName>
    <definedName name="_xlnm.Print_Area" localSheetId="1">JURICA!$A$1:$P$87</definedName>
    <definedName name="_xlnm.Print_Area" localSheetId="25">'LA GOTERA'!$A$1:$P$87</definedName>
    <definedName name="_xlnm.Print_Area" localSheetId="14">'LA SOLANA'!$A$1:$P$87</definedName>
    <definedName name="_xlnm.Print_Area" localSheetId="17">'LÁZARO C.'!$A$1:$P$87</definedName>
    <definedName name="_xlnm.Print_Area" localSheetId="6">'LOMA BONITA'!$A$1:$P$87</definedName>
    <definedName name="_xlnm.Print_Area" localSheetId="35">'LOMAS DE CASABLANCA'!$A$1:$P$87</definedName>
    <definedName name="_xlnm.Print_Area" localSheetId="2">MENCHACA!$A$1:$P$87</definedName>
    <definedName name="_xlnm.Print_Area" localSheetId="19">'MENCHACA NORTE'!$A$1:$P$87</definedName>
    <definedName name="_xlnm.Print_Area" localSheetId="9">MONTENEGRO!$A$1:$P$87</definedName>
    <definedName name="_xlnm.Print_Area" localSheetId="7">'PEDRO ESCOBEDO'!$A$1:$P$89</definedName>
    <definedName name="_xlnm.Print_Area" localSheetId="18">PEÑUELAS!$A$1:$P$87</definedName>
    <definedName name="_xlnm.Print_Area" localSheetId="10">'PIE DE GALLO'!$A$1:$P$87</definedName>
    <definedName name="_xlnm.Print_Area" localSheetId="3">'SAN ANTONIO DE LA PUNTA'!$A$1:$P$87</definedName>
    <definedName name="_xlnm.Print_Area" localSheetId="11">'SAN JOSÉ BUENAVISTA'!$A$1:$P$87</definedName>
    <definedName name="_xlnm.Print_Area" localSheetId="26">'SAN JOSÉ EL ALTO'!$A$1:$P$87</definedName>
    <definedName name="_xlnm.Print_Area" localSheetId="12">'SAN MIGUELITO'!$A$1:$P$87</definedName>
    <definedName name="_xlnm.Print_Area" localSheetId="4">'SAN PABLO'!$A$1:$P$87</definedName>
    <definedName name="_xlnm.Print_Area" localSheetId="36">'SAN PEDRO MÁRTIR'!$A$1:$P$87</definedName>
    <definedName name="_xlnm.Print_Area" localSheetId="13">'SANTA MARÍA MAGDALENA'!$A$1:$P$87</definedName>
    <definedName name="_xlnm.Print_Area" localSheetId="33">'SANTA ROSA'!$A$1:$P$87</definedName>
    <definedName name="_xlnm.Print_Area" localSheetId="34">SATÉLITE!$A$1:$P$87</definedName>
    <definedName name="_xlnm.Print_Area" localSheetId="15">TINAJA!$A$1:$P$87</definedName>
    <definedName name="_xlnm.Print_Area" localSheetId="16">'TLACOTE '!$A$1:$P$87</definedName>
    <definedName name="_xlnm.Print_Area" localSheetId="21">'UMME CERRO DE LA CRUZ'!$A$1:$P$87</definedName>
    <definedName name="_xlnm.Print_Area" localSheetId="22">'UMME LA LUZ'!$A$1:$P$87</definedName>
    <definedName name="_xlnm.Print_Area" localSheetId="0">'UMME QUERÉTARO'!$A$1:$P$87</definedName>
    <definedName name="_xlnm.Print_Area" localSheetId="24">'UMME RANCHO LARGO'!$A$1:$P$87</definedName>
    <definedName name="_xlnm.Print_Area" localSheetId="23">'UMME SAN PEDRITO'!$A$1:$P$87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" i="81" l="1"/>
  <c r="I54" i="81"/>
  <c r="J46" i="81"/>
  <c r="I46" i="81"/>
  <c r="J44" i="81"/>
  <c r="I44" i="81"/>
  <c r="J52" i="52"/>
  <c r="I52" i="52"/>
  <c r="J52" i="53"/>
  <c r="I52" i="53"/>
  <c r="J52" i="54"/>
  <c r="I52" i="54"/>
  <c r="J52" i="59"/>
  <c r="I52" i="59"/>
  <c r="J52" i="62"/>
  <c r="I52" i="62"/>
  <c r="J52" i="65"/>
  <c r="I52" i="65"/>
  <c r="J52" i="71"/>
  <c r="I52" i="71"/>
  <c r="J52" i="72"/>
  <c r="I52" i="72"/>
  <c r="J52" i="73"/>
  <c r="I52" i="73"/>
  <c r="J52" i="79"/>
  <c r="I52" i="79"/>
  <c r="G44" i="49"/>
  <c r="H44" i="49"/>
  <c r="I44" i="49"/>
  <c r="J44" i="49"/>
  <c r="I45" i="49"/>
  <c r="J45" i="49"/>
  <c r="G46" i="49"/>
  <c r="H46" i="49"/>
  <c r="I46" i="49"/>
  <c r="J46" i="49"/>
  <c r="G48" i="49"/>
  <c r="H48" i="49"/>
  <c r="I48" i="49"/>
  <c r="J48" i="49"/>
  <c r="G50" i="49"/>
  <c r="H50" i="49"/>
  <c r="I50" i="49"/>
  <c r="J50" i="49"/>
  <c r="I51" i="49"/>
  <c r="J51" i="49"/>
  <c r="G52" i="49"/>
  <c r="H52" i="49"/>
  <c r="I52" i="49"/>
  <c r="J52" i="49"/>
  <c r="G48" i="68"/>
  <c r="J48" i="20"/>
  <c r="I48" i="20"/>
  <c r="J32" i="20"/>
  <c r="I32" i="20"/>
  <c r="J26" i="20"/>
  <c r="I26" i="20"/>
  <c r="J48" i="45"/>
  <c r="I48" i="45"/>
  <c r="J34" i="45"/>
  <c r="I34" i="45"/>
  <c r="J28" i="45"/>
  <c r="I28" i="45"/>
  <c r="J26" i="45"/>
  <c r="I26" i="45"/>
  <c r="J24" i="45"/>
  <c r="I24" i="45"/>
  <c r="J22" i="45"/>
  <c r="I22" i="45"/>
  <c r="J14" i="45"/>
  <c r="I14" i="45"/>
  <c r="J50" i="46"/>
  <c r="I50" i="46"/>
  <c r="J48" i="46"/>
  <c r="I48" i="46"/>
  <c r="J40" i="46"/>
  <c r="I40" i="46"/>
  <c r="J38" i="46"/>
  <c r="I38" i="46"/>
  <c r="J28" i="46"/>
  <c r="I28" i="46"/>
  <c r="J26" i="46"/>
  <c r="I26" i="46"/>
  <c r="J24" i="46"/>
  <c r="I24" i="46"/>
  <c r="J22" i="46"/>
  <c r="I22" i="46"/>
  <c r="J48" i="47"/>
  <c r="I48" i="47"/>
  <c r="J46" i="47"/>
  <c r="I46" i="47"/>
  <c r="J34" i="47"/>
  <c r="I34" i="47"/>
  <c r="J32" i="47"/>
  <c r="I32" i="47"/>
  <c r="J22" i="47"/>
  <c r="I22" i="47"/>
  <c r="J48" i="48"/>
  <c r="I48" i="48"/>
  <c r="J36" i="48"/>
  <c r="I36" i="48"/>
  <c r="J34" i="48"/>
  <c r="I34" i="48"/>
  <c r="J32" i="48"/>
  <c r="I32" i="48"/>
  <c r="J26" i="48"/>
  <c r="I26" i="48"/>
  <c r="J24" i="48"/>
  <c r="I24" i="48"/>
  <c r="J22" i="48"/>
  <c r="I22" i="48"/>
  <c r="J14" i="48"/>
  <c r="I14" i="48"/>
  <c r="J41" i="49"/>
  <c r="I41" i="49"/>
  <c r="J40" i="49"/>
  <c r="I40" i="49"/>
  <c r="J29" i="49"/>
  <c r="I29" i="49"/>
  <c r="J28" i="49"/>
  <c r="I28" i="49"/>
  <c r="J15" i="49"/>
  <c r="I15" i="49"/>
  <c r="J14" i="49"/>
  <c r="I14" i="49"/>
  <c r="J48" i="81"/>
  <c r="I48" i="81"/>
  <c r="J42" i="81"/>
  <c r="I42" i="81"/>
  <c r="J40" i="81"/>
  <c r="I40" i="81"/>
  <c r="J38" i="81"/>
  <c r="I38" i="81"/>
  <c r="J36" i="81"/>
  <c r="I36" i="81"/>
  <c r="J34" i="81"/>
  <c r="I34" i="81"/>
  <c r="J32" i="81"/>
  <c r="I32" i="81"/>
  <c r="J30" i="81"/>
  <c r="I30" i="81"/>
  <c r="J28" i="81"/>
  <c r="I28" i="81"/>
  <c r="J26" i="81"/>
  <c r="I26" i="81"/>
  <c r="J24" i="81"/>
  <c r="I24" i="81"/>
  <c r="J22" i="81"/>
  <c r="I22" i="81"/>
  <c r="J20" i="81"/>
  <c r="I20" i="81"/>
  <c r="J18" i="81"/>
  <c r="I18" i="81"/>
  <c r="J14" i="81"/>
  <c r="I14" i="81"/>
  <c r="J48" i="51"/>
  <c r="I48" i="51"/>
  <c r="J30" i="51"/>
  <c r="I30" i="51"/>
  <c r="J28" i="51"/>
  <c r="I28" i="51"/>
  <c r="J26" i="51"/>
  <c r="I26" i="51"/>
  <c r="J24" i="51"/>
  <c r="I24" i="51"/>
  <c r="J22" i="51"/>
  <c r="I22" i="51"/>
  <c r="J18" i="51"/>
  <c r="I18" i="51"/>
  <c r="J50" i="52"/>
  <c r="I50" i="52"/>
  <c r="J48" i="52"/>
  <c r="I48" i="52"/>
  <c r="J40" i="52"/>
  <c r="I40" i="52"/>
  <c r="J38" i="52"/>
  <c r="I38" i="52"/>
  <c r="J36" i="52"/>
  <c r="I36" i="52"/>
  <c r="J28" i="52"/>
  <c r="I28" i="52"/>
  <c r="J26" i="52"/>
  <c r="I26" i="52"/>
  <c r="J24" i="52"/>
  <c r="I24" i="52"/>
  <c r="J22" i="52"/>
  <c r="I22" i="52"/>
  <c r="J20" i="52"/>
  <c r="I20" i="52"/>
  <c r="J18" i="52"/>
  <c r="I18" i="52"/>
  <c r="J14" i="52"/>
  <c r="I14" i="52"/>
  <c r="J34" i="53"/>
  <c r="I34" i="53"/>
  <c r="J22" i="53"/>
  <c r="I22" i="53"/>
  <c r="J32" i="54"/>
  <c r="I32" i="54"/>
  <c r="J30" i="54"/>
  <c r="I30" i="54"/>
  <c r="J28" i="54"/>
  <c r="I28" i="54"/>
  <c r="J26" i="54"/>
  <c r="I26" i="54"/>
  <c r="J24" i="54"/>
  <c r="I24" i="54"/>
  <c r="J22" i="54"/>
  <c r="I22" i="54"/>
  <c r="J18" i="54"/>
  <c r="I18" i="54"/>
  <c r="J14" i="54"/>
  <c r="I14" i="54"/>
  <c r="J48" i="55"/>
  <c r="I48" i="55"/>
  <c r="J30" i="55"/>
  <c r="I30" i="55"/>
  <c r="J28" i="55"/>
  <c r="I28" i="55"/>
  <c r="J26" i="55"/>
  <c r="I26" i="55"/>
  <c r="J24" i="55"/>
  <c r="I24" i="55"/>
  <c r="J22" i="55"/>
  <c r="I22" i="55"/>
  <c r="J14" i="55"/>
  <c r="I14" i="55"/>
  <c r="J48" i="56"/>
  <c r="I48" i="56"/>
  <c r="J40" i="56"/>
  <c r="I40" i="56"/>
  <c r="J22" i="56"/>
  <c r="I22" i="56"/>
  <c r="J14" i="56"/>
  <c r="I14" i="56"/>
  <c r="J48" i="57"/>
  <c r="I48" i="57"/>
  <c r="J40" i="57"/>
  <c r="I40" i="57"/>
  <c r="J32" i="57"/>
  <c r="I32" i="57"/>
  <c r="J26" i="57"/>
  <c r="I26" i="57"/>
  <c r="J24" i="57"/>
  <c r="I24" i="57"/>
  <c r="J22" i="57"/>
  <c r="I22" i="57"/>
  <c r="J14" i="57"/>
  <c r="I14" i="57"/>
  <c r="J40" i="58"/>
  <c r="I40" i="58"/>
  <c r="J38" i="58"/>
  <c r="I38" i="58"/>
  <c r="J36" i="58"/>
  <c r="I36" i="58"/>
  <c r="J32" i="58"/>
  <c r="I32" i="58"/>
  <c r="J30" i="58"/>
  <c r="I30" i="58"/>
  <c r="J28" i="58"/>
  <c r="I28" i="58"/>
  <c r="J26" i="58"/>
  <c r="I26" i="58"/>
  <c r="J18" i="58"/>
  <c r="I18" i="58"/>
  <c r="J14" i="58"/>
  <c r="I14" i="58"/>
  <c r="J36" i="59"/>
  <c r="I36" i="59"/>
  <c r="J30" i="59"/>
  <c r="I30" i="59"/>
  <c r="J28" i="59"/>
  <c r="I28" i="59"/>
  <c r="J26" i="59"/>
  <c r="I26" i="59"/>
  <c r="J14" i="59"/>
  <c r="I14" i="59"/>
  <c r="J26" i="60"/>
  <c r="I26" i="60"/>
  <c r="J50" i="61"/>
  <c r="I50" i="61"/>
  <c r="J48" i="61"/>
  <c r="I48" i="61"/>
  <c r="J14" i="61"/>
  <c r="I14" i="61"/>
  <c r="J42" i="62"/>
  <c r="I42" i="62"/>
  <c r="J40" i="62"/>
  <c r="I40" i="62"/>
  <c r="J22" i="62"/>
  <c r="I22" i="62"/>
  <c r="J34" i="64"/>
  <c r="I34" i="64"/>
  <c r="J32" i="64"/>
  <c r="I32" i="64"/>
  <c r="J30" i="64"/>
  <c r="I30" i="64"/>
  <c r="J28" i="64"/>
  <c r="I28" i="64"/>
  <c r="J24" i="64"/>
  <c r="I24" i="64"/>
  <c r="J22" i="64"/>
  <c r="I22" i="64"/>
  <c r="J14" i="64"/>
  <c r="I14" i="64"/>
  <c r="J48" i="65"/>
  <c r="I48" i="65"/>
  <c r="J46" i="65"/>
  <c r="I46" i="65"/>
  <c r="J44" i="65"/>
  <c r="I44" i="65"/>
  <c r="J42" i="65"/>
  <c r="I42" i="65"/>
  <c r="J40" i="65"/>
  <c r="I40" i="65"/>
  <c r="J38" i="65"/>
  <c r="I38" i="65"/>
  <c r="J36" i="65"/>
  <c r="I36" i="65"/>
  <c r="J34" i="65"/>
  <c r="I34" i="65"/>
  <c r="J32" i="65"/>
  <c r="I32" i="65"/>
  <c r="J30" i="65"/>
  <c r="I30" i="65"/>
  <c r="J28" i="65"/>
  <c r="I28" i="65"/>
  <c r="J26" i="65"/>
  <c r="I26" i="65"/>
  <c r="J24" i="65"/>
  <c r="I24" i="65"/>
  <c r="J22" i="65"/>
  <c r="I22" i="65"/>
  <c r="J20" i="65"/>
  <c r="I20" i="65"/>
  <c r="J18" i="65"/>
  <c r="I18" i="65"/>
  <c r="J14" i="65"/>
  <c r="I14" i="65"/>
  <c r="J38" i="66"/>
  <c r="I38" i="66"/>
  <c r="J36" i="66"/>
  <c r="I36" i="66"/>
  <c r="J34" i="66"/>
  <c r="I34" i="66"/>
  <c r="J32" i="66"/>
  <c r="I32" i="66"/>
  <c r="J30" i="66"/>
  <c r="I30" i="66"/>
  <c r="J28" i="66"/>
  <c r="I28" i="66"/>
  <c r="J26" i="66"/>
  <c r="I26" i="66"/>
  <c r="J18" i="66"/>
  <c r="I18" i="66"/>
  <c r="J14" i="66"/>
  <c r="I14" i="66"/>
  <c r="J48" i="67"/>
  <c r="I48" i="67"/>
  <c r="J32" i="67"/>
  <c r="I32" i="67"/>
  <c r="J30" i="67"/>
  <c r="I30" i="67"/>
  <c r="J28" i="67"/>
  <c r="I28" i="67"/>
  <c r="J26" i="67"/>
  <c r="I26" i="67"/>
  <c r="J24" i="67"/>
  <c r="I24" i="67"/>
  <c r="J22" i="67"/>
  <c r="I22" i="67"/>
  <c r="J18" i="67"/>
  <c r="I18" i="67"/>
  <c r="J14" i="67"/>
  <c r="I14" i="67"/>
  <c r="J48" i="68"/>
  <c r="I48" i="68"/>
  <c r="J40" i="68"/>
  <c r="I40" i="68"/>
  <c r="J38" i="68"/>
  <c r="I38" i="68"/>
  <c r="J36" i="68"/>
  <c r="I36" i="68"/>
  <c r="J34" i="68"/>
  <c r="I34" i="68"/>
  <c r="J26" i="68"/>
  <c r="I26" i="68"/>
  <c r="J24" i="68"/>
  <c r="I24" i="68"/>
  <c r="J22" i="68"/>
  <c r="I22" i="68"/>
  <c r="J14" i="68"/>
  <c r="I14" i="68"/>
  <c r="J32" i="69"/>
  <c r="I32" i="69"/>
  <c r="J26" i="69"/>
  <c r="I26" i="69"/>
  <c r="J24" i="69"/>
  <c r="I24" i="69"/>
  <c r="J22" i="69"/>
  <c r="I22" i="69"/>
  <c r="J14" i="69"/>
  <c r="I14" i="69"/>
  <c r="J48" i="70"/>
  <c r="I48" i="70"/>
  <c r="J34" i="70"/>
  <c r="I34" i="70"/>
  <c r="J28" i="70"/>
  <c r="I28" i="70"/>
  <c r="J26" i="70"/>
  <c r="I26" i="70"/>
  <c r="J24" i="70"/>
  <c r="I24" i="70"/>
  <c r="J22" i="70"/>
  <c r="I22" i="70"/>
  <c r="J18" i="70"/>
  <c r="I18" i="70"/>
  <c r="J36" i="71"/>
  <c r="I36" i="71"/>
  <c r="J34" i="71"/>
  <c r="I34" i="71"/>
  <c r="J32" i="71"/>
  <c r="I32" i="71"/>
  <c r="J30" i="71"/>
  <c r="I30" i="71"/>
  <c r="J28" i="71"/>
  <c r="I28" i="71"/>
  <c r="J26" i="71"/>
  <c r="I26" i="71"/>
  <c r="J24" i="71"/>
  <c r="I24" i="71"/>
  <c r="J22" i="71"/>
  <c r="I22" i="71"/>
  <c r="J48" i="72"/>
  <c r="I48" i="72"/>
  <c r="J46" i="72"/>
  <c r="I46" i="72"/>
  <c r="J44" i="72"/>
  <c r="I44" i="72"/>
  <c r="J42" i="72"/>
  <c r="I42" i="72"/>
  <c r="J40" i="72"/>
  <c r="I40" i="72"/>
  <c r="J38" i="72"/>
  <c r="I38" i="72"/>
  <c r="J36" i="72"/>
  <c r="I36" i="72"/>
  <c r="J34" i="72"/>
  <c r="I34" i="72"/>
  <c r="J32" i="72"/>
  <c r="I32" i="72"/>
  <c r="J30" i="72"/>
  <c r="I30" i="72"/>
  <c r="J28" i="72"/>
  <c r="I28" i="72"/>
  <c r="J26" i="72"/>
  <c r="I26" i="72"/>
  <c r="J24" i="72"/>
  <c r="I24" i="72"/>
  <c r="J22" i="72"/>
  <c r="I22" i="72"/>
  <c r="J20" i="72"/>
  <c r="I20" i="72"/>
  <c r="J18" i="72"/>
  <c r="I18" i="72"/>
  <c r="J14" i="72"/>
  <c r="I14" i="72"/>
  <c r="J48" i="73"/>
  <c r="I48" i="73"/>
  <c r="J46" i="73"/>
  <c r="I46" i="73"/>
  <c r="J44" i="73"/>
  <c r="I44" i="73"/>
  <c r="J42" i="73"/>
  <c r="I42" i="73"/>
  <c r="J40" i="73"/>
  <c r="I40" i="73"/>
  <c r="J38" i="73"/>
  <c r="I38" i="73"/>
  <c r="J36" i="73"/>
  <c r="I36" i="73"/>
  <c r="J34" i="73"/>
  <c r="I34" i="73"/>
  <c r="J32" i="73"/>
  <c r="I32" i="73"/>
  <c r="J30" i="73"/>
  <c r="I30" i="73"/>
  <c r="J28" i="73"/>
  <c r="I28" i="73"/>
  <c r="J26" i="73"/>
  <c r="I26" i="73"/>
  <c r="J24" i="73"/>
  <c r="I24" i="73"/>
  <c r="J22" i="73"/>
  <c r="I22" i="73"/>
  <c r="J20" i="73"/>
  <c r="I20" i="73"/>
  <c r="J18" i="73"/>
  <c r="I18" i="73"/>
  <c r="J14" i="73"/>
  <c r="I14" i="73"/>
  <c r="J50" i="74"/>
  <c r="I50" i="74"/>
  <c r="J48" i="74"/>
  <c r="I48" i="74"/>
  <c r="J36" i="74"/>
  <c r="I36" i="74"/>
  <c r="J34" i="74"/>
  <c r="I34" i="74"/>
  <c r="J30" i="74"/>
  <c r="I30" i="74"/>
  <c r="J28" i="74"/>
  <c r="I28" i="74"/>
  <c r="J26" i="74"/>
  <c r="I26" i="74"/>
  <c r="J24" i="74"/>
  <c r="I24" i="74"/>
  <c r="J22" i="74"/>
  <c r="I22" i="74"/>
  <c r="J20" i="74"/>
  <c r="I20" i="74"/>
  <c r="J18" i="74"/>
  <c r="I18" i="74"/>
  <c r="J14" i="74"/>
  <c r="I14" i="74"/>
  <c r="J50" i="76"/>
  <c r="I50" i="76"/>
  <c r="J48" i="76"/>
  <c r="I48" i="76"/>
  <c r="J32" i="76"/>
  <c r="I32" i="76"/>
  <c r="J30" i="76"/>
  <c r="I30" i="76"/>
  <c r="J28" i="76"/>
  <c r="I28" i="76"/>
  <c r="J26" i="76"/>
  <c r="I26" i="76"/>
  <c r="J24" i="76"/>
  <c r="I24" i="76"/>
  <c r="J22" i="76"/>
  <c r="I22" i="76"/>
  <c r="J20" i="76"/>
  <c r="I20" i="76"/>
  <c r="J18" i="76"/>
  <c r="I18" i="76"/>
  <c r="J14" i="76"/>
  <c r="I14" i="76"/>
  <c r="J50" i="77"/>
  <c r="I50" i="77"/>
  <c r="J48" i="77"/>
  <c r="I48" i="77"/>
  <c r="J46" i="77"/>
  <c r="I46" i="77"/>
  <c r="J28" i="77"/>
  <c r="I28" i="77"/>
  <c r="J26" i="77"/>
  <c r="I26" i="77"/>
  <c r="J24" i="77"/>
  <c r="I24" i="77"/>
  <c r="J50" i="82"/>
  <c r="I50" i="82"/>
  <c r="J48" i="82"/>
  <c r="I48" i="82"/>
  <c r="J40" i="82"/>
  <c r="I40" i="82"/>
  <c r="J38" i="82"/>
  <c r="I38" i="82"/>
  <c r="J36" i="82"/>
  <c r="I36" i="82"/>
  <c r="J34" i="82"/>
  <c r="I34" i="82"/>
  <c r="J32" i="82"/>
  <c r="I32" i="82"/>
  <c r="J30" i="82"/>
  <c r="I30" i="82"/>
  <c r="J28" i="82"/>
  <c r="I28" i="82"/>
  <c r="J26" i="82"/>
  <c r="I26" i="82"/>
  <c r="J24" i="82"/>
  <c r="I24" i="82"/>
  <c r="J22" i="82"/>
  <c r="I22" i="82"/>
  <c r="J20" i="82"/>
  <c r="I20" i="82"/>
  <c r="J18" i="82"/>
  <c r="I18" i="82"/>
  <c r="J14" i="82"/>
  <c r="I14" i="82"/>
  <c r="J48" i="83"/>
  <c r="I48" i="83"/>
  <c r="J40" i="83"/>
  <c r="I40" i="83"/>
  <c r="J38" i="83"/>
  <c r="I38" i="83"/>
  <c r="J36" i="83"/>
  <c r="I36" i="83"/>
  <c r="J34" i="83"/>
  <c r="I34" i="83"/>
  <c r="J32" i="83"/>
  <c r="I32" i="83"/>
  <c r="J30" i="83"/>
  <c r="I30" i="83"/>
  <c r="J28" i="83"/>
  <c r="I28" i="83"/>
  <c r="J26" i="83"/>
  <c r="I26" i="83"/>
  <c r="J24" i="83"/>
  <c r="I24" i="83"/>
  <c r="J22" i="83"/>
  <c r="I22" i="83"/>
  <c r="J20" i="83"/>
  <c r="I20" i="83"/>
  <c r="J18" i="83"/>
  <c r="I18" i="83"/>
  <c r="J14" i="83"/>
  <c r="I14" i="83"/>
  <c r="J26" i="79"/>
  <c r="I26" i="79"/>
  <c r="J14" i="79"/>
  <c r="I14" i="79"/>
  <c r="F52" i="44"/>
  <c r="J52" i="75"/>
  <c r="I52" i="75"/>
  <c r="J52" i="20"/>
  <c r="I52" i="20"/>
  <c r="J52" i="45"/>
  <c r="I52" i="45"/>
  <c r="J52" i="46"/>
  <c r="I52" i="46"/>
  <c r="J52" i="47"/>
  <c r="I52" i="47"/>
  <c r="J52" i="48"/>
  <c r="I52" i="48"/>
  <c r="J52" i="51"/>
  <c r="I52" i="51"/>
  <c r="J52" i="55"/>
  <c r="I52" i="55"/>
  <c r="J52" i="56"/>
  <c r="I52" i="56"/>
  <c r="I51" i="56"/>
  <c r="J51" i="56"/>
  <c r="J52" i="57"/>
  <c r="I52" i="57"/>
  <c r="J52" i="58"/>
  <c r="I52" i="58"/>
  <c r="J52" i="60"/>
  <c r="I52" i="60"/>
  <c r="J52" i="61"/>
  <c r="I52" i="61"/>
  <c r="J52" i="64"/>
  <c r="I52" i="64"/>
  <c r="J52" i="66"/>
  <c r="I52" i="66"/>
  <c r="J52" i="67"/>
  <c r="I52" i="67"/>
  <c r="J52" i="68"/>
  <c r="I52" i="68"/>
  <c r="J52" i="69"/>
  <c r="I52" i="69"/>
  <c r="J52" i="70"/>
  <c r="I52" i="70"/>
  <c r="J52" i="74"/>
  <c r="I52" i="74"/>
  <c r="J52" i="76"/>
  <c r="I52" i="76"/>
  <c r="J52" i="77"/>
  <c r="I52" i="77"/>
  <c r="J52" i="82"/>
  <c r="I52" i="82"/>
  <c r="J52" i="83"/>
  <c r="I52" i="83"/>
  <c r="H52" i="79"/>
  <c r="H52" i="83"/>
  <c r="H52" i="82"/>
  <c r="H52" i="77"/>
  <c r="H52" i="76"/>
  <c r="H52" i="74"/>
  <c r="H52" i="73"/>
  <c r="H52" i="72"/>
  <c r="H52" i="71"/>
  <c r="H52" i="70"/>
  <c r="H52" i="69"/>
  <c r="H52" i="68"/>
  <c r="H52" i="67"/>
  <c r="H52" i="66"/>
  <c r="H52" i="65"/>
  <c r="H52" i="64"/>
  <c r="H52" i="62"/>
  <c r="H52" i="61"/>
  <c r="H52" i="60"/>
  <c r="H52" i="59"/>
  <c r="H52" i="58"/>
  <c r="G52" i="57"/>
  <c r="H52" i="56"/>
  <c r="H52" i="55"/>
  <c r="H52" i="54"/>
  <c r="H52" i="53"/>
  <c r="H52" i="52"/>
  <c r="H52" i="51"/>
  <c r="G54" i="81"/>
  <c r="H52" i="48"/>
  <c r="H52" i="47"/>
  <c r="H52" i="46"/>
  <c r="H52" i="45"/>
  <c r="H52" i="20"/>
  <c r="H52" i="75"/>
  <c r="H52" i="57" l="1"/>
  <c r="G52" i="60"/>
  <c r="H52" i="44"/>
  <c r="G52" i="74"/>
  <c r="G52" i="79"/>
  <c r="G52" i="83"/>
  <c r="G52" i="82"/>
  <c r="G52" i="77"/>
  <c r="G52" i="76"/>
  <c r="G52" i="73"/>
  <c r="G52" i="72"/>
  <c r="G52" i="71"/>
  <c r="G52" i="70"/>
  <c r="G52" i="69"/>
  <c r="G52" i="68"/>
  <c r="G52" i="67"/>
  <c r="G52" i="66"/>
  <c r="G52" i="65"/>
  <c r="G52" i="64"/>
  <c r="G52" i="62"/>
  <c r="G52" i="61"/>
  <c r="G52" i="59"/>
  <c r="G52" i="58"/>
  <c r="G52" i="56"/>
  <c r="G52" i="55"/>
  <c r="G52" i="54"/>
  <c r="G52" i="53"/>
  <c r="G52" i="52"/>
  <c r="G52" i="51"/>
  <c r="H54" i="81"/>
  <c r="G52" i="48"/>
  <c r="G52" i="47"/>
  <c r="G52" i="46"/>
  <c r="G52" i="45"/>
  <c r="G52" i="20"/>
  <c r="G52" i="75"/>
  <c r="G52" i="44" l="1"/>
  <c r="I16" i="73"/>
  <c r="J16" i="73"/>
  <c r="J51" i="83" l="1"/>
  <c r="I51" i="83"/>
  <c r="J50" i="83"/>
  <c r="I50" i="83"/>
  <c r="H50" i="83"/>
  <c r="G50" i="83"/>
  <c r="H48" i="83"/>
  <c r="G48" i="83"/>
  <c r="J46" i="83"/>
  <c r="I46" i="83"/>
  <c r="H46" i="83"/>
  <c r="G46" i="83"/>
  <c r="J45" i="83"/>
  <c r="I45" i="83"/>
  <c r="J44" i="83"/>
  <c r="I44" i="83"/>
  <c r="H44" i="83"/>
  <c r="G44" i="83"/>
  <c r="J43" i="83"/>
  <c r="I43" i="83"/>
  <c r="J42" i="83"/>
  <c r="I42" i="83"/>
  <c r="H42" i="83"/>
  <c r="G42" i="83"/>
  <c r="J41" i="83"/>
  <c r="I41" i="83"/>
  <c r="H40" i="83"/>
  <c r="G40" i="83"/>
  <c r="H38" i="83"/>
  <c r="G38" i="83"/>
  <c r="H36" i="83"/>
  <c r="G36" i="83"/>
  <c r="H34" i="83"/>
  <c r="G34" i="83"/>
  <c r="H32" i="83"/>
  <c r="G32" i="83"/>
  <c r="H30" i="83"/>
  <c r="G30" i="83"/>
  <c r="H28" i="83"/>
  <c r="G28" i="83"/>
  <c r="H26" i="83"/>
  <c r="G26" i="83"/>
  <c r="H24" i="83"/>
  <c r="G24" i="83"/>
  <c r="H22" i="83"/>
  <c r="G22" i="83"/>
  <c r="H20" i="83"/>
  <c r="G20" i="83"/>
  <c r="M18" i="83"/>
  <c r="H18" i="83"/>
  <c r="G18" i="83"/>
  <c r="M17" i="83"/>
  <c r="J17" i="83"/>
  <c r="I17" i="83"/>
  <c r="M16" i="83"/>
  <c r="J16" i="83"/>
  <c r="I16" i="83"/>
  <c r="H16" i="83"/>
  <c r="G16" i="83"/>
  <c r="M15" i="83"/>
  <c r="M14" i="83"/>
  <c r="H14" i="83"/>
  <c r="G14" i="83"/>
  <c r="H10" i="83"/>
  <c r="H8" i="83"/>
  <c r="J51" i="82"/>
  <c r="I51" i="82"/>
  <c r="H50" i="82"/>
  <c r="G50" i="82"/>
  <c r="H48" i="82"/>
  <c r="G48" i="82"/>
  <c r="J46" i="82"/>
  <c r="I46" i="82"/>
  <c r="H46" i="82"/>
  <c r="G46" i="82"/>
  <c r="J45" i="82"/>
  <c r="I45" i="82"/>
  <c r="J44" i="82"/>
  <c r="I44" i="82"/>
  <c r="H44" i="82"/>
  <c r="G44" i="82"/>
  <c r="J43" i="82"/>
  <c r="I43" i="82"/>
  <c r="J42" i="82"/>
  <c r="I42" i="82"/>
  <c r="H42" i="82"/>
  <c r="G42" i="82"/>
  <c r="H40" i="82"/>
  <c r="G40" i="82"/>
  <c r="H38" i="82"/>
  <c r="G38" i="82"/>
  <c r="H36" i="82"/>
  <c r="G36" i="82"/>
  <c r="H34" i="82"/>
  <c r="G34" i="82"/>
  <c r="H32" i="82"/>
  <c r="G32" i="82"/>
  <c r="H30" i="82"/>
  <c r="G30" i="82"/>
  <c r="H28" i="82"/>
  <c r="G28" i="82"/>
  <c r="H26" i="82"/>
  <c r="G26" i="82"/>
  <c r="H24" i="82"/>
  <c r="G24" i="82"/>
  <c r="H22" i="82"/>
  <c r="G22" i="82"/>
  <c r="H20" i="82"/>
  <c r="G20" i="82"/>
  <c r="M18" i="82"/>
  <c r="H18" i="82"/>
  <c r="G18" i="82"/>
  <c r="M17" i="82"/>
  <c r="J17" i="82"/>
  <c r="I17" i="82"/>
  <c r="M16" i="82"/>
  <c r="J16" i="82"/>
  <c r="I16" i="82"/>
  <c r="H16" i="82"/>
  <c r="G16" i="82"/>
  <c r="M15" i="82"/>
  <c r="M14" i="82"/>
  <c r="H14" i="82"/>
  <c r="G14" i="82"/>
  <c r="H10" i="82"/>
  <c r="H8" i="82"/>
  <c r="J51" i="81"/>
  <c r="I51" i="81"/>
  <c r="J50" i="81"/>
  <c r="I50" i="81"/>
  <c r="H50" i="81"/>
  <c r="G50" i="81"/>
  <c r="H48" i="81"/>
  <c r="G48" i="81"/>
  <c r="H46" i="81"/>
  <c r="G46" i="81"/>
  <c r="J45" i="81"/>
  <c r="I45" i="81"/>
  <c r="H44" i="81"/>
  <c r="G44" i="81"/>
  <c r="J43" i="81"/>
  <c r="I43" i="81"/>
  <c r="H42" i="81"/>
  <c r="G42" i="81"/>
  <c r="H40" i="81"/>
  <c r="G40" i="81"/>
  <c r="H38" i="81"/>
  <c r="G38" i="81"/>
  <c r="H36" i="81"/>
  <c r="G36" i="81"/>
  <c r="H34" i="81"/>
  <c r="G34" i="81"/>
  <c r="H32" i="81"/>
  <c r="G32" i="81"/>
  <c r="H30" i="81"/>
  <c r="G30" i="81"/>
  <c r="H28" i="81"/>
  <c r="G28" i="81"/>
  <c r="H26" i="81"/>
  <c r="G26" i="81"/>
  <c r="H24" i="81"/>
  <c r="G24" i="81"/>
  <c r="H22" i="81"/>
  <c r="G22" i="81"/>
  <c r="H20" i="81"/>
  <c r="G20" i="81"/>
  <c r="M18" i="81"/>
  <c r="H18" i="81"/>
  <c r="G18" i="81"/>
  <c r="M17" i="81"/>
  <c r="J17" i="81"/>
  <c r="I17" i="81"/>
  <c r="M16" i="81"/>
  <c r="J16" i="81"/>
  <c r="I16" i="81"/>
  <c r="H16" i="81"/>
  <c r="G16" i="81"/>
  <c r="M15" i="81"/>
  <c r="M14" i="81"/>
  <c r="H14" i="81"/>
  <c r="G14" i="81"/>
  <c r="H8" i="81"/>
  <c r="H38" i="20"/>
  <c r="G38" i="20"/>
  <c r="J34" i="20"/>
  <c r="I34" i="20"/>
  <c r="J30" i="20"/>
  <c r="I30" i="20"/>
  <c r="J22" i="20"/>
  <c r="I22" i="20"/>
  <c r="J14" i="20"/>
  <c r="I14" i="20"/>
  <c r="H38" i="45"/>
  <c r="G38" i="45"/>
  <c r="J40" i="45"/>
  <c r="I40" i="45"/>
  <c r="J30" i="45"/>
  <c r="I30" i="45"/>
  <c r="J18" i="45"/>
  <c r="I18" i="45"/>
  <c r="H38" i="46"/>
  <c r="G38" i="46"/>
  <c r="J46" i="46"/>
  <c r="I46" i="46"/>
  <c r="J34" i="46"/>
  <c r="I34" i="46"/>
  <c r="J30" i="46"/>
  <c r="I30" i="46"/>
  <c r="J14" i="46"/>
  <c r="I14" i="46"/>
  <c r="H38" i="47"/>
  <c r="G38" i="47"/>
  <c r="J36" i="47"/>
  <c r="I36" i="47"/>
  <c r="J30" i="47"/>
  <c r="I30" i="47"/>
  <c r="J26" i="47"/>
  <c r="I26" i="47"/>
  <c r="J14" i="47"/>
  <c r="I14" i="47"/>
  <c r="H38" i="48"/>
  <c r="G38" i="48"/>
  <c r="J40" i="48"/>
  <c r="I40" i="48"/>
  <c r="J38" i="48"/>
  <c r="I38" i="48"/>
  <c r="J30" i="48"/>
  <c r="I30" i="48"/>
  <c r="H38" i="49"/>
  <c r="G38" i="49"/>
  <c r="J30" i="49"/>
  <c r="I30" i="49"/>
  <c r="J22" i="49"/>
  <c r="I22" i="49"/>
  <c r="J18" i="49"/>
  <c r="I18" i="49"/>
  <c r="H38" i="51"/>
  <c r="G38" i="51"/>
  <c r="J14" i="51"/>
  <c r="I14" i="51"/>
  <c r="H38" i="52"/>
  <c r="G38" i="52"/>
  <c r="J30" i="52"/>
  <c r="I30" i="52"/>
  <c r="H38" i="53"/>
  <c r="G38" i="53"/>
  <c r="J32" i="53"/>
  <c r="I32" i="53"/>
  <c r="J30" i="53"/>
  <c r="I30" i="53"/>
  <c r="J26" i="53"/>
  <c r="I26" i="53"/>
  <c r="J14" i="53"/>
  <c r="I14" i="53"/>
  <c r="J36" i="54"/>
  <c r="I36" i="54"/>
  <c r="J34" i="54"/>
  <c r="I34" i="54"/>
  <c r="H38" i="54"/>
  <c r="G38" i="54"/>
  <c r="J36" i="55"/>
  <c r="I36" i="55"/>
  <c r="H38" i="55"/>
  <c r="G38" i="55"/>
  <c r="H38" i="56"/>
  <c r="G38" i="56"/>
  <c r="J30" i="56"/>
  <c r="I30" i="56"/>
  <c r="H38" i="57"/>
  <c r="G38" i="57"/>
  <c r="J30" i="57"/>
  <c r="I30" i="57"/>
  <c r="H38" i="58"/>
  <c r="G38" i="58"/>
  <c r="J48" i="58"/>
  <c r="I48" i="58"/>
  <c r="J34" i="58"/>
  <c r="I34" i="58"/>
  <c r="J22" i="58"/>
  <c r="I22" i="58"/>
  <c r="J48" i="59"/>
  <c r="I48" i="59"/>
  <c r="J46" i="59"/>
  <c r="I46" i="59"/>
  <c r="J44" i="59"/>
  <c r="I44" i="59"/>
  <c r="J42" i="59"/>
  <c r="I42" i="59"/>
  <c r="J40" i="59"/>
  <c r="I40" i="59"/>
  <c r="J38" i="59"/>
  <c r="I38" i="59"/>
  <c r="J34" i="59"/>
  <c r="I34" i="59"/>
  <c r="J32" i="59"/>
  <c r="I32" i="59"/>
  <c r="J24" i="59"/>
  <c r="I24" i="59"/>
  <c r="J22" i="59"/>
  <c r="I22" i="59"/>
  <c r="J20" i="59"/>
  <c r="I20" i="59"/>
  <c r="J18" i="59"/>
  <c r="I18" i="59"/>
  <c r="J16" i="59"/>
  <c r="I16" i="59"/>
  <c r="H38" i="59"/>
  <c r="G38" i="59"/>
  <c r="J30" i="60"/>
  <c r="I30" i="60"/>
  <c r="J24" i="60"/>
  <c r="I24" i="60"/>
  <c r="J22" i="60"/>
  <c r="I22" i="60"/>
  <c r="H38" i="60"/>
  <c r="G38" i="60"/>
  <c r="H38" i="61"/>
  <c r="G38" i="61"/>
  <c r="J46" i="61"/>
  <c r="I46" i="61"/>
  <c r="J30" i="61"/>
  <c r="I30" i="61"/>
  <c r="J26" i="61"/>
  <c r="I26" i="61"/>
  <c r="J22" i="61"/>
  <c r="I22" i="61"/>
  <c r="H38" i="62"/>
  <c r="G38" i="62"/>
  <c r="J48" i="62"/>
  <c r="I48" i="62"/>
  <c r="J46" i="62"/>
  <c r="I46" i="62"/>
  <c r="J30" i="62"/>
  <c r="I30" i="62"/>
  <c r="J26" i="62"/>
  <c r="I26" i="62"/>
  <c r="J24" i="62"/>
  <c r="I24" i="62"/>
  <c r="J48" i="64"/>
  <c r="I48" i="64"/>
  <c r="J38" i="64"/>
  <c r="I38" i="64"/>
  <c r="J36" i="64"/>
  <c r="I36" i="64"/>
  <c r="J26" i="64"/>
  <c r="I26" i="64"/>
  <c r="J20" i="64"/>
  <c r="I20" i="64"/>
  <c r="J18" i="64"/>
  <c r="I18" i="64"/>
  <c r="H38" i="64"/>
  <c r="G38" i="64"/>
  <c r="H38" i="65"/>
  <c r="G38" i="65"/>
  <c r="J24" i="66"/>
  <c r="I24" i="66"/>
  <c r="H38" i="66"/>
  <c r="G38" i="66"/>
  <c r="H38" i="67"/>
  <c r="G38" i="67"/>
  <c r="J46" i="67"/>
  <c r="I46" i="67"/>
  <c r="J34" i="67"/>
  <c r="I34" i="67"/>
  <c r="J50" i="68"/>
  <c r="I50" i="68"/>
  <c r="J46" i="68"/>
  <c r="I46" i="68"/>
  <c r="J30" i="68"/>
  <c r="I30" i="68"/>
  <c r="J18" i="68"/>
  <c r="I18" i="68"/>
  <c r="J16" i="68"/>
  <c r="I16" i="68"/>
  <c r="H38" i="68"/>
  <c r="G38" i="68"/>
  <c r="J48" i="69"/>
  <c r="I48" i="69"/>
  <c r="J46" i="69"/>
  <c r="I46" i="69"/>
  <c r="J30" i="69"/>
  <c r="I30" i="69"/>
  <c r="H38" i="69"/>
  <c r="G38" i="69"/>
  <c r="J50" i="70"/>
  <c r="I50" i="70"/>
  <c r="J14" i="70"/>
  <c r="I14" i="70"/>
  <c r="H38" i="70"/>
  <c r="G38" i="70"/>
  <c r="J50" i="71"/>
  <c r="I50" i="71"/>
  <c r="J48" i="71"/>
  <c r="I48" i="71"/>
  <c r="J14" i="71"/>
  <c r="I14" i="71"/>
  <c r="H38" i="71"/>
  <c r="G38" i="71"/>
  <c r="H38" i="72"/>
  <c r="G38" i="72"/>
  <c r="H38" i="73"/>
  <c r="G38" i="73"/>
  <c r="J16" i="74"/>
  <c r="I16" i="74"/>
  <c r="H38" i="74"/>
  <c r="G38" i="74"/>
  <c r="J34" i="76"/>
  <c r="I34" i="76"/>
  <c r="H38" i="76"/>
  <c r="G38" i="76"/>
  <c r="J30" i="77"/>
  <c r="I30" i="77"/>
  <c r="J22" i="77"/>
  <c r="I22" i="77"/>
  <c r="J14" i="77"/>
  <c r="I14" i="77"/>
  <c r="G38" i="77"/>
  <c r="J48" i="79"/>
  <c r="I48" i="79"/>
  <c r="J30" i="79"/>
  <c r="I30" i="79"/>
  <c r="J22" i="79"/>
  <c r="I22" i="79"/>
  <c r="J18" i="79"/>
  <c r="I18" i="79"/>
  <c r="H38" i="79"/>
  <c r="G38" i="79"/>
  <c r="F16" i="44"/>
  <c r="F18" i="44"/>
  <c r="F20" i="44"/>
  <c r="F22" i="44"/>
  <c r="F24" i="44"/>
  <c r="F26" i="44"/>
  <c r="F28" i="44"/>
  <c r="F30" i="44"/>
  <c r="F32" i="44"/>
  <c r="F34" i="44"/>
  <c r="F36" i="44"/>
  <c r="F38" i="44"/>
  <c r="F40" i="44"/>
  <c r="F42" i="44"/>
  <c r="F44" i="44"/>
  <c r="F46" i="44"/>
  <c r="F48" i="44"/>
  <c r="F50" i="44"/>
  <c r="F14" i="44"/>
  <c r="H50" i="44" l="1"/>
  <c r="G50" i="44"/>
  <c r="H48" i="44"/>
  <c r="G48" i="44"/>
  <c r="H46" i="44"/>
  <c r="G46" i="44"/>
  <c r="H44" i="44"/>
  <c r="G44" i="44"/>
  <c r="H42" i="44"/>
  <c r="G42" i="44"/>
  <c r="H40" i="44"/>
  <c r="G40" i="44"/>
  <c r="H38" i="44"/>
  <c r="G38" i="44"/>
  <c r="H36" i="44"/>
  <c r="G36" i="44"/>
  <c r="H34" i="44"/>
  <c r="G34" i="44"/>
  <c r="H32" i="44"/>
  <c r="G32" i="44"/>
  <c r="H30" i="44"/>
  <c r="G30" i="44"/>
  <c r="H28" i="44"/>
  <c r="G28" i="44"/>
  <c r="H26" i="44"/>
  <c r="G26" i="44"/>
  <c r="H24" i="44"/>
  <c r="G24" i="44"/>
  <c r="H22" i="44"/>
  <c r="G22" i="44"/>
  <c r="H20" i="44"/>
  <c r="G20" i="44"/>
  <c r="H18" i="44"/>
  <c r="G18" i="44"/>
  <c r="H16" i="44"/>
  <c r="G16" i="44"/>
  <c r="H14" i="44"/>
  <c r="G14" i="44"/>
  <c r="J51" i="79"/>
  <c r="I51" i="79"/>
  <c r="J50" i="79"/>
  <c r="I50" i="79"/>
  <c r="H50" i="79"/>
  <c r="G50" i="79"/>
  <c r="H48" i="79"/>
  <c r="G48" i="79"/>
  <c r="J46" i="79"/>
  <c r="I46" i="79"/>
  <c r="H46" i="79"/>
  <c r="G46" i="79"/>
  <c r="J45" i="79"/>
  <c r="I45" i="79"/>
  <c r="J44" i="79"/>
  <c r="I44" i="79"/>
  <c r="H44" i="79"/>
  <c r="G44" i="79"/>
  <c r="J43" i="79"/>
  <c r="I43" i="79"/>
  <c r="J42" i="79"/>
  <c r="I42" i="79"/>
  <c r="H42" i="79"/>
  <c r="G42" i="79"/>
  <c r="J41" i="79"/>
  <c r="I41" i="79"/>
  <c r="J40" i="79"/>
  <c r="I40" i="79"/>
  <c r="H40" i="79"/>
  <c r="G40" i="79"/>
  <c r="J39" i="79"/>
  <c r="I39" i="79"/>
  <c r="J38" i="79"/>
  <c r="I38" i="79"/>
  <c r="J37" i="79"/>
  <c r="I37" i="79"/>
  <c r="J36" i="79"/>
  <c r="I36" i="79"/>
  <c r="H36" i="79"/>
  <c r="G36" i="79"/>
  <c r="J35" i="79"/>
  <c r="I35" i="79"/>
  <c r="J34" i="79"/>
  <c r="I34" i="79"/>
  <c r="H34" i="79"/>
  <c r="G34" i="79"/>
  <c r="J33" i="79"/>
  <c r="I33" i="79"/>
  <c r="J32" i="79"/>
  <c r="I32" i="79"/>
  <c r="H32" i="79"/>
  <c r="G32" i="79"/>
  <c r="J31" i="79"/>
  <c r="I31" i="79"/>
  <c r="H30" i="79"/>
  <c r="G30" i="79"/>
  <c r="J29" i="79"/>
  <c r="I29" i="79"/>
  <c r="J28" i="79"/>
  <c r="I28" i="79"/>
  <c r="H28" i="79"/>
  <c r="G28" i="79"/>
  <c r="H26" i="79"/>
  <c r="G26" i="79"/>
  <c r="J24" i="79"/>
  <c r="I24" i="79"/>
  <c r="H24" i="79"/>
  <c r="G24" i="79"/>
  <c r="J23" i="79"/>
  <c r="I23" i="79"/>
  <c r="H22" i="79"/>
  <c r="G22" i="79"/>
  <c r="J21" i="79"/>
  <c r="I21" i="79"/>
  <c r="J20" i="79"/>
  <c r="I20" i="79"/>
  <c r="H20" i="79"/>
  <c r="G20" i="79"/>
  <c r="H18" i="79"/>
  <c r="G18" i="79"/>
  <c r="J17" i="79"/>
  <c r="I17" i="79"/>
  <c r="J16" i="79"/>
  <c r="I16" i="79"/>
  <c r="H16" i="79"/>
  <c r="G16" i="79"/>
  <c r="H14" i="79"/>
  <c r="G14" i="79"/>
  <c r="J51" i="77"/>
  <c r="I51" i="77"/>
  <c r="H50" i="77"/>
  <c r="G50" i="77"/>
  <c r="H48" i="77"/>
  <c r="G48" i="77"/>
  <c r="H46" i="77"/>
  <c r="G46" i="77"/>
  <c r="J45" i="77"/>
  <c r="I45" i="77"/>
  <c r="J44" i="77"/>
  <c r="I44" i="77"/>
  <c r="H44" i="77"/>
  <c r="G44" i="77"/>
  <c r="J43" i="77"/>
  <c r="I43" i="77"/>
  <c r="J42" i="77"/>
  <c r="I42" i="77"/>
  <c r="H42" i="77"/>
  <c r="G42" i="77"/>
  <c r="J41" i="77"/>
  <c r="I41" i="77"/>
  <c r="J40" i="77"/>
  <c r="I40" i="77"/>
  <c r="H40" i="77"/>
  <c r="G40" i="77"/>
  <c r="J39" i="77"/>
  <c r="I39" i="77"/>
  <c r="J38" i="77"/>
  <c r="I38" i="77"/>
  <c r="H38" i="77"/>
  <c r="J37" i="77"/>
  <c r="I37" i="77"/>
  <c r="J36" i="77"/>
  <c r="I36" i="77"/>
  <c r="H36" i="77"/>
  <c r="G36" i="77"/>
  <c r="J35" i="77"/>
  <c r="I35" i="77"/>
  <c r="J34" i="77"/>
  <c r="I34" i="77"/>
  <c r="H34" i="77"/>
  <c r="G34" i="77"/>
  <c r="J33" i="77"/>
  <c r="I33" i="77"/>
  <c r="J32" i="77"/>
  <c r="I32" i="77"/>
  <c r="H32" i="77"/>
  <c r="G32" i="77"/>
  <c r="J31" i="77"/>
  <c r="I31" i="77"/>
  <c r="H30" i="77"/>
  <c r="G30" i="77"/>
  <c r="H28" i="77"/>
  <c r="G28" i="77"/>
  <c r="H26" i="77"/>
  <c r="G26" i="77"/>
  <c r="H24" i="77"/>
  <c r="G24" i="77"/>
  <c r="J23" i="77"/>
  <c r="I23" i="77"/>
  <c r="H22" i="77"/>
  <c r="G22" i="77"/>
  <c r="J21" i="77"/>
  <c r="I21" i="77"/>
  <c r="J20" i="77"/>
  <c r="I20" i="77"/>
  <c r="H20" i="77"/>
  <c r="G20" i="77"/>
  <c r="J19" i="77"/>
  <c r="I19" i="77"/>
  <c r="J18" i="77"/>
  <c r="I18" i="77"/>
  <c r="H18" i="77"/>
  <c r="G18" i="77"/>
  <c r="J17" i="77"/>
  <c r="I17" i="77"/>
  <c r="J16" i="77"/>
  <c r="I16" i="77"/>
  <c r="H16" i="77"/>
  <c r="G16" i="77"/>
  <c r="H14" i="77"/>
  <c r="G14" i="77"/>
  <c r="J51" i="76"/>
  <c r="I51" i="76"/>
  <c r="H50" i="76"/>
  <c r="G50" i="76"/>
  <c r="H48" i="76"/>
  <c r="G48" i="76"/>
  <c r="J46" i="76"/>
  <c r="I46" i="76"/>
  <c r="H46" i="76"/>
  <c r="G46" i="76"/>
  <c r="J45" i="76"/>
  <c r="I45" i="76"/>
  <c r="J44" i="76"/>
  <c r="I44" i="76"/>
  <c r="H44" i="76"/>
  <c r="G44" i="76"/>
  <c r="J43" i="76"/>
  <c r="I43" i="76"/>
  <c r="J42" i="76"/>
  <c r="I42" i="76"/>
  <c r="H42" i="76"/>
  <c r="G42" i="76"/>
  <c r="J41" i="76"/>
  <c r="I41" i="76"/>
  <c r="J40" i="76"/>
  <c r="I40" i="76"/>
  <c r="H40" i="76"/>
  <c r="G40" i="76"/>
  <c r="J39" i="76"/>
  <c r="I39" i="76"/>
  <c r="J38" i="76"/>
  <c r="I38" i="76"/>
  <c r="J37" i="76"/>
  <c r="I37" i="76"/>
  <c r="J36" i="76"/>
  <c r="I36" i="76"/>
  <c r="H36" i="76"/>
  <c r="G36" i="76"/>
  <c r="H34" i="76"/>
  <c r="G34" i="76"/>
  <c r="H32" i="76"/>
  <c r="G32" i="76"/>
  <c r="H30" i="76"/>
  <c r="G30" i="76"/>
  <c r="H28" i="76"/>
  <c r="G28" i="76"/>
  <c r="H26" i="76"/>
  <c r="G26" i="76"/>
  <c r="H24" i="76"/>
  <c r="G24" i="76"/>
  <c r="H22" i="76"/>
  <c r="G22" i="76"/>
  <c r="H20" i="76"/>
  <c r="G20" i="76"/>
  <c r="H18" i="76"/>
  <c r="G18" i="76"/>
  <c r="J17" i="76"/>
  <c r="I17" i="76"/>
  <c r="J16" i="76"/>
  <c r="I16" i="76"/>
  <c r="H16" i="76"/>
  <c r="G16" i="76"/>
  <c r="H14" i="76"/>
  <c r="G14" i="76"/>
  <c r="J51" i="74"/>
  <c r="I51" i="74"/>
  <c r="H50" i="74"/>
  <c r="G50" i="74"/>
  <c r="H48" i="74"/>
  <c r="G48" i="74"/>
  <c r="J46" i="74"/>
  <c r="I46" i="74"/>
  <c r="H46" i="74"/>
  <c r="G46" i="74"/>
  <c r="J45" i="74"/>
  <c r="I45" i="74"/>
  <c r="J44" i="74"/>
  <c r="I44" i="74"/>
  <c r="H44" i="74"/>
  <c r="G44" i="74"/>
  <c r="J43" i="74"/>
  <c r="I43" i="74"/>
  <c r="J42" i="74"/>
  <c r="I42" i="74"/>
  <c r="H42" i="74"/>
  <c r="G42" i="74"/>
  <c r="J41" i="74"/>
  <c r="I41" i="74"/>
  <c r="J40" i="74"/>
  <c r="I40" i="74"/>
  <c r="H40" i="74"/>
  <c r="G40" i="74"/>
  <c r="J39" i="74"/>
  <c r="I39" i="74"/>
  <c r="J38" i="74"/>
  <c r="I38" i="74"/>
  <c r="H36" i="74"/>
  <c r="G36" i="74"/>
  <c r="H34" i="74"/>
  <c r="G34" i="74"/>
  <c r="J33" i="74"/>
  <c r="I33" i="74"/>
  <c r="J32" i="74"/>
  <c r="I32" i="74"/>
  <c r="H32" i="74"/>
  <c r="G32" i="74"/>
  <c r="J31" i="74"/>
  <c r="I31" i="74"/>
  <c r="H30" i="74"/>
  <c r="G30" i="74"/>
  <c r="H28" i="74"/>
  <c r="G28" i="74"/>
  <c r="H26" i="74"/>
  <c r="G26" i="74"/>
  <c r="H24" i="74"/>
  <c r="G24" i="74"/>
  <c r="H22" i="74"/>
  <c r="G22" i="74"/>
  <c r="H20" i="74"/>
  <c r="G20" i="74"/>
  <c r="H18" i="74"/>
  <c r="G18" i="74"/>
  <c r="H16" i="74"/>
  <c r="G16" i="74"/>
  <c r="H14" i="74"/>
  <c r="G14" i="74"/>
  <c r="J51" i="73"/>
  <c r="I51" i="73"/>
  <c r="J50" i="73"/>
  <c r="I50" i="73"/>
  <c r="H50" i="73"/>
  <c r="G50" i="73"/>
  <c r="J49" i="73"/>
  <c r="I49" i="73"/>
  <c r="H48" i="73"/>
  <c r="G48" i="73"/>
  <c r="H46" i="73"/>
  <c r="G46" i="73"/>
  <c r="H44" i="73"/>
  <c r="G44" i="73"/>
  <c r="H42" i="73"/>
  <c r="G42" i="73"/>
  <c r="H40" i="73"/>
  <c r="G40" i="73"/>
  <c r="H36" i="73"/>
  <c r="G36" i="73"/>
  <c r="H34" i="73"/>
  <c r="G34" i="73"/>
  <c r="J33" i="73"/>
  <c r="I33" i="73"/>
  <c r="H32" i="73"/>
  <c r="G32" i="73"/>
  <c r="H30" i="73"/>
  <c r="G30" i="73"/>
  <c r="H28" i="73"/>
  <c r="G28" i="73"/>
  <c r="H26" i="73"/>
  <c r="G26" i="73"/>
  <c r="H24" i="73"/>
  <c r="G24" i="73"/>
  <c r="H22" i="73"/>
  <c r="G22" i="73"/>
  <c r="H20" i="73"/>
  <c r="G20" i="73"/>
  <c r="H18" i="73"/>
  <c r="G18" i="73"/>
  <c r="H16" i="73"/>
  <c r="G16" i="73"/>
  <c r="H14" i="73"/>
  <c r="G14" i="73"/>
  <c r="J51" i="72"/>
  <c r="I51" i="72"/>
  <c r="J50" i="72"/>
  <c r="I50" i="72"/>
  <c r="H50" i="72"/>
  <c r="G50" i="72"/>
  <c r="H48" i="72"/>
  <c r="G48" i="72"/>
  <c r="H46" i="72"/>
  <c r="G46" i="72"/>
  <c r="H44" i="72"/>
  <c r="G44" i="72"/>
  <c r="H42" i="72"/>
  <c r="G42" i="72"/>
  <c r="H40" i="72"/>
  <c r="G40" i="72"/>
  <c r="H36" i="72"/>
  <c r="G36" i="72"/>
  <c r="H34" i="72"/>
  <c r="G34" i="72"/>
  <c r="H32" i="72"/>
  <c r="G32" i="72"/>
  <c r="H30" i="72"/>
  <c r="G30" i="72"/>
  <c r="H28" i="72"/>
  <c r="G28" i="72"/>
  <c r="H26" i="72"/>
  <c r="G26" i="72"/>
  <c r="H24" i="72"/>
  <c r="G24" i="72"/>
  <c r="H22" i="72"/>
  <c r="G22" i="72"/>
  <c r="H20" i="72"/>
  <c r="G20" i="72"/>
  <c r="H18" i="72"/>
  <c r="G18" i="72"/>
  <c r="J17" i="72"/>
  <c r="I17" i="72"/>
  <c r="J16" i="72"/>
  <c r="I16" i="72"/>
  <c r="H16" i="72"/>
  <c r="G16" i="72"/>
  <c r="H14" i="72"/>
  <c r="G14" i="72"/>
  <c r="J51" i="71"/>
  <c r="I51" i="71"/>
  <c r="H50" i="71"/>
  <c r="G50" i="71"/>
  <c r="H48" i="71"/>
  <c r="G48" i="71"/>
  <c r="J46" i="71"/>
  <c r="I46" i="71"/>
  <c r="H46" i="71"/>
  <c r="G46" i="71"/>
  <c r="J45" i="71"/>
  <c r="I45" i="71"/>
  <c r="J44" i="71"/>
  <c r="I44" i="71"/>
  <c r="H44" i="71"/>
  <c r="G44" i="71"/>
  <c r="J43" i="71"/>
  <c r="I43" i="71"/>
  <c r="J42" i="71"/>
  <c r="I42" i="71"/>
  <c r="H42" i="71"/>
  <c r="G42" i="71"/>
  <c r="J41" i="71"/>
  <c r="I41" i="71"/>
  <c r="J40" i="71"/>
  <c r="I40" i="71"/>
  <c r="H40" i="71"/>
  <c r="G40" i="71"/>
  <c r="J39" i="71"/>
  <c r="I39" i="71"/>
  <c r="J38" i="71"/>
  <c r="I38" i="71"/>
  <c r="H36" i="71"/>
  <c r="G36" i="71"/>
  <c r="H34" i="71"/>
  <c r="G34" i="71"/>
  <c r="H32" i="71"/>
  <c r="G32" i="71"/>
  <c r="H30" i="71"/>
  <c r="G30" i="71"/>
  <c r="H28" i="71"/>
  <c r="G28" i="71"/>
  <c r="H26" i="71"/>
  <c r="G26" i="71"/>
  <c r="H24" i="71"/>
  <c r="G24" i="71"/>
  <c r="H22" i="71"/>
  <c r="G22" i="71"/>
  <c r="J21" i="71"/>
  <c r="I21" i="71"/>
  <c r="J20" i="71"/>
  <c r="I20" i="71"/>
  <c r="H20" i="71"/>
  <c r="G20" i="71"/>
  <c r="J19" i="71"/>
  <c r="I19" i="71"/>
  <c r="J18" i="71"/>
  <c r="I18" i="71"/>
  <c r="H18" i="71"/>
  <c r="G18" i="71"/>
  <c r="J17" i="71"/>
  <c r="I17" i="71"/>
  <c r="J16" i="71"/>
  <c r="I16" i="71"/>
  <c r="H16" i="71"/>
  <c r="G16" i="71"/>
  <c r="H14" i="71"/>
  <c r="G14" i="71"/>
  <c r="J51" i="70"/>
  <c r="I51" i="70"/>
  <c r="H50" i="70"/>
  <c r="G50" i="70"/>
  <c r="H48" i="70"/>
  <c r="G48" i="70"/>
  <c r="J46" i="70"/>
  <c r="I46" i="70"/>
  <c r="H46" i="70"/>
  <c r="G46" i="70"/>
  <c r="J45" i="70"/>
  <c r="I45" i="70"/>
  <c r="J44" i="70"/>
  <c r="I44" i="70"/>
  <c r="H44" i="70"/>
  <c r="G44" i="70"/>
  <c r="J43" i="70"/>
  <c r="I43" i="70"/>
  <c r="J42" i="70"/>
  <c r="I42" i="70"/>
  <c r="H42" i="70"/>
  <c r="G42" i="70"/>
  <c r="J41" i="70"/>
  <c r="I41" i="70"/>
  <c r="J40" i="70"/>
  <c r="I40" i="70"/>
  <c r="H40" i="70"/>
  <c r="G40" i="70"/>
  <c r="J39" i="70"/>
  <c r="I39" i="70"/>
  <c r="J38" i="70"/>
  <c r="I38" i="70"/>
  <c r="J37" i="70"/>
  <c r="I37" i="70"/>
  <c r="J36" i="70"/>
  <c r="I36" i="70"/>
  <c r="H36" i="70"/>
  <c r="G36" i="70"/>
  <c r="H34" i="70"/>
  <c r="G34" i="70"/>
  <c r="J33" i="70"/>
  <c r="I33" i="70"/>
  <c r="J32" i="70"/>
  <c r="I32" i="70"/>
  <c r="H32" i="70"/>
  <c r="G32" i="70"/>
  <c r="J31" i="70"/>
  <c r="I31" i="70"/>
  <c r="J30" i="70"/>
  <c r="I30" i="70"/>
  <c r="H30" i="70"/>
  <c r="G30" i="70"/>
  <c r="H28" i="70"/>
  <c r="G28" i="70"/>
  <c r="H26" i="70"/>
  <c r="G26" i="70"/>
  <c r="H24" i="70"/>
  <c r="G24" i="70"/>
  <c r="H22" i="70"/>
  <c r="G22" i="70"/>
  <c r="J21" i="70"/>
  <c r="I21" i="70"/>
  <c r="J20" i="70"/>
  <c r="I20" i="70"/>
  <c r="H20" i="70"/>
  <c r="G20" i="70"/>
  <c r="H18" i="70"/>
  <c r="G18" i="70"/>
  <c r="J17" i="70"/>
  <c r="I17" i="70"/>
  <c r="J16" i="70"/>
  <c r="I16" i="70"/>
  <c r="H16" i="70"/>
  <c r="G16" i="70"/>
  <c r="H14" i="70"/>
  <c r="G14" i="70"/>
  <c r="J51" i="69"/>
  <c r="I51" i="69"/>
  <c r="J50" i="69"/>
  <c r="I50" i="69"/>
  <c r="H50" i="69"/>
  <c r="G50" i="69"/>
  <c r="H48" i="69"/>
  <c r="G48" i="69"/>
  <c r="H46" i="69"/>
  <c r="G46" i="69"/>
  <c r="J45" i="69"/>
  <c r="I45" i="69"/>
  <c r="J44" i="69"/>
  <c r="I44" i="69"/>
  <c r="H44" i="69"/>
  <c r="G44" i="69"/>
  <c r="J43" i="69"/>
  <c r="I43" i="69"/>
  <c r="J42" i="69"/>
  <c r="I42" i="69"/>
  <c r="H42" i="69"/>
  <c r="G42" i="69"/>
  <c r="J41" i="69"/>
  <c r="I41" i="69"/>
  <c r="J40" i="69"/>
  <c r="I40" i="69"/>
  <c r="H40" i="69"/>
  <c r="G40" i="69"/>
  <c r="J39" i="69"/>
  <c r="I39" i="69"/>
  <c r="J38" i="69"/>
  <c r="I38" i="69"/>
  <c r="J37" i="69"/>
  <c r="I37" i="69"/>
  <c r="J36" i="69"/>
  <c r="I36" i="69"/>
  <c r="H36" i="69"/>
  <c r="G36" i="69"/>
  <c r="J35" i="69"/>
  <c r="I35" i="69"/>
  <c r="J34" i="69"/>
  <c r="I34" i="69"/>
  <c r="H34" i="69"/>
  <c r="G34" i="69"/>
  <c r="H32" i="69"/>
  <c r="G32" i="69"/>
  <c r="J31" i="69"/>
  <c r="I31" i="69"/>
  <c r="H30" i="69"/>
  <c r="G30" i="69"/>
  <c r="J29" i="69"/>
  <c r="I29" i="69"/>
  <c r="J28" i="69"/>
  <c r="I28" i="69"/>
  <c r="H28" i="69"/>
  <c r="G28" i="69"/>
  <c r="H26" i="69"/>
  <c r="G26" i="69"/>
  <c r="H24" i="69"/>
  <c r="G24" i="69"/>
  <c r="H22" i="69"/>
  <c r="G22" i="69"/>
  <c r="J21" i="69"/>
  <c r="I21" i="69"/>
  <c r="J20" i="69"/>
  <c r="I20" i="69"/>
  <c r="H20" i="69"/>
  <c r="G20" i="69"/>
  <c r="J19" i="69"/>
  <c r="I19" i="69"/>
  <c r="J18" i="69"/>
  <c r="I18" i="69"/>
  <c r="H18" i="69"/>
  <c r="G18" i="69"/>
  <c r="J17" i="69"/>
  <c r="I17" i="69"/>
  <c r="J16" i="69"/>
  <c r="I16" i="69"/>
  <c r="H16" i="69"/>
  <c r="G16" i="69"/>
  <c r="H14" i="69"/>
  <c r="G14" i="69"/>
  <c r="H50" i="68"/>
  <c r="G50" i="68"/>
  <c r="H48" i="68"/>
  <c r="H46" i="68"/>
  <c r="G46" i="68"/>
  <c r="J45" i="68"/>
  <c r="I45" i="68"/>
  <c r="J44" i="68"/>
  <c r="I44" i="68"/>
  <c r="H44" i="68"/>
  <c r="G44" i="68"/>
  <c r="J43" i="68"/>
  <c r="I43" i="68"/>
  <c r="J42" i="68"/>
  <c r="I42" i="68"/>
  <c r="H42" i="68"/>
  <c r="G42" i="68"/>
  <c r="J41" i="68"/>
  <c r="I41" i="68"/>
  <c r="H40" i="68"/>
  <c r="G40" i="68"/>
  <c r="H36" i="68"/>
  <c r="G36" i="68"/>
  <c r="H34" i="68"/>
  <c r="G34" i="68"/>
  <c r="J33" i="68"/>
  <c r="I33" i="68"/>
  <c r="J32" i="68"/>
  <c r="I32" i="68"/>
  <c r="H32" i="68"/>
  <c r="G32" i="68"/>
  <c r="J31" i="68"/>
  <c r="I31" i="68"/>
  <c r="H30" i="68"/>
  <c r="G30" i="68"/>
  <c r="J29" i="68"/>
  <c r="I29" i="68"/>
  <c r="J28" i="68"/>
  <c r="I28" i="68"/>
  <c r="H28" i="68"/>
  <c r="G28" i="68"/>
  <c r="H26" i="68"/>
  <c r="G26" i="68"/>
  <c r="H24" i="68"/>
  <c r="G24" i="68"/>
  <c r="H22" i="68"/>
  <c r="G22" i="68"/>
  <c r="J21" i="68"/>
  <c r="I21" i="68"/>
  <c r="J20" i="68"/>
  <c r="I20" i="68"/>
  <c r="H20" i="68"/>
  <c r="G20" i="68"/>
  <c r="H18" i="68"/>
  <c r="G18" i="68"/>
  <c r="H16" i="68"/>
  <c r="G16" i="68"/>
  <c r="H14" i="68"/>
  <c r="G14" i="68"/>
  <c r="J51" i="67"/>
  <c r="I51" i="67"/>
  <c r="J50" i="67"/>
  <c r="I50" i="67"/>
  <c r="H50" i="67"/>
  <c r="G50" i="67"/>
  <c r="H48" i="67"/>
  <c r="G48" i="67"/>
  <c r="H46" i="67"/>
  <c r="G46" i="67"/>
  <c r="J45" i="67"/>
  <c r="I45" i="67"/>
  <c r="J44" i="67"/>
  <c r="I44" i="67"/>
  <c r="H44" i="67"/>
  <c r="G44" i="67"/>
  <c r="J43" i="67"/>
  <c r="I43" i="67"/>
  <c r="J42" i="67"/>
  <c r="I42" i="67"/>
  <c r="H42" i="67"/>
  <c r="G42" i="67"/>
  <c r="J41" i="67"/>
  <c r="I41" i="67"/>
  <c r="J40" i="67"/>
  <c r="I40" i="67"/>
  <c r="H40" i="67"/>
  <c r="G40" i="67"/>
  <c r="J39" i="67"/>
  <c r="I39" i="67"/>
  <c r="J38" i="67"/>
  <c r="I38" i="67"/>
  <c r="J37" i="67"/>
  <c r="I37" i="67"/>
  <c r="J36" i="67"/>
  <c r="I36" i="67"/>
  <c r="H36" i="67"/>
  <c r="G36" i="67"/>
  <c r="H34" i="67"/>
  <c r="G34" i="67"/>
  <c r="J33" i="67"/>
  <c r="I33" i="67"/>
  <c r="H32" i="67"/>
  <c r="G32" i="67"/>
  <c r="H30" i="67"/>
  <c r="G30" i="67"/>
  <c r="H28" i="67"/>
  <c r="G28" i="67"/>
  <c r="H26" i="67"/>
  <c r="G26" i="67"/>
  <c r="H24" i="67"/>
  <c r="G24" i="67"/>
  <c r="H22" i="67"/>
  <c r="G22" i="67"/>
  <c r="J21" i="67"/>
  <c r="I21" i="67"/>
  <c r="J20" i="67"/>
  <c r="I20" i="67"/>
  <c r="H20" i="67"/>
  <c r="G20" i="67"/>
  <c r="H18" i="67"/>
  <c r="G18" i="67"/>
  <c r="J16" i="67"/>
  <c r="I16" i="67"/>
  <c r="H16" i="67"/>
  <c r="G16" i="67"/>
  <c r="H14" i="67"/>
  <c r="G14" i="67"/>
  <c r="J51" i="66"/>
  <c r="I51" i="66"/>
  <c r="J50" i="66"/>
  <c r="I50" i="66"/>
  <c r="H50" i="66"/>
  <c r="G50" i="66"/>
  <c r="J49" i="66"/>
  <c r="I49" i="66"/>
  <c r="J48" i="66"/>
  <c r="I48" i="66"/>
  <c r="H48" i="66"/>
  <c r="G48" i="66"/>
  <c r="J47" i="66"/>
  <c r="I47" i="66"/>
  <c r="J46" i="66"/>
  <c r="I46" i="66"/>
  <c r="H46" i="66"/>
  <c r="G46" i="66"/>
  <c r="J45" i="66"/>
  <c r="I45" i="66"/>
  <c r="J44" i="66"/>
  <c r="I44" i="66"/>
  <c r="H44" i="66"/>
  <c r="G44" i="66"/>
  <c r="J43" i="66"/>
  <c r="I43" i="66"/>
  <c r="J42" i="66"/>
  <c r="I42" i="66"/>
  <c r="H42" i="66"/>
  <c r="G42" i="66"/>
  <c r="J41" i="66"/>
  <c r="I41" i="66"/>
  <c r="J40" i="66"/>
  <c r="I40" i="66"/>
  <c r="H40" i="66"/>
  <c r="G40" i="66"/>
  <c r="J39" i="66"/>
  <c r="I39" i="66"/>
  <c r="H36" i="66"/>
  <c r="G36" i="66"/>
  <c r="H34" i="66"/>
  <c r="G34" i="66"/>
  <c r="H32" i="66"/>
  <c r="G32" i="66"/>
  <c r="H30" i="66"/>
  <c r="G30" i="66"/>
  <c r="H28" i="66"/>
  <c r="G28" i="66"/>
  <c r="H26" i="66"/>
  <c r="G26" i="66"/>
  <c r="H24" i="66"/>
  <c r="G24" i="66"/>
  <c r="J22" i="66"/>
  <c r="I22" i="66"/>
  <c r="H22" i="66"/>
  <c r="G22" i="66"/>
  <c r="J21" i="66"/>
  <c r="I21" i="66"/>
  <c r="J20" i="66"/>
  <c r="I20" i="66"/>
  <c r="H20" i="66"/>
  <c r="G20" i="66"/>
  <c r="J19" i="66"/>
  <c r="I19" i="66"/>
  <c r="H18" i="66"/>
  <c r="G18" i="66"/>
  <c r="J17" i="66"/>
  <c r="I17" i="66"/>
  <c r="J16" i="66"/>
  <c r="I16" i="66"/>
  <c r="H16" i="66"/>
  <c r="G16" i="66"/>
  <c r="J15" i="66"/>
  <c r="I15" i="66"/>
  <c r="H14" i="66"/>
  <c r="G14" i="66"/>
  <c r="J51" i="65"/>
  <c r="I51" i="65"/>
  <c r="J50" i="65"/>
  <c r="I50" i="65"/>
  <c r="H50" i="65"/>
  <c r="G50" i="65"/>
  <c r="H48" i="65"/>
  <c r="G48" i="65"/>
  <c r="H46" i="65"/>
  <c r="G46" i="65"/>
  <c r="H44" i="65"/>
  <c r="G44" i="65"/>
  <c r="H42" i="65"/>
  <c r="G42" i="65"/>
  <c r="H40" i="65"/>
  <c r="G40" i="65"/>
  <c r="H36" i="65"/>
  <c r="G36" i="65"/>
  <c r="H34" i="65"/>
  <c r="G34" i="65"/>
  <c r="H32" i="65"/>
  <c r="G32" i="65"/>
  <c r="H30" i="65"/>
  <c r="G30" i="65"/>
  <c r="H28" i="65"/>
  <c r="G28" i="65"/>
  <c r="H26" i="65"/>
  <c r="G26" i="65"/>
  <c r="H24" i="65"/>
  <c r="G24" i="65"/>
  <c r="H22" i="65"/>
  <c r="G22" i="65"/>
  <c r="H20" i="65"/>
  <c r="G20" i="65"/>
  <c r="H18" i="65"/>
  <c r="G18" i="65"/>
  <c r="J17" i="65"/>
  <c r="I17" i="65"/>
  <c r="J16" i="65"/>
  <c r="I16" i="65"/>
  <c r="H16" i="65"/>
  <c r="G16" i="65"/>
  <c r="H14" i="65"/>
  <c r="G14" i="65"/>
  <c r="J51" i="64"/>
  <c r="I51" i="64"/>
  <c r="J50" i="64"/>
  <c r="I50" i="64"/>
  <c r="H50" i="64"/>
  <c r="G50" i="64"/>
  <c r="H48" i="64"/>
  <c r="G48" i="64"/>
  <c r="J47" i="64"/>
  <c r="I47" i="64"/>
  <c r="J46" i="64"/>
  <c r="I46" i="64"/>
  <c r="H46" i="64"/>
  <c r="G46" i="64"/>
  <c r="J45" i="64"/>
  <c r="I45" i="64"/>
  <c r="J44" i="64"/>
  <c r="I44" i="64"/>
  <c r="H44" i="64"/>
  <c r="G44" i="64"/>
  <c r="J43" i="64"/>
  <c r="I43" i="64"/>
  <c r="J42" i="64"/>
  <c r="I42" i="64"/>
  <c r="H42" i="64"/>
  <c r="G42" i="64"/>
  <c r="J41" i="64"/>
  <c r="I41" i="64"/>
  <c r="J40" i="64"/>
  <c r="I40" i="64"/>
  <c r="H40" i="64"/>
  <c r="G40" i="64"/>
  <c r="J39" i="64"/>
  <c r="I39" i="64"/>
  <c r="H36" i="64"/>
  <c r="G36" i="64"/>
  <c r="J35" i="64"/>
  <c r="I35" i="64"/>
  <c r="H34" i="64"/>
  <c r="G34" i="64"/>
  <c r="H32" i="64"/>
  <c r="G32" i="64"/>
  <c r="H30" i="64"/>
  <c r="G30" i="64"/>
  <c r="H28" i="64"/>
  <c r="G28" i="64"/>
  <c r="H26" i="64"/>
  <c r="G26" i="64"/>
  <c r="H24" i="64"/>
  <c r="G24" i="64"/>
  <c r="H22" i="64"/>
  <c r="G22" i="64"/>
  <c r="H20" i="64"/>
  <c r="G20" i="64"/>
  <c r="H18" i="64"/>
  <c r="G18" i="64"/>
  <c r="J17" i="64"/>
  <c r="I17" i="64"/>
  <c r="J16" i="64"/>
  <c r="I16" i="64"/>
  <c r="H16" i="64"/>
  <c r="G16" i="64"/>
  <c r="H14" i="64"/>
  <c r="G14" i="64"/>
  <c r="J51" i="62"/>
  <c r="I51" i="62"/>
  <c r="J50" i="62"/>
  <c r="I50" i="62"/>
  <c r="H50" i="62"/>
  <c r="G50" i="62"/>
  <c r="H48" i="62"/>
  <c r="G48" i="62"/>
  <c r="H46" i="62"/>
  <c r="G46" i="62"/>
  <c r="J45" i="62"/>
  <c r="I45" i="62"/>
  <c r="J44" i="62"/>
  <c r="I44" i="62"/>
  <c r="H44" i="62"/>
  <c r="G44" i="62"/>
  <c r="J43" i="62"/>
  <c r="I43" i="62"/>
  <c r="H42" i="62"/>
  <c r="G42" i="62"/>
  <c r="H40" i="62"/>
  <c r="G40" i="62"/>
  <c r="J39" i="62"/>
  <c r="I39" i="62"/>
  <c r="J38" i="62"/>
  <c r="I38" i="62"/>
  <c r="J37" i="62"/>
  <c r="I37" i="62"/>
  <c r="J36" i="62"/>
  <c r="I36" i="62"/>
  <c r="H36" i="62"/>
  <c r="G36" i="62"/>
  <c r="J35" i="62"/>
  <c r="I35" i="62"/>
  <c r="J34" i="62"/>
  <c r="I34" i="62"/>
  <c r="H34" i="62"/>
  <c r="G34" i="62"/>
  <c r="J33" i="62"/>
  <c r="I33" i="62"/>
  <c r="J32" i="62"/>
  <c r="I32" i="62"/>
  <c r="H32" i="62"/>
  <c r="G32" i="62"/>
  <c r="J31" i="62"/>
  <c r="I31" i="62"/>
  <c r="H30" i="62"/>
  <c r="G30" i="62"/>
  <c r="J29" i="62"/>
  <c r="I29" i="62"/>
  <c r="J28" i="62"/>
  <c r="I28" i="62"/>
  <c r="H28" i="62"/>
  <c r="G28" i="62"/>
  <c r="J27" i="62"/>
  <c r="I27" i="62"/>
  <c r="H26" i="62"/>
  <c r="G26" i="62"/>
  <c r="H24" i="62"/>
  <c r="G24" i="62"/>
  <c r="H22" i="62"/>
  <c r="G22" i="62"/>
  <c r="J21" i="62"/>
  <c r="I21" i="62"/>
  <c r="J20" i="62"/>
  <c r="I20" i="62"/>
  <c r="H20" i="62"/>
  <c r="G20" i="62"/>
  <c r="J19" i="62"/>
  <c r="I19" i="62"/>
  <c r="J18" i="62"/>
  <c r="I18" i="62"/>
  <c r="H18" i="62"/>
  <c r="G18" i="62"/>
  <c r="J17" i="62"/>
  <c r="I17" i="62"/>
  <c r="J16" i="62"/>
  <c r="I16" i="62"/>
  <c r="H16" i="62"/>
  <c r="G16" i="62"/>
  <c r="J15" i="62"/>
  <c r="I15" i="62"/>
  <c r="J14" i="62"/>
  <c r="I14" i="62"/>
  <c r="H14" i="62"/>
  <c r="G14" i="62"/>
  <c r="J51" i="61"/>
  <c r="I51" i="61"/>
  <c r="H50" i="61"/>
  <c r="G50" i="61"/>
  <c r="H48" i="61"/>
  <c r="G48" i="61"/>
  <c r="H46" i="61"/>
  <c r="G46" i="61"/>
  <c r="J45" i="61"/>
  <c r="I45" i="61"/>
  <c r="J44" i="61"/>
  <c r="I44" i="61"/>
  <c r="H44" i="61"/>
  <c r="G44" i="61"/>
  <c r="J43" i="61"/>
  <c r="I43" i="61"/>
  <c r="J42" i="61"/>
  <c r="I42" i="61"/>
  <c r="H42" i="61"/>
  <c r="G42" i="61"/>
  <c r="J41" i="61"/>
  <c r="I41" i="61"/>
  <c r="J40" i="61"/>
  <c r="I40" i="61"/>
  <c r="H40" i="61"/>
  <c r="G40" i="61"/>
  <c r="J39" i="61"/>
  <c r="I39" i="61"/>
  <c r="J38" i="61"/>
  <c r="I38" i="61"/>
  <c r="J37" i="61"/>
  <c r="I37" i="61"/>
  <c r="J36" i="61"/>
  <c r="I36" i="61"/>
  <c r="H36" i="61"/>
  <c r="G36" i="61"/>
  <c r="J35" i="61"/>
  <c r="I35" i="61"/>
  <c r="J34" i="61"/>
  <c r="I34" i="61"/>
  <c r="H34" i="61"/>
  <c r="G34" i="61"/>
  <c r="J33" i="61"/>
  <c r="I33" i="61"/>
  <c r="J32" i="61"/>
  <c r="I32" i="61"/>
  <c r="H32" i="61"/>
  <c r="G32" i="61"/>
  <c r="J31" i="61"/>
  <c r="I31" i="61"/>
  <c r="H30" i="61"/>
  <c r="G30" i="61"/>
  <c r="J29" i="61"/>
  <c r="I29" i="61"/>
  <c r="J28" i="61"/>
  <c r="I28" i="61"/>
  <c r="H28" i="61"/>
  <c r="G28" i="61"/>
  <c r="H26" i="61"/>
  <c r="G26" i="61"/>
  <c r="J25" i="61"/>
  <c r="I25" i="61"/>
  <c r="J24" i="61"/>
  <c r="I24" i="61"/>
  <c r="H24" i="61"/>
  <c r="G24" i="61"/>
  <c r="J23" i="61"/>
  <c r="I23" i="61"/>
  <c r="H22" i="61"/>
  <c r="G22" i="61"/>
  <c r="J21" i="61"/>
  <c r="I21" i="61"/>
  <c r="J20" i="61"/>
  <c r="I20" i="61"/>
  <c r="H20" i="61"/>
  <c r="G20" i="61"/>
  <c r="J19" i="61"/>
  <c r="I19" i="61"/>
  <c r="J18" i="61"/>
  <c r="I18" i="61"/>
  <c r="H18" i="61"/>
  <c r="G18" i="61"/>
  <c r="J17" i="61"/>
  <c r="I17" i="61"/>
  <c r="J16" i="61"/>
  <c r="I16" i="61"/>
  <c r="H16" i="61"/>
  <c r="G16" i="61"/>
  <c r="H14" i="61"/>
  <c r="G14" i="61"/>
  <c r="J51" i="60"/>
  <c r="I51" i="60"/>
  <c r="J50" i="60"/>
  <c r="I50" i="60"/>
  <c r="H50" i="60"/>
  <c r="G50" i="60"/>
  <c r="J49" i="60"/>
  <c r="I49" i="60"/>
  <c r="J48" i="60"/>
  <c r="I48" i="60"/>
  <c r="H48" i="60"/>
  <c r="G48" i="60"/>
  <c r="J47" i="60"/>
  <c r="I47" i="60"/>
  <c r="J46" i="60"/>
  <c r="I46" i="60"/>
  <c r="H46" i="60"/>
  <c r="G46" i="60"/>
  <c r="J45" i="60"/>
  <c r="I45" i="60"/>
  <c r="J44" i="60"/>
  <c r="I44" i="60"/>
  <c r="H44" i="60"/>
  <c r="G44" i="60"/>
  <c r="J43" i="60"/>
  <c r="I43" i="60"/>
  <c r="J42" i="60"/>
  <c r="I42" i="60"/>
  <c r="H42" i="60"/>
  <c r="G42" i="60"/>
  <c r="J41" i="60"/>
  <c r="I41" i="60"/>
  <c r="J40" i="60"/>
  <c r="I40" i="60"/>
  <c r="H40" i="60"/>
  <c r="G40" i="60"/>
  <c r="J39" i="60"/>
  <c r="I39" i="60"/>
  <c r="J38" i="60"/>
  <c r="I38" i="60"/>
  <c r="J37" i="60"/>
  <c r="I37" i="60"/>
  <c r="J36" i="60"/>
  <c r="I36" i="60"/>
  <c r="H36" i="60"/>
  <c r="G36" i="60"/>
  <c r="J35" i="60"/>
  <c r="I35" i="60"/>
  <c r="J34" i="60"/>
  <c r="I34" i="60"/>
  <c r="H34" i="60"/>
  <c r="G34" i="60"/>
  <c r="J33" i="60"/>
  <c r="I33" i="60"/>
  <c r="J32" i="60"/>
  <c r="I32" i="60"/>
  <c r="H32" i="60"/>
  <c r="G32" i="60"/>
  <c r="J31" i="60"/>
  <c r="I31" i="60"/>
  <c r="H30" i="60"/>
  <c r="G30" i="60"/>
  <c r="J29" i="60"/>
  <c r="I29" i="60"/>
  <c r="J28" i="60"/>
  <c r="I28" i="60"/>
  <c r="H28" i="60"/>
  <c r="G28" i="60"/>
  <c r="H26" i="60"/>
  <c r="G26" i="60"/>
  <c r="H24" i="60"/>
  <c r="G24" i="60"/>
  <c r="J23" i="60"/>
  <c r="I23" i="60"/>
  <c r="H22" i="60"/>
  <c r="G22" i="60"/>
  <c r="J21" i="60"/>
  <c r="I21" i="60"/>
  <c r="J20" i="60"/>
  <c r="I20" i="60"/>
  <c r="H20" i="60"/>
  <c r="G20" i="60"/>
  <c r="J19" i="60"/>
  <c r="I19" i="60"/>
  <c r="J18" i="60"/>
  <c r="I18" i="60"/>
  <c r="H18" i="60"/>
  <c r="G18" i="60"/>
  <c r="J17" i="60"/>
  <c r="I17" i="60"/>
  <c r="J16" i="60"/>
  <c r="I16" i="60"/>
  <c r="H16" i="60"/>
  <c r="G16" i="60"/>
  <c r="J15" i="60"/>
  <c r="I15" i="60"/>
  <c r="J14" i="60"/>
  <c r="I14" i="60"/>
  <c r="H14" i="60"/>
  <c r="G14" i="60"/>
  <c r="J51" i="59"/>
  <c r="I51" i="59"/>
  <c r="J50" i="59"/>
  <c r="I50" i="59"/>
  <c r="H50" i="59"/>
  <c r="G50" i="59"/>
  <c r="H48" i="59"/>
  <c r="G48" i="59"/>
  <c r="H46" i="59"/>
  <c r="G46" i="59"/>
  <c r="H44" i="59"/>
  <c r="G44" i="59"/>
  <c r="H42" i="59"/>
  <c r="G42" i="59"/>
  <c r="H40" i="59"/>
  <c r="G40" i="59"/>
  <c r="H36" i="59"/>
  <c r="G36" i="59"/>
  <c r="H34" i="59"/>
  <c r="G34" i="59"/>
  <c r="H32" i="59"/>
  <c r="G32" i="59"/>
  <c r="H30" i="59"/>
  <c r="G30" i="59"/>
  <c r="H28" i="59"/>
  <c r="G28" i="59"/>
  <c r="H26" i="59"/>
  <c r="G26" i="59"/>
  <c r="H24" i="59"/>
  <c r="G24" i="59"/>
  <c r="H22" i="59"/>
  <c r="G22" i="59"/>
  <c r="H20" i="59"/>
  <c r="G20" i="59"/>
  <c r="H18" i="59"/>
  <c r="G18" i="59"/>
  <c r="H16" i="59"/>
  <c r="G16" i="59"/>
  <c r="H14" i="59"/>
  <c r="G14" i="59"/>
  <c r="J51" i="58"/>
  <c r="I51" i="58"/>
  <c r="J50" i="58"/>
  <c r="I50" i="58"/>
  <c r="H50" i="58"/>
  <c r="G50" i="58"/>
  <c r="H48" i="58"/>
  <c r="G48" i="58"/>
  <c r="J47" i="58"/>
  <c r="I47" i="58"/>
  <c r="J46" i="58"/>
  <c r="I46" i="58"/>
  <c r="H46" i="58"/>
  <c r="G46" i="58"/>
  <c r="J45" i="58"/>
  <c r="I45" i="58"/>
  <c r="J44" i="58"/>
  <c r="I44" i="58"/>
  <c r="H44" i="58"/>
  <c r="G44" i="58"/>
  <c r="J43" i="58"/>
  <c r="I43" i="58"/>
  <c r="J42" i="58"/>
  <c r="I42" i="58"/>
  <c r="H42" i="58"/>
  <c r="G42" i="58"/>
  <c r="J41" i="58"/>
  <c r="I41" i="58"/>
  <c r="H40" i="58"/>
  <c r="G40" i="58"/>
  <c r="H36" i="58"/>
  <c r="G36" i="58"/>
  <c r="H34" i="58"/>
  <c r="G34" i="58"/>
  <c r="J33" i="58"/>
  <c r="I33" i="58"/>
  <c r="H32" i="58"/>
  <c r="G32" i="58"/>
  <c r="H30" i="58"/>
  <c r="G30" i="58"/>
  <c r="H28" i="58"/>
  <c r="G28" i="58"/>
  <c r="H26" i="58"/>
  <c r="G26" i="58"/>
  <c r="J25" i="58"/>
  <c r="I25" i="58"/>
  <c r="J24" i="58"/>
  <c r="I24" i="58"/>
  <c r="H24" i="58"/>
  <c r="G24" i="58"/>
  <c r="J23" i="58"/>
  <c r="I23" i="58"/>
  <c r="H22" i="58"/>
  <c r="G22" i="58"/>
  <c r="J21" i="58"/>
  <c r="I21" i="58"/>
  <c r="J20" i="58"/>
  <c r="I20" i="58"/>
  <c r="H20" i="58"/>
  <c r="G20" i="58"/>
  <c r="H18" i="58"/>
  <c r="G18" i="58"/>
  <c r="J17" i="58"/>
  <c r="I17" i="58"/>
  <c r="J16" i="58"/>
  <c r="I16" i="58"/>
  <c r="H16" i="58"/>
  <c r="G16" i="58"/>
  <c r="H14" i="58"/>
  <c r="G14" i="58"/>
  <c r="J51" i="57"/>
  <c r="I51" i="57"/>
  <c r="J50" i="57"/>
  <c r="I50" i="57"/>
  <c r="H50" i="57"/>
  <c r="G50" i="57"/>
  <c r="J49" i="57"/>
  <c r="I49" i="57"/>
  <c r="H48" i="57"/>
  <c r="G48" i="57"/>
  <c r="J47" i="57"/>
  <c r="I47" i="57"/>
  <c r="J46" i="57"/>
  <c r="I46" i="57"/>
  <c r="H46" i="57"/>
  <c r="G46" i="57"/>
  <c r="J45" i="57"/>
  <c r="I45" i="57"/>
  <c r="J44" i="57"/>
  <c r="I44" i="57"/>
  <c r="H44" i="57"/>
  <c r="G44" i="57"/>
  <c r="J43" i="57"/>
  <c r="I43" i="57"/>
  <c r="J42" i="57"/>
  <c r="I42" i="57"/>
  <c r="H42" i="57"/>
  <c r="G42" i="57"/>
  <c r="H40" i="57"/>
  <c r="G40" i="57"/>
  <c r="J39" i="57"/>
  <c r="I39" i="57"/>
  <c r="J38" i="57"/>
  <c r="I38" i="57"/>
  <c r="J37" i="57"/>
  <c r="I37" i="57"/>
  <c r="J36" i="57"/>
  <c r="I36" i="57"/>
  <c r="H36" i="57"/>
  <c r="G36" i="57"/>
  <c r="J35" i="57"/>
  <c r="I35" i="57"/>
  <c r="J34" i="57"/>
  <c r="I34" i="57"/>
  <c r="H34" i="57"/>
  <c r="G34" i="57"/>
  <c r="J33" i="57"/>
  <c r="I33" i="57"/>
  <c r="H32" i="57"/>
  <c r="G32" i="57"/>
  <c r="J31" i="57"/>
  <c r="I31" i="57"/>
  <c r="H30" i="57"/>
  <c r="G30" i="57"/>
  <c r="J29" i="57"/>
  <c r="I29" i="57"/>
  <c r="J28" i="57"/>
  <c r="I28" i="57"/>
  <c r="H28" i="57"/>
  <c r="G28" i="57"/>
  <c r="H26" i="57"/>
  <c r="G26" i="57"/>
  <c r="H24" i="57"/>
  <c r="G24" i="57"/>
  <c r="H22" i="57"/>
  <c r="G22" i="57"/>
  <c r="J21" i="57"/>
  <c r="I21" i="57"/>
  <c r="J20" i="57"/>
  <c r="I20" i="57"/>
  <c r="H20" i="57"/>
  <c r="G20" i="57"/>
  <c r="J19" i="57"/>
  <c r="I19" i="57"/>
  <c r="J18" i="57"/>
  <c r="I18" i="57"/>
  <c r="H18" i="57"/>
  <c r="G18" i="57"/>
  <c r="J17" i="57"/>
  <c r="I17" i="57"/>
  <c r="J16" i="57"/>
  <c r="I16" i="57"/>
  <c r="H16" i="57"/>
  <c r="G16" i="57"/>
  <c r="H14" i="57"/>
  <c r="G14" i="57"/>
  <c r="J50" i="56"/>
  <c r="I50" i="56"/>
  <c r="H50" i="56"/>
  <c r="G50" i="56"/>
  <c r="H48" i="56"/>
  <c r="G48" i="56"/>
  <c r="J47" i="56"/>
  <c r="I47" i="56"/>
  <c r="J46" i="56"/>
  <c r="I46" i="56"/>
  <c r="H46" i="56"/>
  <c r="G46" i="56"/>
  <c r="J45" i="56"/>
  <c r="I45" i="56"/>
  <c r="J44" i="56"/>
  <c r="I44" i="56"/>
  <c r="H44" i="56"/>
  <c r="G44" i="56"/>
  <c r="J43" i="56"/>
  <c r="I43" i="56"/>
  <c r="J42" i="56"/>
  <c r="I42" i="56"/>
  <c r="H42" i="56"/>
  <c r="G42" i="56"/>
  <c r="J41" i="56"/>
  <c r="I41" i="56"/>
  <c r="H40" i="56"/>
  <c r="G40" i="56"/>
  <c r="J39" i="56"/>
  <c r="I39" i="56"/>
  <c r="J38" i="56"/>
  <c r="I38" i="56"/>
  <c r="J37" i="56"/>
  <c r="I37" i="56"/>
  <c r="J36" i="56"/>
  <c r="I36" i="56"/>
  <c r="H36" i="56"/>
  <c r="G36" i="56"/>
  <c r="J35" i="56"/>
  <c r="I35" i="56"/>
  <c r="J34" i="56"/>
  <c r="I34" i="56"/>
  <c r="H34" i="56"/>
  <c r="G34" i="56"/>
  <c r="J33" i="56"/>
  <c r="I33" i="56"/>
  <c r="J32" i="56"/>
  <c r="I32" i="56"/>
  <c r="H32" i="56"/>
  <c r="G32" i="56"/>
  <c r="J31" i="56"/>
  <c r="I31" i="56"/>
  <c r="H30" i="56"/>
  <c r="G30" i="56"/>
  <c r="J29" i="56"/>
  <c r="I29" i="56"/>
  <c r="J28" i="56"/>
  <c r="I28" i="56"/>
  <c r="H28" i="56"/>
  <c r="G28" i="56"/>
  <c r="J27" i="56"/>
  <c r="I27" i="56"/>
  <c r="J26" i="56"/>
  <c r="I26" i="56"/>
  <c r="H26" i="56"/>
  <c r="G26" i="56"/>
  <c r="J25" i="56"/>
  <c r="I25" i="56"/>
  <c r="J24" i="56"/>
  <c r="I24" i="56"/>
  <c r="H24" i="56"/>
  <c r="G24" i="56"/>
  <c r="H22" i="56"/>
  <c r="G22" i="56"/>
  <c r="J21" i="56"/>
  <c r="I21" i="56"/>
  <c r="J20" i="56"/>
  <c r="I20" i="56"/>
  <c r="H20" i="56"/>
  <c r="G20" i="56"/>
  <c r="J19" i="56"/>
  <c r="I19" i="56"/>
  <c r="J18" i="56"/>
  <c r="I18" i="56"/>
  <c r="H18" i="56"/>
  <c r="G18" i="56"/>
  <c r="J17" i="56"/>
  <c r="I17" i="56"/>
  <c r="J16" i="56"/>
  <c r="I16" i="56"/>
  <c r="H16" i="56"/>
  <c r="G16" i="56"/>
  <c r="H14" i="56"/>
  <c r="G14" i="56"/>
  <c r="J51" i="55"/>
  <c r="I51" i="55"/>
  <c r="J50" i="55"/>
  <c r="I50" i="55"/>
  <c r="H50" i="55"/>
  <c r="G50" i="55"/>
  <c r="J49" i="55"/>
  <c r="I49" i="55"/>
  <c r="H48" i="55"/>
  <c r="G48" i="55"/>
  <c r="J47" i="55"/>
  <c r="I47" i="55"/>
  <c r="J46" i="55"/>
  <c r="I46" i="55"/>
  <c r="H46" i="55"/>
  <c r="G46" i="55"/>
  <c r="J45" i="55"/>
  <c r="I45" i="55"/>
  <c r="J44" i="55"/>
  <c r="I44" i="55"/>
  <c r="H44" i="55"/>
  <c r="G44" i="55"/>
  <c r="J43" i="55"/>
  <c r="I43" i="55"/>
  <c r="J42" i="55"/>
  <c r="I42" i="55"/>
  <c r="H42" i="55"/>
  <c r="G42" i="55"/>
  <c r="J41" i="55"/>
  <c r="I41" i="55"/>
  <c r="J40" i="55"/>
  <c r="I40" i="55"/>
  <c r="H40" i="55"/>
  <c r="G40" i="55"/>
  <c r="J39" i="55"/>
  <c r="I39" i="55"/>
  <c r="J38" i="55"/>
  <c r="I38" i="55"/>
  <c r="H36" i="55"/>
  <c r="G36" i="55"/>
  <c r="J35" i="55"/>
  <c r="I35" i="55"/>
  <c r="J34" i="55"/>
  <c r="I34" i="55"/>
  <c r="H34" i="55"/>
  <c r="G34" i="55"/>
  <c r="J33" i="55"/>
  <c r="I33" i="55"/>
  <c r="J32" i="55"/>
  <c r="I32" i="55"/>
  <c r="H32" i="55"/>
  <c r="G32" i="55"/>
  <c r="J31" i="55"/>
  <c r="I31" i="55"/>
  <c r="H30" i="55"/>
  <c r="G30" i="55"/>
  <c r="H28" i="55"/>
  <c r="G28" i="55"/>
  <c r="H26" i="55"/>
  <c r="G26" i="55"/>
  <c r="H24" i="55"/>
  <c r="G24" i="55"/>
  <c r="H22" i="55"/>
  <c r="G22" i="55"/>
  <c r="J21" i="55"/>
  <c r="I21" i="55"/>
  <c r="J20" i="55"/>
  <c r="I20" i="55"/>
  <c r="H20" i="55"/>
  <c r="G20" i="55"/>
  <c r="J19" i="55"/>
  <c r="I19" i="55"/>
  <c r="J18" i="55"/>
  <c r="I18" i="55"/>
  <c r="H18" i="55"/>
  <c r="G18" i="55"/>
  <c r="J17" i="55"/>
  <c r="I17" i="55"/>
  <c r="J16" i="55"/>
  <c r="I16" i="55"/>
  <c r="H16" i="55"/>
  <c r="G16" i="55"/>
  <c r="H14" i="55"/>
  <c r="G14" i="55"/>
  <c r="J51" i="54"/>
  <c r="I51" i="54"/>
  <c r="J50" i="54"/>
  <c r="I50" i="54"/>
  <c r="H50" i="54"/>
  <c r="G50" i="54"/>
  <c r="J49" i="54"/>
  <c r="I49" i="54"/>
  <c r="J48" i="54"/>
  <c r="I48" i="54"/>
  <c r="H48" i="54"/>
  <c r="G48" i="54"/>
  <c r="J47" i="54"/>
  <c r="I47" i="54"/>
  <c r="J46" i="54"/>
  <c r="I46" i="54"/>
  <c r="H46" i="54"/>
  <c r="G46" i="54"/>
  <c r="J45" i="54"/>
  <c r="I45" i="54"/>
  <c r="J44" i="54"/>
  <c r="I44" i="54"/>
  <c r="H44" i="54"/>
  <c r="G44" i="54"/>
  <c r="J43" i="54"/>
  <c r="I43" i="54"/>
  <c r="J42" i="54"/>
  <c r="I42" i="54"/>
  <c r="H42" i="54"/>
  <c r="G42" i="54"/>
  <c r="J41" i="54"/>
  <c r="I41" i="54"/>
  <c r="J40" i="54"/>
  <c r="I40" i="54"/>
  <c r="H40" i="54"/>
  <c r="G40" i="54"/>
  <c r="J39" i="54"/>
  <c r="I39" i="54"/>
  <c r="J38" i="54"/>
  <c r="I38" i="54"/>
  <c r="J37" i="54"/>
  <c r="I37" i="54"/>
  <c r="H36" i="54"/>
  <c r="G36" i="54"/>
  <c r="H34" i="54"/>
  <c r="G34" i="54"/>
  <c r="H32" i="54"/>
  <c r="G32" i="54"/>
  <c r="H30" i="54"/>
  <c r="G30" i="54"/>
  <c r="H28" i="54"/>
  <c r="G28" i="54"/>
  <c r="H26" i="54"/>
  <c r="G26" i="54"/>
  <c r="H24" i="54"/>
  <c r="G24" i="54"/>
  <c r="H22" i="54"/>
  <c r="G22" i="54"/>
  <c r="J21" i="54"/>
  <c r="I21" i="54"/>
  <c r="J20" i="54"/>
  <c r="I20" i="54"/>
  <c r="H20" i="54"/>
  <c r="G20" i="54"/>
  <c r="J19" i="54"/>
  <c r="I19" i="54"/>
  <c r="H18" i="54"/>
  <c r="G18" i="54"/>
  <c r="J17" i="54"/>
  <c r="I17" i="54"/>
  <c r="J16" i="54"/>
  <c r="I16" i="54"/>
  <c r="H16" i="54"/>
  <c r="G16" i="54"/>
  <c r="H14" i="54"/>
  <c r="G14" i="54"/>
  <c r="J51" i="53"/>
  <c r="I51" i="53"/>
  <c r="J50" i="53"/>
  <c r="I50" i="53"/>
  <c r="H50" i="53"/>
  <c r="G50" i="53"/>
  <c r="J49" i="53"/>
  <c r="I49" i="53"/>
  <c r="J48" i="53"/>
  <c r="I48" i="53"/>
  <c r="H48" i="53"/>
  <c r="G48" i="53"/>
  <c r="J47" i="53"/>
  <c r="I47" i="53"/>
  <c r="J46" i="53"/>
  <c r="I46" i="53"/>
  <c r="H46" i="53"/>
  <c r="G46" i="53"/>
  <c r="J45" i="53"/>
  <c r="I45" i="53"/>
  <c r="J44" i="53"/>
  <c r="I44" i="53"/>
  <c r="H44" i="53"/>
  <c r="G44" i="53"/>
  <c r="J43" i="53"/>
  <c r="I43" i="53"/>
  <c r="J42" i="53"/>
  <c r="I42" i="53"/>
  <c r="H42" i="53"/>
  <c r="G42" i="53"/>
  <c r="J41" i="53"/>
  <c r="I41" i="53"/>
  <c r="J40" i="53"/>
  <c r="I40" i="53"/>
  <c r="H40" i="53"/>
  <c r="G40" i="53"/>
  <c r="J39" i="53"/>
  <c r="I39" i="53"/>
  <c r="J38" i="53"/>
  <c r="I38" i="53"/>
  <c r="J37" i="53"/>
  <c r="I37" i="53"/>
  <c r="J36" i="53"/>
  <c r="I36" i="53"/>
  <c r="H36" i="53"/>
  <c r="G36" i="53"/>
  <c r="H34" i="53"/>
  <c r="G34" i="53"/>
  <c r="H32" i="53"/>
  <c r="G32" i="53"/>
  <c r="J31" i="53"/>
  <c r="I31" i="53"/>
  <c r="H30" i="53"/>
  <c r="G30" i="53"/>
  <c r="J29" i="53"/>
  <c r="I29" i="53"/>
  <c r="J28" i="53"/>
  <c r="I28" i="53"/>
  <c r="H28" i="53"/>
  <c r="G28" i="53"/>
  <c r="J27" i="53"/>
  <c r="I27" i="53"/>
  <c r="H26" i="53"/>
  <c r="G26" i="53"/>
  <c r="J24" i="53"/>
  <c r="I24" i="53"/>
  <c r="H24" i="53"/>
  <c r="G24" i="53"/>
  <c r="H22" i="53"/>
  <c r="G22" i="53"/>
  <c r="J21" i="53"/>
  <c r="I21" i="53"/>
  <c r="J20" i="53"/>
  <c r="I20" i="53"/>
  <c r="H20" i="53"/>
  <c r="G20" i="53"/>
  <c r="J19" i="53"/>
  <c r="I19" i="53"/>
  <c r="J18" i="53"/>
  <c r="I18" i="53"/>
  <c r="H18" i="53"/>
  <c r="G18" i="53"/>
  <c r="J17" i="53"/>
  <c r="I17" i="53"/>
  <c r="J16" i="53"/>
  <c r="I16" i="53"/>
  <c r="H16" i="53"/>
  <c r="G16" i="53"/>
  <c r="H14" i="53"/>
  <c r="G14" i="53"/>
  <c r="J51" i="52"/>
  <c r="I51" i="52"/>
  <c r="H50" i="52"/>
  <c r="G50" i="52"/>
  <c r="H48" i="52"/>
  <c r="G48" i="52"/>
  <c r="J47" i="52"/>
  <c r="I47" i="52"/>
  <c r="J46" i="52"/>
  <c r="I46" i="52"/>
  <c r="H46" i="52"/>
  <c r="G46" i="52"/>
  <c r="J45" i="52"/>
  <c r="I45" i="52"/>
  <c r="J44" i="52"/>
  <c r="I44" i="52"/>
  <c r="H44" i="52"/>
  <c r="G44" i="52"/>
  <c r="J43" i="52"/>
  <c r="I43" i="52"/>
  <c r="J42" i="52"/>
  <c r="I42" i="52"/>
  <c r="H42" i="52"/>
  <c r="G42" i="52"/>
  <c r="J41" i="52"/>
  <c r="I41" i="52"/>
  <c r="H40" i="52"/>
  <c r="G40" i="52"/>
  <c r="H36" i="52"/>
  <c r="G36" i="52"/>
  <c r="J35" i="52"/>
  <c r="I35" i="52"/>
  <c r="J34" i="52"/>
  <c r="I34" i="52"/>
  <c r="H34" i="52"/>
  <c r="G34" i="52"/>
  <c r="J33" i="52"/>
  <c r="I33" i="52"/>
  <c r="J32" i="52"/>
  <c r="I32" i="52"/>
  <c r="H32" i="52"/>
  <c r="G32" i="52"/>
  <c r="J31" i="52"/>
  <c r="I31" i="52"/>
  <c r="H30" i="52"/>
  <c r="G30" i="52"/>
  <c r="H28" i="52"/>
  <c r="G28" i="52"/>
  <c r="H26" i="52"/>
  <c r="G26" i="52"/>
  <c r="H24" i="52"/>
  <c r="G24" i="52"/>
  <c r="H22" i="52"/>
  <c r="G22" i="52"/>
  <c r="H20" i="52"/>
  <c r="G20" i="52"/>
  <c r="H18" i="52"/>
  <c r="G18" i="52"/>
  <c r="J17" i="52"/>
  <c r="I17" i="52"/>
  <c r="J16" i="52"/>
  <c r="I16" i="52"/>
  <c r="H16" i="52"/>
  <c r="G16" i="52"/>
  <c r="J15" i="52"/>
  <c r="I15" i="52"/>
  <c r="H14" i="52"/>
  <c r="G14" i="52"/>
  <c r="J51" i="51"/>
  <c r="I51" i="51"/>
  <c r="J50" i="51"/>
  <c r="I50" i="51"/>
  <c r="H50" i="51"/>
  <c r="G50" i="51"/>
  <c r="H48" i="51"/>
  <c r="G48" i="51"/>
  <c r="J46" i="51"/>
  <c r="I46" i="51"/>
  <c r="H46" i="51"/>
  <c r="G46" i="51"/>
  <c r="J45" i="51"/>
  <c r="I45" i="51"/>
  <c r="J44" i="51"/>
  <c r="I44" i="51"/>
  <c r="H44" i="51"/>
  <c r="G44" i="51"/>
  <c r="J43" i="51"/>
  <c r="I43" i="51"/>
  <c r="J42" i="51"/>
  <c r="I42" i="51"/>
  <c r="H42" i="51"/>
  <c r="G42" i="51"/>
  <c r="J41" i="51"/>
  <c r="I41" i="51"/>
  <c r="J40" i="51"/>
  <c r="I40" i="51"/>
  <c r="H40" i="51"/>
  <c r="G40" i="51"/>
  <c r="J39" i="51"/>
  <c r="I39" i="51"/>
  <c r="J38" i="51"/>
  <c r="I38" i="51"/>
  <c r="J37" i="51"/>
  <c r="I37" i="51"/>
  <c r="J36" i="51"/>
  <c r="I36" i="51"/>
  <c r="H36" i="51"/>
  <c r="G36" i="51"/>
  <c r="J35" i="51"/>
  <c r="I35" i="51"/>
  <c r="J34" i="51"/>
  <c r="I34" i="51"/>
  <c r="H34" i="51"/>
  <c r="G34" i="51"/>
  <c r="J33" i="51"/>
  <c r="I33" i="51"/>
  <c r="J32" i="51"/>
  <c r="I32" i="51"/>
  <c r="H32" i="51"/>
  <c r="G32" i="51"/>
  <c r="J31" i="51"/>
  <c r="I31" i="51"/>
  <c r="H30" i="51"/>
  <c r="G30" i="51"/>
  <c r="H28" i="51"/>
  <c r="G28" i="51"/>
  <c r="H26" i="51"/>
  <c r="G26" i="51"/>
  <c r="H24" i="51"/>
  <c r="G24" i="51"/>
  <c r="H22" i="51"/>
  <c r="G22" i="51"/>
  <c r="J21" i="51"/>
  <c r="I21" i="51"/>
  <c r="J20" i="51"/>
  <c r="I20" i="51"/>
  <c r="H20" i="51"/>
  <c r="G20" i="51"/>
  <c r="J19" i="51"/>
  <c r="I19" i="51"/>
  <c r="H18" i="51"/>
  <c r="G18" i="51"/>
  <c r="J17" i="51"/>
  <c r="I17" i="51"/>
  <c r="J16" i="51"/>
  <c r="I16" i="51"/>
  <c r="H16" i="51"/>
  <c r="G16" i="51"/>
  <c r="J15" i="51"/>
  <c r="I15" i="51"/>
  <c r="H14" i="51"/>
  <c r="G14" i="51"/>
  <c r="J43" i="49"/>
  <c r="I43" i="49"/>
  <c r="J42" i="49"/>
  <c r="I42" i="49"/>
  <c r="H42" i="49"/>
  <c r="G42" i="49"/>
  <c r="H40" i="49"/>
  <c r="G40" i="49"/>
  <c r="J39" i="49"/>
  <c r="I39" i="49"/>
  <c r="J38" i="49"/>
  <c r="I38" i="49"/>
  <c r="J37" i="49"/>
  <c r="I37" i="49"/>
  <c r="J36" i="49"/>
  <c r="I36" i="49"/>
  <c r="H36" i="49"/>
  <c r="G36" i="49"/>
  <c r="J35" i="49"/>
  <c r="I35" i="49"/>
  <c r="J34" i="49"/>
  <c r="I34" i="49"/>
  <c r="H34" i="49"/>
  <c r="G34" i="49"/>
  <c r="J33" i="49"/>
  <c r="I33" i="49"/>
  <c r="J32" i="49"/>
  <c r="I32" i="49"/>
  <c r="H32" i="49"/>
  <c r="G32" i="49"/>
  <c r="J31" i="49"/>
  <c r="I31" i="49"/>
  <c r="H30" i="49"/>
  <c r="G30" i="49"/>
  <c r="H28" i="49"/>
  <c r="G28" i="49"/>
  <c r="J27" i="49"/>
  <c r="I27" i="49"/>
  <c r="J26" i="49"/>
  <c r="I26" i="49"/>
  <c r="H26" i="49"/>
  <c r="G26" i="49"/>
  <c r="J25" i="49"/>
  <c r="I25" i="49"/>
  <c r="J24" i="49"/>
  <c r="I24" i="49"/>
  <c r="H24" i="49"/>
  <c r="G24" i="49"/>
  <c r="J23" i="49"/>
  <c r="I23" i="49"/>
  <c r="H22" i="49"/>
  <c r="G22" i="49"/>
  <c r="J21" i="49"/>
  <c r="I21" i="49"/>
  <c r="J20" i="49"/>
  <c r="I20" i="49"/>
  <c r="H20" i="49"/>
  <c r="G20" i="49"/>
  <c r="H18" i="49"/>
  <c r="G18" i="49"/>
  <c r="J17" i="49"/>
  <c r="I17" i="49"/>
  <c r="J16" i="49"/>
  <c r="I16" i="49"/>
  <c r="H16" i="49"/>
  <c r="G16" i="49"/>
  <c r="H14" i="49"/>
  <c r="G14" i="49"/>
  <c r="J51" i="48"/>
  <c r="I51" i="48"/>
  <c r="J50" i="48"/>
  <c r="I50" i="48"/>
  <c r="H50" i="48"/>
  <c r="G50" i="48"/>
  <c r="J49" i="48"/>
  <c r="I49" i="48"/>
  <c r="H48" i="48"/>
  <c r="G48" i="48"/>
  <c r="J46" i="48"/>
  <c r="I46" i="48"/>
  <c r="H46" i="48"/>
  <c r="G46" i="48"/>
  <c r="J45" i="48"/>
  <c r="I45" i="48"/>
  <c r="J44" i="48"/>
  <c r="I44" i="48"/>
  <c r="H44" i="48"/>
  <c r="G44" i="48"/>
  <c r="J43" i="48"/>
  <c r="I43" i="48"/>
  <c r="J42" i="48"/>
  <c r="I42" i="48"/>
  <c r="H42" i="48"/>
  <c r="G42" i="48"/>
  <c r="H40" i="48"/>
  <c r="G40" i="48"/>
  <c r="H36" i="48"/>
  <c r="G36" i="48"/>
  <c r="H34" i="48"/>
  <c r="G34" i="48"/>
  <c r="H32" i="48"/>
  <c r="G32" i="48"/>
  <c r="J31" i="48"/>
  <c r="I31" i="48"/>
  <c r="H30" i="48"/>
  <c r="G30" i="48"/>
  <c r="J29" i="48"/>
  <c r="I29" i="48"/>
  <c r="J28" i="48"/>
  <c r="I28" i="48"/>
  <c r="H28" i="48"/>
  <c r="G28" i="48"/>
  <c r="H26" i="48"/>
  <c r="G26" i="48"/>
  <c r="H24" i="48"/>
  <c r="G24" i="48"/>
  <c r="H22" i="48"/>
  <c r="G22" i="48"/>
  <c r="J21" i="48"/>
  <c r="I21" i="48"/>
  <c r="J20" i="48"/>
  <c r="I20" i="48"/>
  <c r="H20" i="48"/>
  <c r="G20" i="48"/>
  <c r="J19" i="48"/>
  <c r="I19" i="48"/>
  <c r="J18" i="48"/>
  <c r="I18" i="48"/>
  <c r="H18" i="48"/>
  <c r="G18" i="48"/>
  <c r="J17" i="48"/>
  <c r="I17" i="48"/>
  <c r="J16" i="48"/>
  <c r="I16" i="48"/>
  <c r="H16" i="48"/>
  <c r="G16" i="48"/>
  <c r="H14" i="48"/>
  <c r="G14" i="48"/>
  <c r="J51" i="47"/>
  <c r="I51" i="47"/>
  <c r="J50" i="47"/>
  <c r="I50" i="47"/>
  <c r="H50" i="47"/>
  <c r="G50" i="47"/>
  <c r="H48" i="47"/>
  <c r="G48" i="47"/>
  <c r="H46" i="47"/>
  <c r="G46" i="47"/>
  <c r="J45" i="47"/>
  <c r="I45" i="47"/>
  <c r="J44" i="47"/>
  <c r="I44" i="47"/>
  <c r="H44" i="47"/>
  <c r="G44" i="47"/>
  <c r="J43" i="47"/>
  <c r="I43" i="47"/>
  <c r="J42" i="47"/>
  <c r="I42" i="47"/>
  <c r="H42" i="47"/>
  <c r="G42" i="47"/>
  <c r="J41" i="47"/>
  <c r="I41" i="47"/>
  <c r="J40" i="47"/>
  <c r="I40" i="47"/>
  <c r="H40" i="47"/>
  <c r="G40" i="47"/>
  <c r="J39" i="47"/>
  <c r="I39" i="47"/>
  <c r="J38" i="47"/>
  <c r="I38" i="47"/>
  <c r="H36" i="47"/>
  <c r="G36" i="47"/>
  <c r="H34" i="47"/>
  <c r="G34" i="47"/>
  <c r="H32" i="47"/>
  <c r="G32" i="47"/>
  <c r="H30" i="47"/>
  <c r="G30" i="47"/>
  <c r="J29" i="47"/>
  <c r="I29" i="47"/>
  <c r="J28" i="47"/>
  <c r="I28" i="47"/>
  <c r="H28" i="47"/>
  <c r="G28" i="47"/>
  <c r="H26" i="47"/>
  <c r="G26" i="47"/>
  <c r="J25" i="47"/>
  <c r="I25" i="47"/>
  <c r="J24" i="47"/>
  <c r="I24" i="47"/>
  <c r="H24" i="47"/>
  <c r="G24" i="47"/>
  <c r="H22" i="47"/>
  <c r="G22" i="47"/>
  <c r="J21" i="47"/>
  <c r="I21" i="47"/>
  <c r="J20" i="47"/>
  <c r="I20" i="47"/>
  <c r="H20" i="47"/>
  <c r="G20" i="47"/>
  <c r="J19" i="47"/>
  <c r="I19" i="47"/>
  <c r="J18" i="47"/>
  <c r="I18" i="47"/>
  <c r="H18" i="47"/>
  <c r="G18" i="47"/>
  <c r="J17" i="47"/>
  <c r="I17" i="47"/>
  <c r="J16" i="47"/>
  <c r="I16" i="47"/>
  <c r="H16" i="47"/>
  <c r="G16" i="47"/>
  <c r="H14" i="47"/>
  <c r="G14" i="47"/>
  <c r="J51" i="46"/>
  <c r="I51" i="46"/>
  <c r="H50" i="46"/>
  <c r="G50" i="46"/>
  <c r="H48" i="46"/>
  <c r="G48" i="46"/>
  <c r="H46" i="46"/>
  <c r="G46" i="46"/>
  <c r="J45" i="46"/>
  <c r="I45" i="46"/>
  <c r="J44" i="46"/>
  <c r="I44" i="46"/>
  <c r="H44" i="46"/>
  <c r="G44" i="46"/>
  <c r="J43" i="46"/>
  <c r="I43" i="46"/>
  <c r="J42" i="46"/>
  <c r="I42" i="46"/>
  <c r="H42" i="46"/>
  <c r="G42" i="46"/>
  <c r="H40" i="46"/>
  <c r="G40" i="46"/>
  <c r="J37" i="46"/>
  <c r="I37" i="46"/>
  <c r="J36" i="46"/>
  <c r="I36" i="46"/>
  <c r="H36" i="46"/>
  <c r="G36" i="46"/>
  <c r="J35" i="46"/>
  <c r="I35" i="46"/>
  <c r="H34" i="46"/>
  <c r="G34" i="46"/>
  <c r="J33" i="46"/>
  <c r="I33" i="46"/>
  <c r="J32" i="46"/>
  <c r="I32" i="46"/>
  <c r="H32" i="46"/>
  <c r="G32" i="46"/>
  <c r="J31" i="46"/>
  <c r="I31" i="46"/>
  <c r="H30" i="46"/>
  <c r="G30" i="46"/>
  <c r="H28" i="46"/>
  <c r="G28" i="46"/>
  <c r="H26" i="46"/>
  <c r="G26" i="46"/>
  <c r="H24" i="46"/>
  <c r="G24" i="46"/>
  <c r="H22" i="46"/>
  <c r="G22" i="46"/>
  <c r="J21" i="46"/>
  <c r="I21" i="46"/>
  <c r="J20" i="46"/>
  <c r="I20" i="46"/>
  <c r="H20" i="46"/>
  <c r="G20" i="46"/>
  <c r="J19" i="46"/>
  <c r="I19" i="46"/>
  <c r="J18" i="46"/>
  <c r="I18" i="46"/>
  <c r="H18" i="46"/>
  <c r="G18" i="46"/>
  <c r="J17" i="46"/>
  <c r="I17" i="46"/>
  <c r="J16" i="46"/>
  <c r="I16" i="46"/>
  <c r="H16" i="46"/>
  <c r="G16" i="46"/>
  <c r="H14" i="46"/>
  <c r="G14" i="46"/>
  <c r="J51" i="45"/>
  <c r="I51" i="45"/>
  <c r="J50" i="45"/>
  <c r="I50" i="45"/>
  <c r="H50" i="45"/>
  <c r="G50" i="45"/>
  <c r="H48" i="45"/>
  <c r="G48" i="45"/>
  <c r="J46" i="45"/>
  <c r="I46" i="45"/>
  <c r="H46" i="45"/>
  <c r="G46" i="45"/>
  <c r="J45" i="45"/>
  <c r="I45" i="45"/>
  <c r="J44" i="45"/>
  <c r="I44" i="45"/>
  <c r="H44" i="45"/>
  <c r="G44" i="45"/>
  <c r="J43" i="45"/>
  <c r="I43" i="45"/>
  <c r="J42" i="45"/>
  <c r="I42" i="45"/>
  <c r="H42" i="45"/>
  <c r="G42" i="45"/>
  <c r="H40" i="45"/>
  <c r="G40" i="45"/>
  <c r="J38" i="45"/>
  <c r="I38" i="45"/>
  <c r="J37" i="45"/>
  <c r="I37" i="45"/>
  <c r="J36" i="45"/>
  <c r="I36" i="45"/>
  <c r="H36" i="45"/>
  <c r="G36" i="45"/>
  <c r="H34" i="45"/>
  <c r="G34" i="45"/>
  <c r="J33" i="45"/>
  <c r="I33" i="45"/>
  <c r="J32" i="45"/>
  <c r="I32" i="45"/>
  <c r="H32" i="45"/>
  <c r="G32" i="45"/>
  <c r="J31" i="45"/>
  <c r="I31" i="45"/>
  <c r="H30" i="45"/>
  <c r="G30" i="45"/>
  <c r="H28" i="45"/>
  <c r="G28" i="45"/>
  <c r="H26" i="45"/>
  <c r="G26" i="45"/>
  <c r="H24" i="45"/>
  <c r="G24" i="45"/>
  <c r="H22" i="45"/>
  <c r="G22" i="45"/>
  <c r="J21" i="45"/>
  <c r="I21" i="45"/>
  <c r="J20" i="45"/>
  <c r="I20" i="45"/>
  <c r="H20" i="45"/>
  <c r="G20" i="45"/>
  <c r="H18" i="45"/>
  <c r="G18" i="45"/>
  <c r="J17" i="45"/>
  <c r="I17" i="45"/>
  <c r="J16" i="45"/>
  <c r="I16" i="45"/>
  <c r="H16" i="45"/>
  <c r="G16" i="45"/>
  <c r="H14" i="45"/>
  <c r="G14" i="45"/>
  <c r="J51" i="20"/>
  <c r="I51" i="20"/>
  <c r="J50" i="20"/>
  <c r="I50" i="20"/>
  <c r="H50" i="20"/>
  <c r="G50" i="20"/>
  <c r="H48" i="20"/>
  <c r="G48" i="20"/>
  <c r="J46" i="20"/>
  <c r="I46" i="20"/>
  <c r="H46" i="20"/>
  <c r="G46" i="20"/>
  <c r="J45" i="20"/>
  <c r="I45" i="20"/>
  <c r="J44" i="20"/>
  <c r="I44" i="20"/>
  <c r="H44" i="20"/>
  <c r="G44" i="20"/>
  <c r="J43" i="20"/>
  <c r="I43" i="20"/>
  <c r="J42" i="20"/>
  <c r="I42" i="20"/>
  <c r="H42" i="20"/>
  <c r="G42" i="20"/>
  <c r="J41" i="20"/>
  <c r="I41" i="20"/>
  <c r="J40" i="20"/>
  <c r="I40" i="20"/>
  <c r="H40" i="20"/>
  <c r="G40" i="20"/>
  <c r="J39" i="20"/>
  <c r="I39" i="20"/>
  <c r="J38" i="20"/>
  <c r="I38" i="20"/>
  <c r="J37" i="20"/>
  <c r="I37" i="20"/>
  <c r="J36" i="20"/>
  <c r="I36" i="20"/>
  <c r="H36" i="20"/>
  <c r="G36" i="20"/>
  <c r="H34" i="20"/>
  <c r="G34" i="20"/>
  <c r="H32" i="20"/>
  <c r="G32" i="20"/>
  <c r="J31" i="20"/>
  <c r="I31" i="20"/>
  <c r="H30" i="20"/>
  <c r="G30" i="20"/>
  <c r="J29" i="20"/>
  <c r="I29" i="20"/>
  <c r="J28" i="20"/>
  <c r="I28" i="20"/>
  <c r="H28" i="20"/>
  <c r="G28" i="20"/>
  <c r="J27" i="20"/>
  <c r="I27" i="20"/>
  <c r="H26" i="20"/>
  <c r="G26" i="20"/>
  <c r="J25" i="20"/>
  <c r="I25" i="20"/>
  <c r="J24" i="20"/>
  <c r="I24" i="20"/>
  <c r="H24" i="20"/>
  <c r="G24" i="20"/>
  <c r="J23" i="20"/>
  <c r="I23" i="20"/>
  <c r="H22" i="20"/>
  <c r="G22" i="20"/>
  <c r="J21" i="20"/>
  <c r="I21" i="20"/>
  <c r="J20" i="20"/>
  <c r="I20" i="20"/>
  <c r="H20" i="20"/>
  <c r="G20" i="20"/>
  <c r="J19" i="20"/>
  <c r="I19" i="20"/>
  <c r="J18" i="20"/>
  <c r="I18" i="20"/>
  <c r="H18" i="20"/>
  <c r="G18" i="20"/>
  <c r="J17" i="20"/>
  <c r="I17" i="20"/>
  <c r="J16" i="20"/>
  <c r="I16" i="20"/>
  <c r="H16" i="20"/>
  <c r="G16" i="20"/>
  <c r="H14" i="20"/>
  <c r="G14" i="20"/>
  <c r="J16" i="75"/>
  <c r="J17" i="75"/>
  <c r="J33" i="75"/>
  <c r="J36" i="75"/>
  <c r="J37" i="75"/>
  <c r="J38" i="75"/>
  <c r="J39" i="75"/>
  <c r="J42" i="75"/>
  <c r="J43" i="75"/>
  <c r="J44" i="75"/>
  <c r="J45" i="75"/>
  <c r="J46" i="75"/>
  <c r="J47" i="75"/>
  <c r="J49" i="75"/>
  <c r="J50" i="75"/>
  <c r="J51" i="75"/>
  <c r="I16" i="75"/>
  <c r="I17" i="75"/>
  <c r="I33" i="75"/>
  <c r="I36" i="75"/>
  <c r="I37" i="75"/>
  <c r="I38" i="75"/>
  <c r="I39" i="75"/>
  <c r="I42" i="75"/>
  <c r="I43" i="75"/>
  <c r="I44" i="75"/>
  <c r="I45" i="75"/>
  <c r="I46" i="75"/>
  <c r="I47" i="75"/>
  <c r="I49" i="75"/>
  <c r="I50" i="75"/>
  <c r="I51" i="75"/>
  <c r="H50" i="75"/>
  <c r="G50" i="75"/>
  <c r="H48" i="75"/>
  <c r="G48" i="75"/>
  <c r="H46" i="75"/>
  <c r="G46" i="75"/>
  <c r="H44" i="75"/>
  <c r="G44" i="75"/>
  <c r="H42" i="75"/>
  <c r="G42" i="75"/>
  <c r="H40" i="75"/>
  <c r="G40" i="75"/>
  <c r="H38" i="75"/>
  <c r="G38" i="75"/>
  <c r="H36" i="75"/>
  <c r="G36" i="75"/>
  <c r="H34" i="75"/>
  <c r="G34" i="75"/>
  <c r="H32" i="75"/>
  <c r="G32" i="75"/>
  <c r="H30" i="75"/>
  <c r="G30" i="75"/>
  <c r="H28" i="75"/>
  <c r="G28" i="75"/>
  <c r="H26" i="75"/>
  <c r="G26" i="75"/>
  <c r="H24" i="75"/>
  <c r="G24" i="75"/>
  <c r="H22" i="75"/>
  <c r="G22" i="75"/>
  <c r="H20" i="75"/>
  <c r="G20" i="75"/>
  <c r="H18" i="75"/>
  <c r="G18" i="75"/>
  <c r="H16" i="75"/>
  <c r="G16" i="75"/>
  <c r="H14" i="75"/>
  <c r="G14" i="75"/>
  <c r="M15" i="44"/>
  <c r="M17" i="44"/>
  <c r="M16" i="44" l="1"/>
  <c r="M18" i="44"/>
  <c r="M14" i="44"/>
  <c r="M18" i="79"/>
  <c r="M17" i="79"/>
  <c r="M16" i="79"/>
  <c r="M15" i="79"/>
  <c r="M14" i="79"/>
  <c r="H10" i="79"/>
  <c r="H8" i="79"/>
  <c r="M18" i="77"/>
  <c r="M17" i="77"/>
  <c r="M16" i="77"/>
  <c r="M15" i="77"/>
  <c r="M14" i="77"/>
  <c r="H10" i="77"/>
  <c r="H8" i="77"/>
  <c r="M18" i="76"/>
  <c r="M17" i="76"/>
  <c r="M16" i="76"/>
  <c r="M15" i="76"/>
  <c r="M14" i="76"/>
  <c r="H10" i="76"/>
  <c r="H8" i="76"/>
  <c r="M18" i="75"/>
  <c r="M17" i="75"/>
  <c r="M16" i="75"/>
  <c r="M15" i="75"/>
  <c r="M14" i="75"/>
  <c r="H10" i="75"/>
  <c r="H8" i="75"/>
  <c r="M18" i="74"/>
  <c r="M17" i="74"/>
  <c r="M16" i="74"/>
  <c r="M15" i="74"/>
  <c r="M14" i="74"/>
  <c r="H10" i="74"/>
  <c r="H8" i="74"/>
  <c r="M18" i="73"/>
  <c r="M17" i="73"/>
  <c r="M16" i="73"/>
  <c r="M15" i="73"/>
  <c r="M14" i="73"/>
  <c r="H10" i="73"/>
  <c r="H8" i="73"/>
  <c r="M18" i="72"/>
  <c r="M17" i="72"/>
  <c r="M16" i="72"/>
  <c r="M15" i="72"/>
  <c r="M14" i="72"/>
  <c r="H10" i="72"/>
  <c r="H8" i="72"/>
  <c r="M18" i="71"/>
  <c r="M17" i="71"/>
  <c r="M16" i="71"/>
  <c r="M15" i="71"/>
  <c r="M14" i="71"/>
  <c r="H10" i="71"/>
  <c r="H8" i="71"/>
  <c r="M18" i="70"/>
  <c r="M17" i="70"/>
  <c r="M16" i="70"/>
  <c r="M15" i="70"/>
  <c r="M14" i="70"/>
  <c r="H10" i="70"/>
  <c r="H8" i="70"/>
  <c r="M18" i="69"/>
  <c r="M17" i="69"/>
  <c r="M16" i="69"/>
  <c r="M15" i="69"/>
  <c r="M14" i="69"/>
  <c r="H10" i="69"/>
  <c r="H8" i="69"/>
  <c r="M18" i="68"/>
  <c r="M17" i="68"/>
  <c r="M16" i="68"/>
  <c r="M15" i="68"/>
  <c r="M14" i="68"/>
  <c r="H10" i="68"/>
  <c r="H8" i="68"/>
  <c r="M18" i="67"/>
  <c r="M17" i="67"/>
  <c r="M16" i="67"/>
  <c r="M15" i="67"/>
  <c r="M14" i="67"/>
  <c r="H10" i="67"/>
  <c r="H8" i="67"/>
  <c r="M18" i="66"/>
  <c r="M17" i="66"/>
  <c r="M16" i="66"/>
  <c r="M15" i="66"/>
  <c r="M14" i="66"/>
  <c r="H10" i="66"/>
  <c r="H8" i="66"/>
  <c r="M18" i="65"/>
  <c r="M17" i="65"/>
  <c r="M16" i="65"/>
  <c r="M15" i="65"/>
  <c r="M14" i="65"/>
  <c r="H10" i="65"/>
  <c r="H8" i="65"/>
  <c r="M18" i="64"/>
  <c r="M17" i="64"/>
  <c r="M16" i="64"/>
  <c r="M15" i="64"/>
  <c r="M14" i="64"/>
  <c r="H10" i="64"/>
  <c r="H8" i="64"/>
  <c r="J51" i="63"/>
  <c r="I51" i="63"/>
  <c r="J50" i="63"/>
  <c r="I50" i="63"/>
  <c r="J49" i="63"/>
  <c r="I49" i="63"/>
  <c r="J48" i="63"/>
  <c r="I48" i="63"/>
  <c r="J47" i="63"/>
  <c r="I47" i="63"/>
  <c r="J46" i="63"/>
  <c r="I46" i="63"/>
  <c r="J45" i="63"/>
  <c r="I45" i="63"/>
  <c r="J44" i="63"/>
  <c r="I44" i="63"/>
  <c r="J43" i="63"/>
  <c r="I43" i="63"/>
  <c r="J42" i="63"/>
  <c r="I42" i="63"/>
  <c r="J41" i="63"/>
  <c r="I41" i="63"/>
  <c r="J40" i="63"/>
  <c r="I40" i="63"/>
  <c r="J39" i="63"/>
  <c r="I39" i="63"/>
  <c r="J38" i="63"/>
  <c r="I38" i="63"/>
  <c r="J37" i="63"/>
  <c r="I37" i="63"/>
  <c r="J36" i="63"/>
  <c r="I36" i="63"/>
  <c r="J35" i="63"/>
  <c r="I35" i="63"/>
  <c r="J34" i="63"/>
  <c r="I34" i="63"/>
  <c r="J33" i="63"/>
  <c r="I33" i="63"/>
  <c r="J32" i="63"/>
  <c r="I32" i="63"/>
  <c r="J31" i="63"/>
  <c r="I31" i="63"/>
  <c r="J30" i="63"/>
  <c r="I30" i="63"/>
  <c r="J29" i="63"/>
  <c r="I29" i="63"/>
  <c r="J28" i="63"/>
  <c r="I28" i="63"/>
  <c r="J27" i="63"/>
  <c r="I27" i="63"/>
  <c r="J26" i="63"/>
  <c r="I26" i="63"/>
  <c r="J25" i="63"/>
  <c r="I25" i="63"/>
  <c r="J24" i="63"/>
  <c r="I24" i="63"/>
  <c r="J23" i="63"/>
  <c r="I23" i="63"/>
  <c r="J22" i="63"/>
  <c r="I22" i="63"/>
  <c r="J21" i="63"/>
  <c r="I21" i="63"/>
  <c r="J20" i="63"/>
  <c r="I20" i="63"/>
  <c r="J19" i="63"/>
  <c r="I19" i="63"/>
  <c r="M18" i="63"/>
  <c r="J18" i="63"/>
  <c r="I18" i="63"/>
  <c r="M17" i="63"/>
  <c r="J17" i="63"/>
  <c r="I17" i="63"/>
  <c r="M16" i="63"/>
  <c r="J16" i="63"/>
  <c r="I16" i="63"/>
  <c r="M15" i="63"/>
  <c r="J15" i="63"/>
  <c r="I15" i="63"/>
  <c r="M14" i="63"/>
  <c r="J14" i="63"/>
  <c r="I14" i="63"/>
  <c r="H10" i="63"/>
  <c r="H8" i="63"/>
  <c r="M18" i="62"/>
  <c r="M17" i="62"/>
  <c r="M16" i="62"/>
  <c r="M15" i="62"/>
  <c r="M14" i="62"/>
  <c r="H10" i="62"/>
  <c r="H8" i="62"/>
  <c r="M18" i="61"/>
  <c r="M17" i="61"/>
  <c r="M16" i="61"/>
  <c r="M15" i="61"/>
  <c r="M14" i="61"/>
  <c r="H10" i="61"/>
  <c r="H8" i="61"/>
  <c r="M18" i="60"/>
  <c r="M17" i="60"/>
  <c r="M16" i="60"/>
  <c r="M15" i="60"/>
  <c r="M14" i="60"/>
  <c r="H10" i="60"/>
  <c r="H8" i="60"/>
  <c r="M18" i="59"/>
  <c r="M17" i="59"/>
  <c r="M16" i="59"/>
  <c r="M15" i="59"/>
  <c r="M14" i="59"/>
  <c r="H10" i="59"/>
  <c r="H8" i="59"/>
  <c r="M18" i="58"/>
  <c r="M17" i="58"/>
  <c r="M16" i="58"/>
  <c r="M15" i="58"/>
  <c r="M14" i="58"/>
  <c r="H10" i="58"/>
  <c r="H8" i="58"/>
  <c r="M18" i="57"/>
  <c r="M17" i="57"/>
  <c r="M16" i="57"/>
  <c r="M15" i="57"/>
  <c r="M14" i="57"/>
  <c r="H10" i="57"/>
  <c r="H8" i="57"/>
  <c r="M18" i="56"/>
  <c r="M17" i="56"/>
  <c r="M16" i="56"/>
  <c r="M15" i="56"/>
  <c r="M14" i="56"/>
  <c r="H10" i="56"/>
  <c r="H8" i="56"/>
  <c r="M18" i="55"/>
  <c r="M17" i="55"/>
  <c r="M16" i="55"/>
  <c r="M15" i="55"/>
  <c r="M14" i="55"/>
  <c r="H10" i="55"/>
  <c r="H8" i="55"/>
  <c r="M18" i="54"/>
  <c r="M17" i="54"/>
  <c r="M16" i="54"/>
  <c r="M15" i="54"/>
  <c r="M14" i="54"/>
  <c r="H10" i="54"/>
  <c r="H8" i="54"/>
  <c r="M18" i="53"/>
  <c r="M17" i="53"/>
  <c r="M16" i="53"/>
  <c r="M15" i="53"/>
  <c r="M14" i="53"/>
  <c r="H10" i="53"/>
  <c r="H8" i="53"/>
  <c r="M18" i="52"/>
  <c r="M17" i="52"/>
  <c r="M16" i="52"/>
  <c r="M15" i="52"/>
  <c r="M14" i="52"/>
  <c r="H10" i="52"/>
  <c r="H8" i="52"/>
  <c r="M18" i="51"/>
  <c r="M17" i="51"/>
  <c r="M16" i="51"/>
  <c r="M15" i="51"/>
  <c r="M14" i="51"/>
  <c r="H10" i="51"/>
  <c r="H8" i="51"/>
  <c r="M18" i="49"/>
  <c r="M17" i="49"/>
  <c r="M16" i="49"/>
  <c r="M15" i="49"/>
  <c r="M14" i="49"/>
  <c r="H10" i="49"/>
  <c r="H8" i="49"/>
  <c r="M18" i="48"/>
  <c r="M17" i="48"/>
  <c r="M16" i="48"/>
  <c r="M15" i="48"/>
  <c r="M14" i="48"/>
  <c r="H10" i="48"/>
  <c r="H8" i="48"/>
  <c r="M18" i="47"/>
  <c r="M17" i="47"/>
  <c r="M16" i="47"/>
  <c r="M15" i="47"/>
  <c r="M14" i="47"/>
  <c r="H10" i="47"/>
  <c r="H8" i="47"/>
  <c r="M18" i="46"/>
  <c r="M17" i="46"/>
  <c r="M16" i="46"/>
  <c r="M15" i="46"/>
  <c r="M14" i="46"/>
  <c r="H10" i="46"/>
  <c r="H8" i="46"/>
  <c r="M18" i="45"/>
  <c r="M17" i="45"/>
  <c r="M16" i="45"/>
  <c r="M15" i="45"/>
  <c r="M14" i="45"/>
  <c r="H10" i="45"/>
  <c r="H8" i="45"/>
  <c r="H10" i="20"/>
  <c r="H8" i="20"/>
  <c r="M15" i="20" l="1"/>
  <c r="M14" i="20" l="1"/>
  <c r="M18" i="20"/>
  <c r="M17" i="20"/>
  <c r="M16" i="20"/>
</calcChain>
</file>

<file path=xl/sharedStrings.xml><?xml version="1.0" encoding="utf-8"?>
<sst xmlns="http://schemas.openxmlformats.org/spreadsheetml/2006/main" count="5002" uniqueCount="170">
  <si>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</si>
  <si>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</si>
  <si>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</si>
  <si>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</si>
  <si>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</si>
  <si>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</si>
  <si>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</si>
  <si>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</si>
  <si>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</si>
  <si>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</si>
  <si>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</si>
  <si>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</si>
  <si>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</si>
  <si>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</si>
  <si>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</si>
  <si>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</si>
  <si>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</si>
  <si>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</si>
  <si>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</si>
  <si>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</si>
  <si>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</si>
  <si>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</si>
  <si>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HEPATITIS B UNIDOSIS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</si>
  <si>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</si>
  <si>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</si>
  <si>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</si>
  <si>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</si>
  <si>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</si>
  <si>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</si>
  <si>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</si>
  <si>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</si>
  <si>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</si>
  <si>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</si>
  <si>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</si>
  <si>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</si>
  <si>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</si>
  <si>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</si>
  <si>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</si>
  <si>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</si>
  <si>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</si>
  <si>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</si>
  <si>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</si>
  <si>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</si>
  <si>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</si>
  <si>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</si>
  <si>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</si>
  <si>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</si>
  <si>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</si>
  <si>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>25311.020-000-3822-01</t>
  </si>
  <si>
    <t>25311.020-000-2527-00</t>
  </si>
  <si>
    <t>25311.020-000-6056-01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</si>
  <si>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</si>
  <si>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</si>
  <si>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</si>
  <si>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</si>
  <si>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</si>
  <si>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</si>
  <si>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</si>
  <si>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</si>
  <si>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</si>
  <si>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</si>
  <si>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</si>
  <si>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</si>
  <si>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</si>
  <si>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</si>
  <si>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</si>
  <si>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</si>
  <si>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r>
      <t xml:space="preserve">CONDICIONES DE TRANSPORTE Y ALMACENAMIENTO: </t>
    </r>
    <r>
      <rPr>
        <sz val="22"/>
        <rFont val="Times New Roman"/>
        <family val="1"/>
      </rPr>
      <t>MANTENGASE EN TODO MOMENTO A TEMPERATURA ENTRE 2°C - 8 °C</t>
    </r>
  </si>
  <si>
    <t>TEMPERATURA A LA RECEPCIÓN:</t>
  </si>
  <si>
    <t>FECHA DE  RECEPCIÓN:</t>
  </si>
  <si>
    <t>L.E VERONICA GONZALEZ CONTRERAS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</si>
  <si>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</si>
  <si>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</si>
  <si>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</si>
  <si>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</si>
  <si>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</si>
  <si>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</si>
  <si>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</si>
  <si>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</si>
  <si>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</si>
  <si>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</si>
  <si>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</si>
  <si>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</si>
  <si>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</si>
  <si>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C.S JURICA</t>
  </si>
  <si>
    <t>Privada LiriosS/N, Pueblo de Jurica, Querétaro.</t>
  </si>
  <si>
    <t xml:space="preserve">ENF. LIZBETH URIBE PANTOJA </t>
  </si>
  <si>
    <t>JURISDICCIÓN SANITARIA N.1</t>
  </si>
  <si>
    <t>C.S MENCHACA</t>
  </si>
  <si>
    <t>C.S SAN ANTONIO DE LA PUNTA</t>
  </si>
  <si>
    <t>C.S SAN PABLO</t>
  </si>
  <si>
    <t>C.S FELIPE CARRILLO PUERTO</t>
  </si>
  <si>
    <t>C.S LOMA BONITA</t>
  </si>
  <si>
    <t>C.S JOFRITO</t>
  </si>
  <si>
    <t>C.S MONTENEGRO</t>
  </si>
  <si>
    <t>C.S PIE DE GALLO</t>
  </si>
  <si>
    <t>C.S SAN JOSÉ BUENAVISTA</t>
  </si>
  <si>
    <t>C.S SAN MIGUELITO</t>
  </si>
  <si>
    <t>C.S SANTA MARÍA MAGDALENA</t>
  </si>
  <si>
    <t>C.S LA SOLANA</t>
  </si>
  <si>
    <t>C.S TINAJA DE LA ESTANCIA</t>
  </si>
  <si>
    <t>C.S TLACOTE EL BAJO</t>
  </si>
  <si>
    <t>C.S LÁZARO CÁRDENAS</t>
  </si>
  <si>
    <t>C.S SAN PEDRITO PEÑUELAS</t>
  </si>
  <si>
    <t>C.S MENCHACA NORTE</t>
  </si>
  <si>
    <t>C.S LA GOTERA</t>
  </si>
  <si>
    <t>C.S SAN JOSÉ EL ALTO</t>
  </si>
  <si>
    <t>CARAVANA LA BARRETA</t>
  </si>
  <si>
    <t>C.S. SANTA ROSA JAUREGUI</t>
  </si>
  <si>
    <t>C.S. SAN PEDRO MÁRTIR</t>
  </si>
  <si>
    <t>LIC. LESLIE LÓPEZ ENCISO</t>
  </si>
  <si>
    <t>MUNICIPIO QUERÉTARO</t>
  </si>
  <si>
    <t>Rio Lerma N.215, Menchaca, Querétaro.</t>
  </si>
  <si>
    <t>Hacienda La Gloria N.103, Las Tereas, San Antonio de la Punta, Querétaro.</t>
  </si>
  <si>
    <t>Camino Real N.21, San Pablo, Querétaro.</t>
  </si>
  <si>
    <t>Plata S/N, El Progreso, Carrillo Puerto</t>
  </si>
  <si>
    <t>Creston N.232, Sátelite, Querétaro.</t>
  </si>
  <si>
    <t xml:space="preserve"> Camino Real S/N, Jofrito, Querétaro.</t>
  </si>
  <si>
    <t>Independencia S/N, Montenegro, Querétaro.</t>
  </si>
  <si>
    <t>Benito Juarez S/N, Pie de Gallo, Querétaro</t>
  </si>
  <si>
    <t>Camino Real S/N, San José Buenavista, Querétaro.</t>
  </si>
  <si>
    <t>Hacienda la Solana S/N, San Miguelito,</t>
  </si>
  <si>
    <t>Epigmenio Gonzalez N.20,Santa Maria Magdalena,</t>
  </si>
  <si>
    <t>Las Rosas S/N, La Solana, Querétaro.</t>
  </si>
  <si>
    <t>SIN DOMICILIO</t>
  </si>
  <si>
    <t>Miguel Hidalgo N.327, Tlacote, Querétaro.</t>
  </si>
  <si>
    <t>Carlos A. Madrazo N.3000, Lázaro Cardenas, Querétaro.</t>
  </si>
  <si>
    <t>Pie de la Cuesta N.2253, Lomas de San Pedrito P, SPP, Querétaro.</t>
  </si>
  <si>
    <t>Cerro del Peñon S/N Esquina 18 de Julio, Colinas de Menchaca, Menchaca</t>
  </si>
  <si>
    <t>Juventino Castro S/N, La Gotera, Querétaro.</t>
  </si>
  <si>
    <t>Rio Bravo S/N, Rivera Mexicana, SRJ, Querétaro.</t>
  </si>
  <si>
    <t>Campeche S/N, San José el Alto, Querétaro.</t>
  </si>
  <si>
    <t>Hidalgo S/N, San Pedro Martir, Querétaro.</t>
  </si>
  <si>
    <t>25311.020-000-0150-05</t>
  </si>
  <si>
    <t>25311.020-000-0146-03</t>
  </si>
  <si>
    <t>25311.020-000-3808-02</t>
  </si>
  <si>
    <t>25311.020-000-4172-01</t>
  </si>
  <si>
    <t>FAM MARQUÉS 2 (PALO ALTO)</t>
  </si>
  <si>
    <t>FAM PEDRO ESCOBEDO</t>
  </si>
  <si>
    <t>FAM SAN JOSÉ BUENAVISTA</t>
  </si>
  <si>
    <t>UMME MÉDICO FARMACIA 1</t>
  </si>
  <si>
    <t>UMME AMBULANCIA 1</t>
  </si>
  <si>
    <t>UMME QUERÉTARO</t>
  </si>
  <si>
    <t>UMME LA LUZ</t>
  </si>
  <si>
    <t>UMME CERRO DE LA CRUZ</t>
  </si>
  <si>
    <t>UMME SAN PEDRITO EL OBRAJE</t>
  </si>
  <si>
    <t>UMME RANCHO LARGO</t>
  </si>
  <si>
    <t>UMME MÉDICO DENTAL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</si>
  <si>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</si>
  <si>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L.E LIZBETH URIBE PANTOJA</t>
  </si>
  <si>
    <t>MTRA. ANA MARÍA RAMÍREZ MUNGUÍA</t>
  </si>
  <si>
    <t>25311.020-000-6317-01</t>
  </si>
  <si>
    <t>C.S SATÉLITE</t>
  </si>
  <si>
    <t>C.S LOMAS DE CASABLANCA</t>
  </si>
  <si>
    <t>Cordillera Himalaya S/N, Colinas del poniente, Satélite, Querétaro</t>
  </si>
  <si>
    <t>Abraham Catellanos S/N, Reforma Agraria, Querétaro</t>
  </si>
  <si>
    <t>VACUNA COVID-19</t>
  </si>
  <si>
    <t>1ra ENTREGA DE TEMPORADA INVERNAL</t>
  </si>
  <si>
    <t>25311.020-000-6501-02</t>
  </si>
  <si>
    <t>25311.020-000-6502-00</t>
  </si>
  <si>
    <t>25311.020-000-6187-00</t>
  </si>
  <si>
    <t>VACUNA HEPATITIS A UNIDOSIS</t>
  </si>
  <si>
    <t>25311.020-000-6509-01</t>
  </si>
  <si>
    <t>VACUNA VRS</t>
  </si>
  <si>
    <t>OCTUBRE</t>
  </si>
  <si>
    <t>25311.020-000-6508-01</t>
  </si>
  <si>
    <t xml:space="preserve">VACUNA ANTINEUMOCOCCICA 20 </t>
  </si>
  <si>
    <t>25311.020-000-6506-00</t>
  </si>
  <si>
    <r>
      <t xml:space="preserve">VACUNA COVID-19 </t>
    </r>
    <r>
      <rPr>
        <b/>
        <i/>
        <sz val="18"/>
        <rFont val="Arial Nova"/>
        <family val="2"/>
      </rPr>
      <t>PFIZER</t>
    </r>
  </si>
  <si>
    <r>
      <t xml:space="preserve">VACUNA COVID-19 </t>
    </r>
    <r>
      <rPr>
        <b/>
        <i/>
        <sz val="18"/>
        <rFont val="Arial Nova"/>
        <family val="2"/>
      </rPr>
      <t>MODERNA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</si>
</sst>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40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24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indexed="8"/>
      <name val="Times New Roman"/>
      <family val="1"/>
    </font>
    <font>
      <sz val="16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22"/>
      <name val="Times New Roman"/>
      <family val="1"/>
    </font>
    <font>
      <b/>
      <u/>
      <sz val="16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0" tint="-0.14999847407452621"/>
      <name val="Times New Roman"/>
      <family val="1"/>
    </font>
    <font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  <font>
      <b/>
      <i/>
      <sz val="18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3" fillId="0" borderId="0" xfId="0" applyFont="1" applyAlignment="1">
      <alignment vertical="center"/>
    </xf>
    <xf numFmtId="3" fontId="7" fillId="0" borderId="5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3" fontId="7" fillId="0" borderId="6" xfId="1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7" fontId="7" fillId="0" borderId="6" xfId="0" applyNumberFormat="1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18" fillId="0" borderId="6" xfId="1" applyNumberFormat="1" applyFont="1" applyBorder="1" applyAlignment="1">
      <alignment horizontal="center" vertical="center" wrapText="1"/>
    </xf>
    <xf numFmtId="3" fontId="18" fillId="0" borderId="3" xfId="1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3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17" fontId="7" fillId="0" borderId="5" xfId="1" applyNumberFormat="1" applyFont="1" applyBorder="1" applyAlignment="1">
      <alignment horizontal="center" vertical="center"/>
    </xf>
    <xf numFmtId="17" fontId="7" fillId="0" borderId="6" xfId="1" applyNumberFormat="1" applyFont="1" applyBorder="1" applyAlignment="1">
      <alignment horizontal="center" vertical="center"/>
    </xf>
    <xf numFmtId="0" fontId="11" fillId="0" borderId="0" xfId="0" applyFont="1"/>
    <xf numFmtId="0" fontId="8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right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/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7" fillId="0" borderId="0" xfId="1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" fontId="7" fillId="0" borderId="0" xfId="0" applyNumberFormat="1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17" fontId="9" fillId="0" borderId="0" xfId="0" applyNumberFormat="1" applyFont="1" applyAlignment="1" applyProtection="1">
      <alignment horizontal="center" vertic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7" fontId="7" fillId="0" borderId="3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0" xfId="0" applyFont="1" applyAlignme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right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/>
    <xf numFmtId="0" fontId="26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4" fillId="0" borderId="4" xfId="0" applyFont="1" applyBorder="1" applyAlignment="1">
      <alignment vertical="center"/>
    </xf>
    <xf numFmtId="0" fontId="23" fillId="0" borderId="0" xfId="0" applyFont="1"/>
    <xf numFmtId="0" fontId="26" fillId="2" borderId="13" xfId="0" applyFont="1" applyFill="1" applyBorder="1" applyAlignment="1">
      <alignment horizontal="center" vertical="center" wrapText="1"/>
    </xf>
    <xf numFmtId="0" fontId="27" fillId="0" borderId="0" xfId="0" applyFont="1"/>
    <xf numFmtId="0" fontId="26" fillId="2" borderId="3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/>
    </xf>
    <xf numFmtId="3" fontId="25" fillId="0" borderId="5" xfId="1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17" fontId="25" fillId="0" borderId="5" xfId="1" applyNumberFormat="1" applyFont="1" applyBorder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3" fontId="25" fillId="0" borderId="3" xfId="1" applyNumberFormat="1" applyFont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17" fontId="25" fillId="0" borderId="3" xfId="1" applyNumberFormat="1" applyFont="1" applyBorder="1" applyAlignment="1">
      <alignment horizontal="center" vertical="center"/>
    </xf>
    <xf numFmtId="3" fontId="25" fillId="0" borderId="6" xfId="1" applyNumberFormat="1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17" fontId="25" fillId="0" borderId="6" xfId="1" applyNumberFormat="1" applyFont="1" applyBorder="1" applyAlignment="1">
      <alignment horizontal="center" vertical="center"/>
    </xf>
    <xf numFmtId="17" fontId="25" fillId="0" borderId="6" xfId="0" applyNumberFormat="1" applyFont="1" applyBorder="1" applyAlignment="1">
      <alignment horizontal="center" vertical="center"/>
    </xf>
    <xf numFmtId="17" fontId="25" fillId="0" borderId="3" xfId="0" applyNumberFormat="1" applyFont="1" applyBorder="1" applyAlignment="1">
      <alignment horizontal="center" vertical="center"/>
    </xf>
    <xf numFmtId="3" fontId="31" fillId="0" borderId="6" xfId="1" applyNumberFormat="1" applyFont="1" applyBorder="1" applyAlignment="1">
      <alignment horizontal="center" vertical="center" wrapText="1"/>
    </xf>
    <xf numFmtId="3" fontId="31" fillId="0" borderId="3" xfId="1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0" fontId="33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1" fontId="24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3" fontId="25" fillId="0" borderId="0" xfId="0" applyNumberFormat="1" applyFont="1" applyAlignment="1" applyProtection="1">
      <alignment horizontal="center" vertical="center"/>
      <protection locked="0"/>
    </xf>
    <xf numFmtId="3" fontId="25" fillId="0" borderId="0" xfId="1" applyNumberFormat="1" applyFont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7" fontId="25" fillId="0" borderId="0" xfId="0" applyNumberFormat="1" applyFont="1" applyAlignment="1" applyProtection="1">
      <alignment horizontal="center" vertical="center"/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1" fontId="24" fillId="0" borderId="0" xfId="0" applyNumberFormat="1" applyFont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0" xfId="0" applyFont="1" applyAlignment="1" applyProtection="1">
      <alignment vertical="center" wrapText="1"/>
      <protection locked="0"/>
    </xf>
    <xf numFmtId="17" fontId="27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35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6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8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right" vertical="center"/>
      <protection locked="0"/>
    </xf>
    <xf numFmtId="3" fontId="24" fillId="0" borderId="9" xfId="0" applyNumberFormat="1" applyFont="1" applyBorder="1" applyAlignment="1">
      <alignment horizontal="center" vertical="center"/>
    </xf>
    <xf numFmtId="3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7" fontId="25" fillId="0" borderId="9" xfId="0" applyNumberFormat="1" applyFont="1" applyBorder="1" applyAlignment="1">
      <alignment horizontal="center" vertical="center"/>
    </xf>
    <xf numFmtId="165" fontId="25" fillId="0" borderId="33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 vertical="center"/>
      <protection locked="0"/>
    </xf>
    <xf numFmtId="0" fontId="28" fillId="4" borderId="1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5" fillId="0" borderId="21" xfId="0" applyNumberFormat="1" applyFont="1" applyBorder="1" applyAlignment="1">
      <alignment horizontal="center" vertical="center"/>
    </xf>
    <xf numFmtId="165" fontId="25" fillId="0" borderId="22" xfId="0" applyNumberFormat="1" applyFont="1" applyBorder="1" applyAlignment="1">
      <alignment horizontal="center" vertical="center"/>
    </xf>
    <xf numFmtId="1" fontId="32" fillId="0" borderId="18" xfId="0" applyNumberFormat="1" applyFont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3" fontId="29" fillId="0" borderId="14" xfId="0" applyNumberFormat="1" applyFont="1" applyBorder="1" applyAlignment="1">
      <alignment horizontal="center" vertical="center"/>
    </xf>
    <xf numFmtId="3" fontId="29" fillId="0" borderId="15" xfId="0" applyNumberFormat="1" applyFont="1" applyBorder="1" applyAlignment="1">
      <alignment horizontal="center" vertical="center"/>
    </xf>
    <xf numFmtId="3" fontId="27" fillId="0" borderId="13" xfId="0" applyNumberFormat="1" applyFont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center" vertical="center" wrapText="1"/>
    </xf>
    <xf numFmtId="3" fontId="24" fillId="0" borderId="14" xfId="0" applyNumberFormat="1" applyFont="1" applyBorder="1" applyAlignment="1">
      <alignment horizontal="center" vertical="center"/>
    </xf>
    <xf numFmtId="3" fontId="24" fillId="0" borderId="15" xfId="0" applyNumberFormat="1" applyFont="1" applyBorder="1" applyAlignment="1">
      <alignment horizontal="center" vertical="center"/>
    </xf>
    <xf numFmtId="3" fontId="30" fillId="0" borderId="14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1" fontId="28" fillId="0" borderId="14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3" fontId="27" fillId="0" borderId="14" xfId="0" applyNumberFormat="1" applyFont="1" applyBorder="1" applyAlignment="1">
      <alignment horizontal="center" vertical="center" wrapText="1"/>
    </xf>
    <xf numFmtId="3" fontId="27" fillId="0" borderId="15" xfId="0" applyNumberFormat="1" applyFont="1" applyBorder="1" applyAlignment="1">
      <alignment horizontal="center" vertical="center" wrapText="1"/>
    </xf>
    <xf numFmtId="17" fontId="25" fillId="0" borderId="21" xfId="0" applyNumberFormat="1" applyFont="1" applyBorder="1" applyAlignment="1">
      <alignment horizontal="center" vertical="center"/>
    </xf>
    <xf numFmtId="17" fontId="25" fillId="0" borderId="22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14" fontId="25" fillId="0" borderId="21" xfId="0" applyNumberFormat="1" applyFont="1" applyBorder="1" applyAlignment="1">
      <alignment horizontal="center" vertical="center"/>
    </xf>
    <xf numFmtId="14" fontId="25" fillId="0" borderId="22" xfId="0" applyNumberFormat="1" applyFont="1" applyBorder="1" applyAlignment="1">
      <alignment horizontal="center" vertical="center"/>
    </xf>
    <xf numFmtId="14" fontId="25" fillId="0" borderId="21" xfId="1" applyNumberFormat="1" applyFont="1" applyBorder="1" applyAlignment="1">
      <alignment horizontal="center" vertical="center" wrapText="1"/>
    </xf>
    <xf numFmtId="14" fontId="25" fillId="0" borderId="22" xfId="1" applyNumberFormat="1" applyFont="1" applyBorder="1" applyAlignment="1">
      <alignment horizontal="center" vertical="center" wrapText="1"/>
    </xf>
    <xf numFmtId="14" fontId="25" fillId="0" borderId="24" xfId="1" applyNumberFormat="1" applyFont="1" applyBorder="1" applyAlignment="1">
      <alignment horizontal="center" vertical="center" wrapText="1"/>
    </xf>
    <xf numFmtId="14" fontId="25" fillId="0" borderId="12" xfId="1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horizontal="center" vertical="center"/>
    </xf>
    <xf numFmtId="1" fontId="28" fillId="0" borderId="3" xfId="0" applyNumberFormat="1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14" fontId="25" fillId="0" borderId="11" xfId="1" applyNumberFormat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166" fontId="25" fillId="0" borderId="1" xfId="0" applyNumberFormat="1" applyFont="1" applyBorder="1" applyAlignment="1" applyProtection="1">
      <alignment horizontal="center"/>
      <protection locked="0"/>
    </xf>
    <xf numFmtId="0" fontId="25" fillId="0" borderId="1" xfId="0" applyFont="1" applyBorder="1" applyAlignment="1" applyProtection="1">
      <alignment horizontal="center"/>
      <protection locked="0"/>
    </xf>
    <xf numFmtId="0" fontId="25" fillId="0" borderId="1" xfId="0" applyFont="1" applyBorder="1" applyAlignment="1">
      <alignment horizontal="center" wrapText="1"/>
    </xf>
    <xf numFmtId="0" fontId="28" fillId="0" borderId="6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0" fontId="25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wrapText="1"/>
    </xf>
    <xf numFmtId="14" fontId="7" fillId="0" borderId="24" xfId="1" applyNumberFormat="1" applyFont="1" applyBorder="1" applyAlignment="1">
      <alignment horizontal="center" vertical="center" wrapText="1"/>
    </xf>
    <xf numFmtId="14" fontId="7" fillId="0" borderId="12" xfId="1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3" fontId="13" fillId="0" borderId="14" xfId="0" applyNumberFormat="1" applyFont="1" applyBorder="1" applyAlignment="1">
      <alignment horizontal="center" vertical="center"/>
    </xf>
    <xf numFmtId="3" fontId="13" fillId="0" borderId="15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14" fontId="7" fillId="0" borderId="11" xfId="1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14" fontId="7" fillId="0" borderId="22" xfId="1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7" fontId="7" fillId="0" borderId="21" xfId="0" applyNumberFormat="1" applyFont="1" applyBorder="1" applyAlignment="1">
      <alignment horizontal="center" vertical="center"/>
    </xf>
    <xf numFmtId="17" fontId="7" fillId="0" borderId="22" xfId="0" applyNumberFormat="1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1" fontId="12" fillId="0" borderId="14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2" fillId="4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34" fillId="0" borderId="0" xfId="0" applyFont="1" applyAlignment="1">
      <alignment horizontal="center" vertical="center"/>
    </xf>
    <xf numFmtId="0" fontId="28" fillId="0" borderId="17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EF33B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5F9C8BC-3CE0-49E1-9371-2D3FDDAF222E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75AF0AC-6EC0-4703-9E59-573F2E1BFD9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DEEE2395-C63A-4A57-B1CA-F7975A4753F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86590</xdr:colOff>
      <xdr:row>0</xdr:row>
      <xdr:rowOff>51954</xdr:rowOff>
    </xdr:from>
    <xdr:to>
      <xdr:col>2</xdr:col>
      <xdr:colOff>1056070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F8FB908-7A68-47B2-8017-A1DF83A4A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51954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17318</xdr:colOff>
      <xdr:row>0</xdr:row>
      <xdr:rowOff>51954</xdr:rowOff>
    </xdr:from>
    <xdr:to>
      <xdr:col>10</xdr:col>
      <xdr:colOff>2669013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0F7D18-DFC0-481E-B4C1-C6237539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62102" name="Line 31">
          <a:extLst>
            <a:ext uri="{FF2B5EF4-FFF2-40B4-BE49-F238E27FC236}">
              <a16:creationId xmlns:a16="http://schemas.microsoft.com/office/drawing/2014/main" id="{5105B88D-BDCD-46AF-9464-09E6639B0F26}"/>
            </a:ext>
          </a:extLst>
        </xdr:cNvPr>
        <xdr:cNvSpPr>
          <a:spLocks noChangeShapeType="1"/>
        </xdr:cNvSpPr>
      </xdr:nvSpPr>
      <xdr:spPr bwMode="auto">
        <a:xfrm>
          <a:off x="15163800" y="134397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ADDBBB4-7144-48C7-A6D0-641150CA4B69}"/>
            </a:ext>
          </a:extLst>
        </xdr:cNvPr>
        <xdr:cNvSpPr txBox="1"/>
      </xdr:nvSpPr>
      <xdr:spPr>
        <a:xfrm>
          <a:off x="34924" y="25576440"/>
          <a:ext cx="856521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DA22C670-2F78-458A-9E3E-874F09625023}"/>
            </a:ext>
          </a:extLst>
        </xdr:cNvPr>
        <xdr:cNvSpPr txBox="1"/>
      </xdr:nvSpPr>
      <xdr:spPr>
        <a:xfrm>
          <a:off x="16099960" y="25459899"/>
          <a:ext cx="7975321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3755C5-D8A5-4A0D-9485-BAD89D22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F703907D-3411-4B44-AF8A-6FA55BD3C5F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2169BBC-DF18-4599-8F46-3000212A06B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34637</xdr:rowOff>
    </xdr:from>
    <xdr:to>
      <xdr:col>10</xdr:col>
      <xdr:colOff>2651694</xdr:colOff>
      <xdr:row>4</xdr:row>
      <xdr:rowOff>346364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46D258-075A-4000-B704-0A36CABC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84B263-F365-4EC7-90EC-44B784C80B8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0F47D63-6310-4073-8C5C-5BCCBED5D85C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9E074D-F6F4-4D08-A51C-F0E559826CC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C44E08-8FF7-42F0-90BD-A0ADC809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D37BDC2E-457B-452C-A535-DF101E1661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E53117D-7DA6-43F8-A8DA-B22BDDF48D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3224EB9F-5DAB-47DB-B651-39AAEDE9686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6B7A109-0782-41D8-B75E-9908FF5EC17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51954</xdr:rowOff>
    </xdr:from>
    <xdr:to>
      <xdr:col>11</xdr:col>
      <xdr:colOff>2014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FC4530-60B2-44CF-91D6-D80E4659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9152C22-C898-4D5D-9AE0-8A569C6987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42FEDF0-E194-4D70-9AAA-0D4C92B43730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7FD4D13-1553-4F3D-AB0F-E13E362596E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86590</xdr:colOff>
      <xdr:row>0</xdr:row>
      <xdr:rowOff>34636</xdr:rowOff>
    </xdr:from>
    <xdr:to>
      <xdr:col>2</xdr:col>
      <xdr:colOff>1056070</xdr:colOff>
      <xdr:row>4</xdr:row>
      <xdr:rowOff>346712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B74AF5-83FF-49B9-87F4-719CA5DE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34636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1018725-B754-49B6-B58C-CCA372BF9F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1912AA62-9419-4F8A-ABB4-122012F14B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B1345BA-231B-42EF-B406-9A696421B4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258F59F-DF84-4888-9875-6050D37852B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E79443A5-644B-4318-82FE-D86ACE3D988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AB32BC6-DB64-4FAD-85B7-C7663EDDC2C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6A659D-3F18-47E0-96A1-3FA7FECE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FF68AD7-3F36-426D-8546-0B2C92946C1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5536AC1-811C-4868-8F9B-6824DE40A81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6D21BAE-07C5-4439-8AA3-7D5E22F75413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ECF031-E692-4573-A2E2-32F11EED8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8CB7333-7B22-4B4E-955E-189C511BC304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14C0336-64F8-4EE3-B217-D39C8AEB06D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D685A670-64D6-47A6-8FF0-1FEEAC2199B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0CA961A-94C4-4B8C-80FB-831BC67557B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28582BF-ECC9-4A47-BC28-2D28DAEADD4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5A8BE18-F4DD-4CE5-BC84-766D124527F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BE206CD-155A-4675-A9D9-359D01541F6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48665CB6-0BC9-416C-AEA2-EA5C7251295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149C71-5264-41DB-9F76-E7F136C3E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BEA7FF3-EF7F-44EC-AF0B-6357B9B8CD3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293866D-00A2-41B6-8690-67222113200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E5C22A9-96E7-43F1-A961-F737EA98AEB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86599</xdr:colOff>
      <xdr:row>0</xdr:row>
      <xdr:rowOff>69272</xdr:rowOff>
    </xdr:from>
    <xdr:to>
      <xdr:col>2</xdr:col>
      <xdr:colOff>1056079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E6457-1D11-40E0-A6B9-741DBDF1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9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4B72468-C1F8-4E1C-B9ED-099B91357D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9E1CF71C-1190-4664-9BB4-32598A666C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556CE91-C33C-478F-8A4B-253EB7FC1D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1EF0EF3-6504-4B3A-A1A7-9DC537737B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AD33C2C-CB3B-4857-9A31-FEECBD23D6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6D75053D-9691-419F-B727-A1DC38060D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C055919-B841-4D1F-89E3-98015EE668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DEB6EEC2-E82B-4502-9A17-86F07137AB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AFCD3C8-4E54-43C1-B891-4C036C2900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0705182-0832-4816-A22E-EE81287A59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34635</xdr:colOff>
      <xdr:row>0</xdr:row>
      <xdr:rowOff>34637</xdr:rowOff>
    </xdr:from>
    <xdr:to>
      <xdr:col>11</xdr:col>
      <xdr:colOff>2012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FEDE31-2B77-4976-B254-51B0AD3B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9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F29E8F0-3119-4895-8D2F-EB4AFCD114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043F50-2789-48FF-BC2E-26267E0C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2D0683CE-6639-42B5-86A3-C7D8A91BF6E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DA411A6D-04CB-4956-84EE-2B655BA3831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E536A66-C974-4279-9AAA-A7B46F47F6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B11AB7F-A652-49AC-8D40-51BBC3FFA2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13808A39-F901-4902-9C54-66297C2EE2F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C44F21F-44BD-4475-B8AD-78BF17ABB7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C940D23-1037-4414-B2D1-602419D849D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E56B1781-0C89-4933-8AF7-C7DA1865AA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A5F09BD-F8DA-4BC0-B106-D3380AC8C3E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BB428BA-CB93-4E15-AFEE-DA5763004A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A68E687-849C-417A-A4A2-12E2EFBD78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5C414DA-ACD0-4976-B472-47826BC8F0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439FC34-73DF-4BA3-96BD-85332E29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A5F6C7BE-98AE-4A16-B620-D14D157E0F98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34330CE0-8583-4421-BB04-EF97DA89527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D480C9A-C49D-4A0A-9370-C01DD0C4451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F8C16BF-CE52-4A82-A9E1-65699C45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2256014A-F764-4ABF-85DC-1B70A2953A6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F70F9194-38DD-41E1-A132-7B62A489287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5B864F84-E7E8-44A6-9AFD-91BD8B42EE2A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B5B6F29-9ACE-44FC-9696-7552EC21839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313DF185-2818-4217-AA0B-3ADCB7B209A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FBC3C32-1324-44C4-9360-A06A2274CCA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AF95E703-CC69-4C9D-BF31-73CE9EAE75D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F662871F-5DC7-4F73-9C71-0754D5DD676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147E3403-AC3F-4BC0-B541-4B463298999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1813A08-7AE6-4CDE-AD0A-D3DD8C067F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76</xdr:row>
      <xdr:rowOff>30390</xdr:rowOff>
    </xdr:from>
    <xdr:to>
      <xdr:col>2</xdr:col>
      <xdr:colOff>4199585</xdr:colOff>
      <xdr:row>88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E993A03-E499-42AE-9175-1B9014C0C7F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76</xdr:row>
      <xdr:rowOff>11340</xdr:rowOff>
    </xdr:from>
    <xdr:to>
      <xdr:col>10</xdr:col>
      <xdr:colOff>2672046</xdr:colOff>
      <xdr:row>88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EC32F27-D9D5-4568-BCAA-1CED8A0EB29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34636</xdr:rowOff>
    </xdr:from>
    <xdr:to>
      <xdr:col>10</xdr:col>
      <xdr:colOff>2651694</xdr:colOff>
      <xdr:row>4</xdr:row>
      <xdr:rowOff>346363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C956F82-2970-49CF-B8BA-6C182CAF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247D4F-45B2-43DB-A9D6-E0CEA394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11EFEDC-0894-48E9-B5EE-003AE5C9DD2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1E4358DB-F634-4ACB-87EC-0E33BD34DB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3658890-D009-4CF8-A1F4-DEDA1EEC05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90B5BB1C-9488-4989-BBE5-F2652DB96CC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AD3D8317-0FC4-41E2-BA7B-51B7ABB861A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14A36E8-1570-48BF-BB9A-F5383C7AD6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F9396C8-5948-46D9-AFCE-9A499B0A52F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A8DF8EE-5D62-427B-90EF-C759C536D5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B89D31B-B870-437B-BB7A-F255B5CD422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22C645E-54CD-4F2D-8095-DB0F6599EE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55AF6170-3C4B-4E51-93A4-C7471BBBAA5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CD36A207-BCC1-48E8-8843-E083185245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9361A04-26E0-4D5F-A135-5AD5381C8C3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C1A6BB16-9272-445C-BDC3-5333DB1DE24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A2C974-3FF5-431A-A2B0-5B82BEB8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146B493-BF6C-41D2-B871-A982315536E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42B3CB8-59E0-44CF-A258-198ED31276A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0BB8FA-F722-4C3C-8F82-D67AAC71FFC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86593</xdr:colOff>
      <xdr:row>0</xdr:row>
      <xdr:rowOff>69272</xdr:rowOff>
    </xdr:from>
    <xdr:to>
      <xdr:col>2</xdr:col>
      <xdr:colOff>1056073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600BA1-A407-40BA-9BD5-1841BB19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C87B1460-B836-4006-B7CD-F56C778152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8AE9346-61E8-4FD5-93B7-A701C7A6EC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26D6D4F-CB55-4B8B-A2F6-BC2AE3EF6C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27D2ED2-A7DB-4DBC-A055-FCBA31EEA6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FCF3887-4AD8-4B4B-94BD-AE4C16393B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8355469-AD55-4029-AC36-CAEA9FC959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CE60E26-264E-41D3-A7B8-C17C096DA4D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D653476E-C826-4EFE-AE6B-FF9F9295BC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2D71FB2-CB58-4D15-A78E-744B614905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BA3043E-CC52-47DC-B542-32813D84FB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A063087-D6A2-4AB9-87BB-BDF037D73A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3CD2336-306F-497D-A400-5EEDF87DE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A1D05CF-64A0-4A73-AC24-0D18270530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84E970E5-E76D-41AB-8B87-E4623ED03DC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0E707010-9FED-417C-BDB9-6A0B623E11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1B38B015-3BFC-4E01-92DF-943A812C11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A317507-8E7F-4302-9F6B-2FFF7E02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897F5BE-F5CD-44FE-85D8-518B5B59720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D0A74E7-F082-44A0-8484-C556CF9A74E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8DDCE92-9DCB-492A-96E0-91F8A524B7B4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86590</xdr:colOff>
      <xdr:row>0</xdr:row>
      <xdr:rowOff>69272</xdr:rowOff>
    </xdr:from>
    <xdr:to>
      <xdr:col>2</xdr:col>
      <xdr:colOff>1056070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F1C936D-DDF0-4180-8CFB-7016DDC5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361C178-3A9F-42C6-B481-4F6A7DBADF9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E1A6E6F5-7090-45BC-B674-8171B759646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5D581F7-E84B-4063-B7B9-288C7C1DB2F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FAC20B38-BB0A-436F-AD14-A4282C78744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BD9ECE8-ABB7-442B-AB97-F7686227ECF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C5E1BE0-19A3-4752-8D15-44EF61FC234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D0EFD02-AFAB-47C8-A544-8C87DA1AA26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D6701F3-459B-4ACB-BFE4-E0F5DBC2D4C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38F29A4-03F7-4580-AB62-E352B553FF6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03A8F430-7947-4CE5-B607-423846EFA36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335EB345-D48C-4842-AB39-9DD815E8CB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05B3E66D-7C88-49FA-A215-F6069D6D3AA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034CA19A-5F0A-40E8-A180-37FEA6360F7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358C1267-092B-4ED7-98DF-192375D895A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CB433F91-5F36-45B5-A073-B06FA130658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1D68E1E-4024-4BD9-925B-FEB0FDF0893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E2381FF7-C8D4-46BD-8F11-54A0B880077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B56DE47F-6EDD-4B83-886E-1DD61DD3B05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9ECFB5-585B-4942-9CF2-3B9C47BD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ED7049D-6EE1-4CD3-A80C-E7F4C55600F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AD22042-A2DE-46B0-8C55-CF7510EAD76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C2BB5E-FB97-42C7-8F8D-605B66964362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103909</xdr:colOff>
      <xdr:row>0</xdr:row>
      <xdr:rowOff>0</xdr:rowOff>
    </xdr:from>
    <xdr:to>
      <xdr:col>2</xdr:col>
      <xdr:colOff>1073389</xdr:colOff>
      <xdr:row>4</xdr:row>
      <xdr:rowOff>312076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D1C156-F7EC-4C80-9838-03FD5F31F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BECE69F-6B8B-4686-A825-7B1973D875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9EF1C83A-A48B-47A0-8F1A-5E5333D4713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9D73F15-7EB3-4D52-8582-EF128DF033D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6C426C6F-FBCA-4560-B484-866A7FF0878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E16C1FF-DD34-430B-852F-5E8F069D40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AB48566-90E6-4DD7-BA38-690F249FCC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B60F038-167A-48B6-B30F-C5D22A6184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871B81B-4F2C-4EB9-AAF6-B57D6F46C4A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8A57B23-D9C8-48CF-8FEC-19C3993578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6F7D1B07-3B02-44FE-BF83-F5FF6D703D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23E5FF8-8DA2-41E0-93DC-D5469024A95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D905A30-C124-43A3-AFF4-B86EC90DD8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B5726E37-F712-4296-9163-5F2CC19B5A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A1C162C1-5892-44E0-9F32-637A506AB6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2210318-31B0-4EA7-8D96-E48ABC6D413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E84A1F0-F29E-4847-AE80-D330069D97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DEAB4F00-7FBC-4803-BFA2-9E50D4A3BA6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7C652288-F945-4E8D-BE8D-0D29C14352E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1F75E07-3A9A-49B2-ABAC-24D24A3940C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3F89E15-2A35-42F5-A622-C63E94A9B2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34636</xdr:colOff>
      <xdr:row>0</xdr:row>
      <xdr:rowOff>51954</xdr:rowOff>
    </xdr:from>
    <xdr:to>
      <xdr:col>11</xdr:col>
      <xdr:colOff>2013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778F1B-22F2-4C67-BBFB-872C22F6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B8E5E88-A80F-4EDD-961A-6D3F403AF67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A06B497-B0E8-4FE8-8F26-31895A86713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B2B716-3763-4F4D-ACA3-DFF0B64E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" name="5 CuadroTexto">
          <a:extLst>
            <a:ext uri="{FF2B5EF4-FFF2-40B4-BE49-F238E27FC236}">
              <a16:creationId xmlns:a16="http://schemas.microsoft.com/office/drawing/2014/main" id="{E89C87C7-CF06-4458-8E47-DB2D199DBA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AE68E995-54FB-4AB1-B033-4436B566A0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30E2866-7488-453C-930B-6A4BA3C9B4E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8F65D764-F761-4CDD-A033-A0B3BC4D7C1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BCF6A01-425D-4EAF-ABDC-CEF23288BC6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49052B8A-2A0E-44C1-B868-BD7B6235C1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D7C9E5F-D5AD-495C-99F5-A5C552244F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58159EC-06E0-41AB-8427-109A949DADA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F788B120-39B3-45D9-B784-9D5B44E6CE6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E7ACCDC5-E245-4FA9-B193-975EE74A42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46050D0E-E1F4-476D-B66B-4507E3A1D9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9CCB65F-377F-49FD-8A75-0CE97258F9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6B623C6-688D-4E3D-BBE7-11FDB1BB1AC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93CD50C-2C2B-4516-B586-4FF532BC3E2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0FACD609-A983-485C-9E6E-AF3422FB21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F348EAB-BE95-4F01-90A3-D25DBD1393F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9F64165D-F52A-4E2D-9817-CF06D6B2D2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C9A06647-8AE1-427C-BF9E-1F60D27DDB8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35B8B5E2-AA08-42E7-A43C-F9E1E0F592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C2B02F29-5EAB-4B9C-8E06-700FC3D785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9DD48F2A-3108-40E5-BF8B-14EE5E5348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9F91A08-E14A-43E5-A4AE-49954C5C31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4DEFCD5-452F-4723-8E65-79F4F263E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BD10B1B-3A70-4259-BCB0-CBE2FAA17F9E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9649422-6035-4C53-A99D-FD90ACAD7F41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68CED0A3-343A-47E3-8150-9B67C867F12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B4098C-AD7E-4C03-99C6-E1CDB346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70E91EC9-F9FD-4579-A6E9-A93527F107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8B02E3D-C6F9-4123-B1A7-FF147407E2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0FB2EEA-DEDB-4F7B-8AE7-AACE1BF503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8718F14-1718-419F-8F7C-F96CE283A5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1414435E-E704-4360-AF8D-53F2051B3D5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B749106-C4F2-420C-86E9-D47239A113C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0827B34-052B-4308-960E-7DE0453E060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E08A911F-D207-43DA-88E0-05228454B08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A7FAE91D-9A80-42AB-A516-9CC8CDD683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4BB097D4-2FF4-4360-AE03-E79582E2F37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1B4FF159-4A74-44D4-8A3A-CC1A8BA80D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0EC3E21-658A-450C-9352-944DDC279F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D7900F16-EE3F-4B1A-8047-D79F9F0C31C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D4DB00C3-DA50-4293-A6FA-F2C5B7426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1497E9C-98AD-499D-8898-305E286772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693917AA-5B69-4D2D-A3E6-42DBFD0CF4A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9209AE78-F87B-4B1F-AB96-3A110B5C94F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52885F64-BB65-48C3-9AFC-9CE5BCD230E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FEFCA3C9-30E8-4FA7-90A5-77F0072C2AF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FF674C3-21BD-42E6-8D8F-CA433009D5A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570A350B-F035-4163-9660-362782B13FA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8AA366D4-340D-408A-976F-EC15F8C652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E516EBE-0B70-48D9-9760-C1BDBC5026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452B1701-77D2-4D48-8B27-1F9178464D6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0</xdr:colOff>
      <xdr:row>0</xdr:row>
      <xdr:rowOff>34637</xdr:rowOff>
    </xdr:from>
    <xdr:to>
      <xdr:col>10</xdr:col>
      <xdr:colOff>2651695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4AFB0C-FB74-4C68-8691-7F795524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4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D7D6EAB-2592-4789-A7F4-931A4DCA1EF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17606</xdr:colOff>
      <xdr:row>74</xdr:row>
      <xdr:rowOff>99663</xdr:rowOff>
    </xdr:from>
    <xdr:to>
      <xdr:col>2</xdr:col>
      <xdr:colOff>4182267</xdr:colOff>
      <xdr:row>86</xdr:row>
      <xdr:rowOff>309995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652A1DEB-51EC-486D-9827-B602FDF98A8A}"/>
            </a:ext>
          </a:extLst>
        </xdr:cNvPr>
        <xdr:cNvSpPr txBox="1"/>
      </xdr:nvSpPr>
      <xdr:spPr>
        <a:xfrm>
          <a:off x="17606" y="25505436"/>
          <a:ext cx="8546161" cy="4782332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69272</xdr:rowOff>
    </xdr:from>
    <xdr:to>
      <xdr:col>2</xdr:col>
      <xdr:colOff>1038754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20BFDE-9152-4360-A861-5A6AFE7EB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B3F95CA-9D48-45A5-AC74-467D39271FC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4F7C2D6E-FA7F-4BCF-806E-CCFFD17A78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B14747B7-8C17-41D3-B6A1-0F47FAF1DBB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BF31B443-4F29-438F-AAD5-6E2B6290B2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A96503F9-E958-472D-A7A3-23314E2769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CB9E42CF-FBC1-442F-BDE2-22C6211C1A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F732065-5AE7-47B3-BCC4-A5B2F6E35F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0F45E7A-CCBE-497E-A1B6-EDEDE93F39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649024F9-CA40-4E76-BE25-C925A21CAB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3AC3B13C-FC2F-4D40-88DC-E9F2F513B74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BFB5A00-0B14-4AC1-BD78-E26577A12F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7ABE5EB9-12A6-4B54-862A-582D18E366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FF8215B-5643-4FD5-8BB8-9669C1B1FA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B29B213F-DD78-463D-BB4C-FDA820E00B6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9A1C2FB-BC27-467A-A2AB-1BCB1E11C4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27048CC0-10D5-466C-95C9-6CA295E22D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E67C072-327B-4743-805E-628F23A5E4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305CBF77-93D5-49EB-8BDC-9B09A213111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A1FB022-308B-455D-A42A-416D7A820B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BC98773B-67FC-4841-A0F2-E1C5B2E5A8F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D1512D07-74E7-4431-8AFD-F193578F40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FE07796-AA17-4A96-AC3B-EEB407FD113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E07C0647-A6B4-4AA2-8D81-F274313B5F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42662048-2897-48E2-815D-6980C0D4F65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4C51398E-B64D-453C-B6F3-DE03F7B117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9BF52B-37BF-42B5-BAF3-A931802B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7A750FFF-8F38-4F0E-A53A-C6198AD7504D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6F64775-6838-4B44-B015-93C42350BF8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C6A6CB7-2BD4-4B56-B47D-3332C6DA8CF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86591</xdr:colOff>
      <xdr:row>0</xdr:row>
      <xdr:rowOff>69272</xdr:rowOff>
    </xdr:from>
    <xdr:to>
      <xdr:col>2</xdr:col>
      <xdr:colOff>1056071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B1542F-8AF4-410B-8C76-0538E1CA8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D6B10973-EA54-4FCF-9E91-DC979475B34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A510CE5-B07F-4FEA-B534-1DD15D406E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9945F94-F0B9-4AD8-8358-DEC1A4E2B97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B1DA114-4014-4531-96D5-A70FA982979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6D999D8-B56A-4BE6-A7A8-38FE16F06B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1B2A2970-E512-415A-811A-7D3BC6664B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ACCE96A-8DD7-4121-AB73-0E8A38BAA3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77B8C96-0C3F-487E-A57E-269D5ED10F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7420A747-4FCE-4CCE-B653-D0672757EF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69949DDC-8912-449C-9EBB-2CD05D79AED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0C7DCB4-9C1A-4B67-BD42-DF3E32916A1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5917785A-0D78-43A3-A214-4375BE1F939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74606B6-2B84-4A8E-9EB0-5ED35F6D787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C841EE8-6F49-4164-8182-6AB428F65F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DA4C41C-3BED-4D18-9E73-4B1EE3D0C0A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F9CC572-5C5E-4869-985C-AB49D3B8A1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36B8868-7E11-47B8-9028-824C75CD572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4C13EE9-14A1-424B-BAAC-2FDA51415E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8238A1C9-F353-4046-AA53-1540218528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681DA31-8451-493D-9984-5E271F99D86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18327AD-0515-4DB5-86A6-B654FF5DE31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3777FF1-E81D-4E56-B68F-61E5DADF65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AB2BFC0-4BCF-444B-B244-CE1F5607C3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515966CD-3CB1-4D5F-BBCF-BCBE96D897E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649B7AC-2F8A-4AE3-B3B9-E9FF84B2F0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3878136-10D6-4043-B8D3-06ED88C022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51954</xdr:rowOff>
    </xdr:from>
    <xdr:to>
      <xdr:col>10</xdr:col>
      <xdr:colOff>2669011</xdr:colOff>
      <xdr:row>4</xdr:row>
      <xdr:rowOff>363681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EBAB5-44F2-4E4A-91D7-BE27DC6FC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A80A093-AA5E-47BF-BA9F-B310F216228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1924A63-7A5D-49E1-BDF1-E67FDC2429C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25CC1500-CF9A-49D1-AA02-2538C64EB20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86591</xdr:colOff>
      <xdr:row>0</xdr:row>
      <xdr:rowOff>51954</xdr:rowOff>
    </xdr:from>
    <xdr:to>
      <xdr:col>2</xdr:col>
      <xdr:colOff>1056071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A28E24-1AE3-440E-A55B-B983B6688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1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2E690D8C-E743-435C-BA16-72EC807227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5A526560-0D5E-4225-A3E6-64054F632B1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F725AD8-038B-4590-A997-18C1273F116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459029B-5937-4739-89AC-0F2B5E4186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3931DBA1-C75C-489A-9F1A-C161B126548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39E405F-3149-4E79-A959-8CE0EA84A06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C4A80621-DAED-492C-98C1-81319855FED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4E091B7-04F0-4499-8BB7-0C1F7A8B43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50A0864F-71B9-4EEB-8D38-C8E6B698B7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75A4D99-1A91-4FBC-861A-B2BA517751B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0F8FBD3-66EF-4731-8501-50A679BBBF2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A38C881-D286-4949-8954-D8BF0FDD1A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1B201D4C-FC23-4232-A733-1F198EEC0B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92A6C39F-A5DC-4329-807A-D7B02506789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E4CEC71D-1F8D-441D-A89F-825AC44FB1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76663798-96FD-4E2C-94CF-6BC12118A90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6955F77E-FCEF-4DEB-BBD4-95676036DF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A981C1C-DA7D-4C7D-AC62-4FC0A69B6F5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76E63E2-4AA2-4BD4-993E-C6250B06FA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A3574A77-4B19-4E19-BBA3-9A1B672A524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6BC84211-6143-452D-B936-C97DE437317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D78EB13-6DAE-4CDE-AE27-10BCB61A456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5E3E0AE-3D8B-44D5-9E1B-7A0146CF1E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F9410B7-9FF4-4ED2-A4E0-D5B2687A71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B4CEF734-8184-411D-93A2-4B42858BD4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A6C6FC25-408C-454C-97A9-06289EEF3E1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9A38526-1E87-4D69-BEF8-FCB0F5D241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CDB2215-6E85-4ECA-A314-E16339C9497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E432496-483D-430A-BCAC-B25E9EB6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20D60402-C861-42C1-AF84-1F836E6D099A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44B0AC0-1AB2-4524-97F4-C35D1BC7400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33E51103-0287-490E-B109-21DADC41C91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86590</xdr:rowOff>
    </xdr:from>
    <xdr:to>
      <xdr:col>2</xdr:col>
      <xdr:colOff>1038752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7D2A0C-420F-4E44-929E-B70996481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8659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74CA14C4-B9A0-455B-840B-549D16022C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9396D09-C170-4C56-B7E2-DA0E2F39620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69D9746-F03C-44E0-B14F-6D5F2CFFB5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219D5823-6EC3-4E65-B7D2-52EF06A502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553B8766-143B-4E1C-8032-370006E4D5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683FD726-45D1-48B2-9560-A736A2CB9E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8BF0100-6C5E-4452-93A8-219EF00709B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81E49828-4615-4B94-9A84-E78402E859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4A42E8FF-2DB4-424C-84FD-3E1F0EBEF53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ED808BE1-AA10-4CD2-9D71-DAB4A3C566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81121276-C467-4EED-8E28-E2E47CC6A03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A99327F-F8D0-4FAC-91EC-6D661B6A22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3F532063-BBAC-4721-9F46-89C9240FE6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49B72D44-A2CD-47BC-BA82-93317FA7BE8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549D6EB-2C29-4993-918E-21F838D64F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25431122-0957-43B7-9930-F9DEBF779D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E32EF0C-9AD8-48B8-98B4-CF607A14CA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E28F557D-51D4-4CD3-B705-1CD5537C28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23FF5365-7E0B-4EC7-B076-F32DB014260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2AB71D9-A0B4-42FF-AE0C-E4E2C9166C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578D98C-A0D9-46F9-8A20-39D992CF0F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D224636-C79C-4560-A82C-118C9BF4E6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51D4528D-9C92-49B4-853A-D0F959AFB3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6039F73-2345-4466-B6FB-05CE15D7E51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C82B789-9A34-420B-8C14-57DB37005DE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AB3D0CE0-DD62-4D70-AF53-2C541DBE16E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1EFAC107-930C-4358-B8E3-4E0C04831A4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F4A8564C-7F66-47DE-8A25-67017C471F6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44C362C0-868C-47B2-89AF-6E6C1A806A0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8A9E543-9E4B-4B84-9E92-189C23BB7C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34637</xdr:rowOff>
    </xdr:from>
    <xdr:to>
      <xdr:col>10</xdr:col>
      <xdr:colOff>2669013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851C04B-04AC-4399-894C-A436300EF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505E279-02E5-4A77-8EDC-DD68EDFA3E4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915F2167-86EC-4126-AC5C-B85A753921C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B16E962-B564-44CC-BD61-F90A40D7D65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30378D-CD9E-4E0D-A18F-B6CB6543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11991E13-B22D-47F5-8C0A-36B2E47C6AC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4CD2928-5EF8-44F7-A088-ED6F83DB336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E8D8B7B3-BCE0-4B7C-B44E-4E5F6486907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80814B0-CA49-4E63-BCB1-C4EB1A49EC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630F0778-D6AF-4EC4-8CC3-7761F1B014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5605775A-51D6-4692-AD72-47142FB3B0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845F4874-3EF2-4306-98A5-44F1044870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FCE1F797-EED3-48FA-A17E-0BEACE997A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753011A7-B559-4E7B-9AC9-CC8804329B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64DBE10-CA97-4E03-83A0-555039F22C3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F001EA2-F47E-49DF-AF82-04FFD47D13E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213F9F5-07B7-424E-A892-B8684F4F993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925177D-F36D-46F9-85E2-3855BEE525F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F3F81EB4-7380-45C7-84CE-C8BCCCE93C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038A8FB-D8DD-43D9-91EB-302BD6B543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CD7B108-3DDB-41FD-B3D5-9AC6D1F9D54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8482D0B5-72E5-4A55-9A97-544CE37CFA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A061903-69A2-41A1-BDA8-9F98E2F145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F9C0832-EAF9-410C-B56E-A12B0719A5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9AC37329-1F83-49B3-AF80-A7E27BF799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92F80D5E-91D7-4987-B64B-5AB4FDC1746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AA70C63-5A41-4D32-B45D-6DB96578AA5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A0945FA-D587-4C89-A0B3-E4FB15A9154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15EC0BF-B94C-4A5C-8A29-30C67F6C7C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6D2834E-E2CA-49DF-8CD4-AF360EC715E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D970B320-099B-4430-8FF6-936C6BD1BFC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41BA4AB5-68B1-4310-9546-B50219D284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64216E7-B846-4D9A-96A2-47ED845B3F8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DD551227-62B7-4084-8941-C37C9571FB0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5970E25-A40B-4C6A-B1B3-F037310233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7E3A7073-FE48-4C2C-AD8A-D5D47B1974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66856209-C327-4846-A4DC-7F5358881F8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17318</xdr:colOff>
      <xdr:row>0</xdr:row>
      <xdr:rowOff>34638</xdr:rowOff>
    </xdr:from>
    <xdr:to>
      <xdr:col>10</xdr:col>
      <xdr:colOff>2669013</xdr:colOff>
      <xdr:row>4</xdr:row>
      <xdr:rowOff>346365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193EB0F-C9FB-459F-B8A4-922C2DA4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2" y="34638"/>
          <a:ext cx="6375104" cy="18357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1BE806B2-2ECE-4DBF-B358-EFED62E1C2AA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45BB19B-CEFE-42D1-9646-CD7CD6265B48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ABEEB6D-D5FE-4AC4-A722-941604ED1FBF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34636</xdr:colOff>
      <xdr:row>0</xdr:row>
      <xdr:rowOff>69272</xdr:rowOff>
    </xdr:from>
    <xdr:to>
      <xdr:col>2</xdr:col>
      <xdr:colOff>1004116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2CAD2A-D7BC-4A8A-8CC5-7D2A10DF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CA1E1DFD-8FBC-4780-8329-28FC0E6563B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64F228D9-017C-47C3-9FE8-685FC90236D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6DA2DDA-B096-4CF4-95F7-62E9B30C14D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8B28AD8-0146-470E-8490-2FC813F88D2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6475473-C3DC-4406-A87C-B9F9F51E75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3B2B0CB0-1E68-4DC7-B34D-89847B31D7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97EAF3B6-8C75-4BBC-B1DB-F845CA1BD9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45AE9D0-B3CE-46E0-8665-194754164D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4FBA31FC-088B-4104-8F35-7F3EBBD742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D07BCA9-FC25-4E23-8792-B387656807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9897A25A-2BE1-486A-BDA0-F2028B59A67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BDAD4A6-E5EC-4BF1-9577-90F56C58DE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B6BC007-C14D-426E-A6E3-B0E7820FE78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7E40CAB-0EC1-4D6D-9594-5F5D01D275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51EEDE4-7054-432D-8B28-ABE3AD3268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B74832D7-B13A-4AC3-B6DA-CDE5322826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88EC0A5A-37B5-4643-A1B2-960F99133C3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8BF9EF78-051F-4B1C-99DD-8C3CDB1D27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E418B06-791A-4EA0-80A3-0F0DA2764A2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8B9FB804-ED35-4041-B952-6DB055BABD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4E802343-DD76-4E0F-B75A-E5C819026C1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C18788C-CFA0-42DA-B0F5-5A9BABA733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428F1BF4-1DBA-4C71-841C-F610757369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0AD3920-6B10-4E48-8C78-F7B53E5E1A2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85BB6CAC-CC46-4D24-BA72-88847C1F60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C519ACBD-2A45-4A25-8A0C-973D8E7F43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1462AEBB-95AA-4834-97E3-53104587D2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2C4D6BD-3A74-4D2E-B6A3-D0D410079F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D335F8F8-3D2D-49B1-8259-C4551D9E6B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69EFB31-AE40-4BFC-B11B-CFFB797594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8405FEDD-FCA4-44B0-831A-794C3D41193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3BD578CF-3A0F-41C3-B01D-3ED2925D38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5CFF5FBC-DE11-4738-AE67-F941CC4A3C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F66C5CD-79D8-41FC-A4C4-CD07ED9475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34637</xdr:rowOff>
    </xdr:from>
    <xdr:to>
      <xdr:col>11</xdr:col>
      <xdr:colOff>2014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8C8A2CF-B80A-4A5B-B633-93FFE321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0BACDB9F-AD37-498C-A33D-879015E934D8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71</xdr:row>
      <xdr:rowOff>30390</xdr:rowOff>
    </xdr:from>
    <xdr:to>
      <xdr:col>2</xdr:col>
      <xdr:colOff>4199585</xdr:colOff>
      <xdr:row>83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8669B9B6-4624-4C56-BA15-BB7A5FCD2C39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71</xdr:row>
      <xdr:rowOff>11340</xdr:rowOff>
    </xdr:from>
    <xdr:to>
      <xdr:col>10</xdr:col>
      <xdr:colOff>2672046</xdr:colOff>
      <xdr:row>83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B04E00B-418A-4AF2-BC10-F5679F68779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86590</xdr:colOff>
      <xdr:row>0</xdr:row>
      <xdr:rowOff>51953</xdr:rowOff>
    </xdr:from>
    <xdr:to>
      <xdr:col>2</xdr:col>
      <xdr:colOff>1056070</xdr:colOff>
      <xdr:row>4</xdr:row>
      <xdr:rowOff>364029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FCCE77-F343-49F7-8045-D5AD557B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51953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10753</xdr:colOff>
      <xdr:row>0</xdr:row>
      <xdr:rowOff>52301</xdr:rowOff>
    </xdr:from>
    <xdr:to>
      <xdr:col>10</xdr:col>
      <xdr:colOff>2663892</xdr:colOff>
      <xdr:row>4</xdr:row>
      <xdr:rowOff>364028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4B4ED4-0C63-4C8C-A2DE-506CEEEA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2617" y="52301"/>
          <a:ext cx="6376548" cy="183572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CBB8556-2C1C-49C6-9BA1-A46580AB854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3CCB7AF-BE8B-40F9-BAA0-9FCD00734DC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09A1BDF-93FE-475A-9CCC-33E05F3DF6CA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920A047-2D2D-4ABF-90A4-2A3F04F9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9EAA4089-E096-4B11-88B7-CFA17E1668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EC8A6FB8-8B82-4760-A0E6-09A7505956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2B42E903-D89F-4494-8F37-CF04D2024A5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F5DC0851-1E77-40F7-A6BC-56EA4A62A4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816E00D-E6D9-44E5-A05E-4FDF802F735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B348527-D8AC-4D29-814D-A38EDC244E9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B9E6E14-E8A7-4194-8D2F-E0C9CC5B25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A8AC33B-B4FE-4D63-82F2-0AAB8657DC0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F72BA04-7FDA-4008-8786-4099FDBE248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3F99B66-EB95-4758-B0AA-23636A9AFE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41A33B69-A08F-463D-84A2-90F766098B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86E6342-22FD-4D54-8CA3-6DF6160865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0F4F756-ABC5-4C88-AE33-C1834021F7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21EA6D4E-475C-4E2B-9806-064B9D5013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F909F14-C84E-4FE5-805C-14A251F28A5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34D7C144-FFFB-4C08-8215-A3AE1D79AF0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C51F4926-9966-405E-B97D-C0A31669669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3272890-5C6C-4C2D-BCDD-539D90FFC4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3245572D-394B-4C83-8550-5DF0990C0C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A500DC60-76B9-41CC-8B85-F0181D13A0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0465C4E9-9C12-4F2D-AC5E-AEE47A1B2C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901A9557-E130-49BD-8F90-B231A9CAA2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A9B4A88-7FFB-4056-8BE5-7F3BED2EB2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EF9B87D-12A2-4262-9CAD-52EDBF2A8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F2ADA78-7C1D-43E1-94A3-4AEDDE5938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1B4A042-12B6-4973-B26E-857BD5E3E8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BB3C319-A0F7-4A71-8B4B-53FB6C30962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D7D8AFF-F557-4B86-95FC-3834A49DECA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01EBE555-C2E7-4D2A-9ACF-F33F591137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507CA6DD-018E-4F03-96BA-4B95806737C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9B64C0A8-31B7-4C6A-ACA6-991DC8E09ED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31C326B-0C28-4771-9277-67A531E9F33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55D3D16E-BB06-4F65-B537-593744D7A88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DEDC09E-FE1B-4462-9484-EF0719050C0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5E309722-8448-476E-A7BF-A982D22306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D300739F-2053-428D-AB20-58AE22D30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34639</xdr:colOff>
      <xdr:row>0</xdr:row>
      <xdr:rowOff>34637</xdr:rowOff>
    </xdr:from>
    <xdr:to>
      <xdr:col>11</xdr:col>
      <xdr:colOff>2016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9D8494-15BA-4183-8C8F-D74BEFF4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3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2198CF1-0878-4697-923F-177A6CF9A76D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E5F0746B-1C5B-43CB-ACBB-7E7AD00E57E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C2DF81F7-1961-47B4-987E-2B6465886E5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51954</xdr:rowOff>
    </xdr:from>
    <xdr:to>
      <xdr:col>2</xdr:col>
      <xdr:colOff>1038753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462519-B853-4FE6-AB40-3118F2E55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416DA9F-5885-4A2A-A6D3-C14535BD2C3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3A8FD1CE-18B8-4B91-AC6A-9A343CC3CB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9C699090-7BA3-4242-897C-F0B4861502C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62021D5F-EC13-4E21-A601-A66476CC839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CA07A769-E412-4481-A752-FE4E7C47371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0BD2CBD-0AD1-4D97-A941-2ADFBACDEC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D3D1F8D-6C5D-47FA-B671-6A4D7FF2DE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D67836C8-04D6-4503-9210-4328F2A3A27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AAC94FC9-851E-480D-9F7E-D676BBE98E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11476A4F-CBEA-4137-BDD0-C0EB4350F8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1E483840-9C01-4712-9FFB-6F9C8ECF21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5A6F8CD4-9AB2-4313-A608-EE485157CE5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F114E5B0-157C-4040-9986-CA7620A9E1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A95F1940-82F1-4105-A6CA-D580D56688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CFBC4F7D-0A35-4A93-8827-72D41AB728E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DA2BB8FF-2CD0-4249-823F-6AE558CAD36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8C2C3FA2-9934-47C6-915D-5DBC328FFDD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B67C1BA-4895-4245-87F6-DBB0ADFECF8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669B08D8-7BAF-4DC0-8821-3E2C5488D1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C8F9A38A-CC8F-4075-B5CD-68856AC2AA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11BFAA15-ACA5-4228-9580-C7CA3DA3B91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36FA2419-BC48-4F2C-8316-983D7CAB5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47BB362F-8F56-4977-BBAF-71A1113B72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FAF887C7-60B7-4155-B0BE-B6409092E4C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9" name="5 CuadroTexto">
          <a:extLst>
            <a:ext uri="{FF2B5EF4-FFF2-40B4-BE49-F238E27FC236}">
              <a16:creationId xmlns:a16="http://schemas.microsoft.com/office/drawing/2014/main" id="{7271FC47-516C-4002-83F8-5E1D739113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21BFD4FA-F9F6-40B4-BD09-8BE6488B909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1" name="5 CuadroTexto">
          <a:extLst>
            <a:ext uri="{FF2B5EF4-FFF2-40B4-BE49-F238E27FC236}">
              <a16:creationId xmlns:a16="http://schemas.microsoft.com/office/drawing/2014/main" id="{81C35F55-3CE0-4BB8-8A83-004921FA0A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2" name="5 CuadroTexto">
          <a:extLst>
            <a:ext uri="{FF2B5EF4-FFF2-40B4-BE49-F238E27FC236}">
              <a16:creationId xmlns:a16="http://schemas.microsoft.com/office/drawing/2014/main" id="{A80E3A5A-15A1-4F29-B83E-44EDA3AD03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3" name="5 CuadroTexto">
          <a:extLst>
            <a:ext uri="{FF2B5EF4-FFF2-40B4-BE49-F238E27FC236}">
              <a16:creationId xmlns:a16="http://schemas.microsoft.com/office/drawing/2014/main" id="{6D4B9AD1-B070-4800-A431-7AC92FC74A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4" name="5 CuadroTexto">
          <a:extLst>
            <a:ext uri="{FF2B5EF4-FFF2-40B4-BE49-F238E27FC236}">
              <a16:creationId xmlns:a16="http://schemas.microsoft.com/office/drawing/2014/main" id="{95F8D2F6-3005-4E2C-9D0F-0600200FB9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5" name="5 CuadroTexto">
          <a:extLst>
            <a:ext uri="{FF2B5EF4-FFF2-40B4-BE49-F238E27FC236}">
              <a16:creationId xmlns:a16="http://schemas.microsoft.com/office/drawing/2014/main" id="{C40D272C-6D37-4264-A823-8C1FB9DBB3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6" name="5 CuadroTexto">
          <a:extLst>
            <a:ext uri="{FF2B5EF4-FFF2-40B4-BE49-F238E27FC236}">
              <a16:creationId xmlns:a16="http://schemas.microsoft.com/office/drawing/2014/main" id="{DA218BCD-C0FC-48E4-B280-1F7311A7BC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7" name="5 CuadroTexto">
          <a:extLst>
            <a:ext uri="{FF2B5EF4-FFF2-40B4-BE49-F238E27FC236}">
              <a16:creationId xmlns:a16="http://schemas.microsoft.com/office/drawing/2014/main" id="{273233AA-0C5A-48C1-972F-0F7015BE35D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8" name="5 CuadroTexto">
          <a:extLst>
            <a:ext uri="{FF2B5EF4-FFF2-40B4-BE49-F238E27FC236}">
              <a16:creationId xmlns:a16="http://schemas.microsoft.com/office/drawing/2014/main" id="{59E5A691-E578-4E7A-8FA2-3276E21C2DF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9" name="5 CuadroTexto">
          <a:extLst>
            <a:ext uri="{FF2B5EF4-FFF2-40B4-BE49-F238E27FC236}">
              <a16:creationId xmlns:a16="http://schemas.microsoft.com/office/drawing/2014/main" id="{C9750989-FEFB-46FF-A614-AAE83DE31D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0" name="5 CuadroTexto">
          <a:extLst>
            <a:ext uri="{FF2B5EF4-FFF2-40B4-BE49-F238E27FC236}">
              <a16:creationId xmlns:a16="http://schemas.microsoft.com/office/drawing/2014/main" id="{9E36ED68-68FC-4F0A-9F36-33C31B155B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1" name="5 CuadroTexto">
          <a:extLst>
            <a:ext uri="{FF2B5EF4-FFF2-40B4-BE49-F238E27FC236}">
              <a16:creationId xmlns:a16="http://schemas.microsoft.com/office/drawing/2014/main" id="{4A52C496-CF27-4030-AB58-49177B482F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82" name="5 CuadroTexto">
          <a:extLst>
            <a:ext uri="{FF2B5EF4-FFF2-40B4-BE49-F238E27FC236}">
              <a16:creationId xmlns:a16="http://schemas.microsoft.com/office/drawing/2014/main" id="{2DF12650-1705-4E7C-9559-092EBEFC950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BCC15-0AC4-4CDB-B60A-8BB7848A5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95A1C2CF-397B-49C4-978B-08A26BDADE99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3B2B483B-3D40-41D9-9276-C3C942AA0C4E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86157FA4-C29B-441A-98FF-FD2AA4D41B66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2A329A-96DE-4462-8F3F-BB6746F6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EC514E15-7B4F-48EA-BF61-C137A98B78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01DFF0B-8F69-49D9-AA43-0A3E743AB0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6DAC9B03-10B1-492E-BF13-7C9FB5AE2F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50A5BB78-EA1D-4CE5-9629-CF867A062C0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9CF30D7B-D8BD-496F-97B5-F1F0FCBDEF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D24633FF-CE5C-43B2-8558-BE91926B235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23F65AC4-8E53-4CD9-B30C-E65215C3C3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D845F7F-B59A-4184-9A87-2409F8760F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D595239-601E-4B3D-ADD6-FF6FBDB6ECA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592EEE6-DC64-4FD4-B7FD-F83731A171E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10768A4-B04A-40AF-8C35-85919D8AFE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E720647-30CA-468E-B93D-DCD28FC2051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6B94B372-B26A-4F35-A49E-C58E5FD48F6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A0D1C551-99B9-4413-8B77-CB69D8E017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381D7C12-C7C0-4666-A5DB-E3B91E1CE97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5CDFCD3-1A37-4ABF-BF53-079FAF78181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A5145A3E-5CEB-478E-AD9E-E6202EA022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267969F0-10B8-431A-9698-578F1AD29E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83EE1F6C-C7B3-44A0-8780-D0C5BACDE6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F86D755-2DFF-42BF-AF71-B5B46C3F432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B8A524DC-35CA-4F02-AB14-A1C7797669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FEC65E66-A89A-4CB1-8061-047D224E32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64026CD-BF57-46C8-8F40-77EA4B93F52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1A2E06D-DB40-4980-BC1D-009AFD9D37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45772F8-8124-4832-9797-B17097C7EC4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54C3721C-32C6-4DF6-981A-5D6BD107EA6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5E378E88-3486-4DA1-A51E-2C4DE4194E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F73E4ED-D5A5-4655-9520-245A675E31C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5B1B2A1A-92A3-40FB-B489-70BE288F16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FF5EDE75-A8E3-4217-A900-F71CD7A280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3E7E7DE-334B-4F94-A608-1843D419C9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D5C64D1D-0845-4864-87C5-1B36A3A5CD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CC843C2B-68A8-42C4-A62A-2DDC7D05F42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9E46039-6454-410E-B0B8-2918ECC7221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75FE4AE-45E2-46C7-A681-1B0C05EE8CD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A490304A-5049-43B8-97D7-DEF32813016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E028E616-E2AD-4546-AABF-AB28CFB866D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C13FD8D3-F990-4307-BE0A-79FA8AC655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3A343A41-C2FE-46D7-B203-0388FCA7CF3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BCE38003-A333-44A3-A6F7-6679C8424F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02BD13-6712-4A65-8424-BA0AC0F4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621B1BB0-FC8D-4ECE-869B-B91E909CA80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C3F551C4-7C0A-41B0-9264-B5E3C91F647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45EF3E9-D0FE-4CF0-86CD-2C3383EC576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51954</xdr:rowOff>
    </xdr:from>
    <xdr:to>
      <xdr:col>2</xdr:col>
      <xdr:colOff>1021434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2684C5-EBF3-4175-9F3F-00AC62D38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A5B36FB3-FE78-48A8-B02A-A21B8FB928E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5CFD50E-7195-4494-968A-3FCFD42EC6E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4112EFE4-D8BB-47C6-8259-E7578FDD107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49A1BB5-0A61-4A48-BD83-BC61128FFDD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FD988BA8-F54B-43DE-AE62-424509DE80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39C77CF-0F8D-4BDF-BDAD-6DFEE43397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1E744FB3-5010-49D8-B095-046B01A9AC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34AEDA77-07D2-4C31-B5BF-866F2C6EAC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CA55329-794E-41B6-8EF3-8B50FE58B2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1B8499A-C2CC-4CE7-8BA5-5ED567813AC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27183E6-082E-447C-ABD1-1E7D7EF375A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6F2BA6D-C5DE-44A1-B61E-AFEED9F414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981FEA45-5593-4FC4-8590-7088103C6F5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5963520C-3F18-4716-A1BC-A1B6570A591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25C9E9BC-1ED8-46E5-8847-601535F280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D5003AC-8347-4041-BAB4-D27639ABEBB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041DDBB-15D9-4D73-90FD-0DC795FFC7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4D22B973-1722-447F-BEE1-282A3C3336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ABA4982C-9D8E-4068-858D-666EFA31656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637FAC5-11B3-4532-8479-FDE070B2185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F4616264-541D-4CAC-AFB0-DAF8EDBE958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65912788-4E8D-4CA7-82B9-9056BA6A999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A1F9B90-AF01-495B-9F1D-1696C50F696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1A734D19-47D2-4158-A04D-8D6B7EE46A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44DA6818-E150-46E9-9D08-259C388B7B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8BDC7EA1-C99E-4A8E-B344-1E2687D42F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AF274C31-A23C-49F9-8789-F74E463E37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B8257CF9-A830-4946-BD9F-023FE7EAC5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0A00FE2-654A-4C4D-950E-A88BB3B605A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0747D7B3-70FC-4136-B58D-2E92546D5B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5CB7825F-2803-46F6-A84A-690B562B75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9790095E-59AF-4CB8-BA38-3B47AD7010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7740B5E-F197-4813-8D94-1D9A878B696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F7E1523-007F-4499-B5EA-71A5694F891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23E4C052-BF3B-4A4B-8757-AB5A55959B1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47DB55C-B1E1-4C40-9360-3FDC26D6D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4C91D7BE-F499-4EF6-BEB3-85360EA8D0A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8127ED8E-5A34-41CE-95DF-E9297C5AB2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0A8211A-4C48-4404-89BF-2A901B71C4D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E8C2F80-AAE5-4B08-BF01-F06CBDCDE2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1EC156E4-4A14-47EF-833C-BD469F91E2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6B57846D-2E8B-4B01-A6E4-05DAC62E5D8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30AB7B-ACDF-407F-94DC-84FA2E5C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93141A0-E0A6-4E47-8C8B-C02219B38129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BACE47C-1E54-4E7D-B202-2192722C9BF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D3A24B83-5053-4EF6-B7E5-1E4E60E9F12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51955</xdr:colOff>
      <xdr:row>0</xdr:row>
      <xdr:rowOff>69272</xdr:rowOff>
    </xdr:from>
    <xdr:to>
      <xdr:col>2</xdr:col>
      <xdr:colOff>1021435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4800F60-E336-4C1A-84B9-B9C65775F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5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F49E72BB-3612-41CE-937C-5929ED2FF5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F8570FA0-CC7B-4996-BB96-253C9BFD7ED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84BA6D2E-3F76-496C-9C8D-2804CCCE8BB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467D1199-20AC-4D25-BB64-CCF51891E99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C7E3838-73B5-4E18-A951-4723AC15CE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8906BEEF-0E45-4F2F-A0EE-AFBE58F995A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8556680C-200C-48B8-BD06-A4B585E68C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0809C9B-CD74-4C55-8C1E-64447ADF60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2B0628AD-0913-48DE-998B-31ACB0DE236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F6076579-6E7B-4594-B5D0-EA5E7D7BDF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A1AF01E6-E9C3-40DA-9901-6106261D10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572208D4-A3BC-4E57-8968-3BDAB9C36F7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E19F3CFC-650A-42DB-A4FA-812F4D631D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E8FB386-44CD-48D2-82B2-012CE333F0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873E528D-72E9-4240-BD19-99083DAF78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3592C29-E365-4E84-A68F-9C8B62EA4F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6F773A5D-312C-442D-9AED-29C5999CED7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DD1DE20A-015E-4346-89AB-598C1049AF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FB52CBD-3970-4127-A28C-A38FD4EC7C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B57858D-9D69-493E-AE24-6597F4E457B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4E867D19-ECEC-4304-B895-015C42CD60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1CA0E03-A2C1-426A-B6FD-F1127467E41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D5C8CBBC-B18A-4B57-A9F0-DD546D9407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FBA3466-5E41-4F15-898A-6A3F98ABAF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D7B787DC-383A-43AB-BBCB-B021E4B37C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8DCF473-FAA0-4A5D-B4A3-905DEBC5249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0C716743-90F8-4D2A-995F-1768A05612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EE5921AB-AD2F-4CCB-8B63-D56DA8780B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E1C92F9-AA77-47AB-BBF5-36D3AB3B1DC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50B9BE49-8916-4C7F-AA67-5939C27A27F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301384E9-5BC4-4CBB-8533-9F15D94593A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20CA89DB-3738-45D9-9684-2A551F3F889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0B2B0A75-449E-4376-8022-97B561CFBF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55CD0865-C550-4B82-B4FC-3EF13822B9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8DEB2672-58ED-43AA-ACF8-A36CCFDC4F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F52BEA9-8A76-4624-B404-915AE6DA216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30F219E-785B-4C9A-A365-3A562551263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438CC205-9216-422B-861E-2FDA770833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28BA7E3-F513-4EAD-939A-842630DC7F7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483A4E7-486D-4E44-B5CD-767ED44515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A9EBF3C3-DB16-454A-A19B-CFEA63FBF2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5050CF7F-D420-4005-867D-E0E6B46243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73B2006D-C6A2-4D6C-8501-28C62FA2BBE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9A0ACB30-65BF-4156-A434-536079A47D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0</xdr:colOff>
      <xdr:row>0</xdr:row>
      <xdr:rowOff>34636</xdr:rowOff>
    </xdr:from>
    <xdr:to>
      <xdr:col>10</xdr:col>
      <xdr:colOff>2651695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44A3F36-5288-4D9F-BAF0-C4D11318B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4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8CB428B7-95B9-4796-9A84-7E3FF7360942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E4002917-CD50-455B-9A18-9FE6FD102BCB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56CC09-CB12-47D3-AF33-F611078D4F5C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46F193-7F11-4A25-A963-6F6CE124B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C9A3DD6-D687-488C-9CCC-A4764764604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38DC28B4-3901-44DE-B428-D06ED9B24E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580AADC-A6A0-49DC-8CF8-6902B6783D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C0279B5B-B1BD-4454-85E1-E1760AC8EC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11E0392-27DB-48F6-8341-665621FFABF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A86197C-1F81-4C61-AB6E-876F432654C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80F2C11-0FA2-4D4C-A94B-07C0CBEFC11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BBE45D9B-C4BA-4F00-A061-7F031622F8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19DD87E1-65B0-4CAC-9EE6-49BBC951A3E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DC41ABC7-9D49-4CB4-A6A8-AC5F2D60A1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93E5E5BE-21F9-4886-84D7-299ADD9B3A8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C54BC69-3E82-4EB1-84D1-03D5E008A5B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BDD015D2-6DD7-4D95-9B0E-0544245AB3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E53B86D1-658B-43E6-86A8-3630FD6A915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539494DC-5F5F-4FAB-AB0A-DE65CB1319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D693004F-F53D-4E99-8876-25AFBEFB68A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5D23A5E0-A2EF-466B-8839-E707966A0A8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9ABBD6F8-7BEF-4608-92C6-7B396A5B913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F769F6E-43D1-42D8-9640-102A53C1F2C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A36A76F-0ED5-438A-A388-396FAB0F1F0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29E0266E-3EA0-4AE7-8E74-329BA2EC8BF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28C4C0E-9E6B-43D8-8CFF-A2FEC8B52F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8E829B31-78D7-43F1-819B-3DDDD5F8FD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5E898385-48A3-41A5-9B33-F8B6576B3A3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AABEDDE6-042C-4757-A23B-6EBE27E5924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FF77C8F-E6BF-45E7-BCE7-0E2CE8573B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354D6C6F-FD06-4E5E-A646-BA8E2E3F8A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F15C9A9B-5BD6-4FBE-87F2-24BC8F60270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4F200985-D434-46D0-B4C6-181D0DF016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37972159-68D6-4CD5-99B7-0785161C78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4EB95E3D-6EDA-47E0-B97D-233B0085B3C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85A1840-C5C1-496A-9037-8735114B61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AA32C893-4C8B-4639-8239-8074BA06381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0AB049F4-A4B0-44EE-B77E-CAECB7A90F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E46C7086-96A1-4CFE-A959-7280849CC17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AD252D0-0918-4B6C-9F22-47F1FBFDA3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FC9FE8F1-64D0-4D20-B9EC-604EA3A2645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21E11599-98A4-4AFA-A098-C381424B7B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D12BFAD6-6382-4B28-971F-F43635A8499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83E4BDF3-E1FC-4B4F-9E9F-F0DE14DA0B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0573D9E0-2D99-4CF3-94B6-0CD64C91E6A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13CD21D0-003F-4527-A3CF-A517D08653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95F7E4F7-9ADE-4ADE-A3EE-FE69D935EC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3C57F2FD-616E-434E-89DC-65238680E3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99592F09-5D38-4C96-BC91-B5E5CD51B6A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2298659-0F28-4B40-BF18-7C192B53DC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-1</xdr:colOff>
      <xdr:row>0</xdr:row>
      <xdr:rowOff>51954</xdr:rowOff>
    </xdr:from>
    <xdr:to>
      <xdr:col>10</xdr:col>
      <xdr:colOff>2651694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0D27A6C-03F3-4F3F-902E-2BB478CB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3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F35B8A1F-505B-4C05-9911-F0C48FB3B79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42F98674-B09D-423B-827A-DF0AE5C6E71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6F7F277-1644-4386-B39C-30FB2BADB439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69272</xdr:rowOff>
    </xdr:from>
    <xdr:to>
      <xdr:col>2</xdr:col>
      <xdr:colOff>1038753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2E8495-BDE3-432A-B959-DE91AF0F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A9E9D0E-6159-4003-BF20-23F298A518F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8CBD47F-FC4F-43A5-A272-0BCE10D447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4EC1BDD-F62B-472C-9DA2-93B3F44CB4A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45270E5-0825-4EDA-BECA-5FA2E736A5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E19B5A5-F4F3-435D-9535-577ED995665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FA0E12D4-375B-487E-B3F8-CF62A5DDEF1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BD49356-2134-4648-B079-B4433E0B8C1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25C9283B-E40B-4AA9-8756-E3A0DC5DFF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20B3769-A58B-43C2-8D91-14DB2A8DF1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6A70DA2-A859-402B-8517-C91F9EF1F6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03E2DB06-9C70-4074-A9AC-C45C935F9BE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AAC3523A-FDFD-4F40-B0BB-3D6FFC585D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4B7A2F6D-19F8-49A1-95EF-0E926213D2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ED1B815D-5E0B-4F57-BC90-73B90BD09D3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8842080-2E7D-4ED1-B894-AB3CC9A260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59290FBE-7BB1-4AB8-9549-609FE9639A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182FE25-198E-490D-8C19-35B259D02A4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2847EAC-3C37-4D71-9D68-F8E565BFA10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5D0F0652-3D51-48A2-866C-C85331F55B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E237ED36-350A-46E4-A4BE-90E0C53F0D4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6A5E8705-372B-4D6D-B32E-3A580CF32D1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ACA4F929-C54D-4E25-BD02-386C4974FF7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BE884F2A-32DA-47F7-8162-CA0F811CC2E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2C60A38-0C5C-4455-B24B-B4CFD1EC036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4AC969E-0454-4AC9-9711-55002B75F8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BC6B6153-DE0E-4F97-A15F-74D50D4718F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589B06D-0C00-4A40-A80E-6863E30AF4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1EE2D542-884E-41B4-ACB4-2B286BC06AD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8C2AA1F-65A5-43ED-9C48-04EB6C9AAF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D729A0F8-55A6-4A71-BE61-45D6B9145B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65266CC0-4CEE-465D-8ECA-9AC9D9E530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A2E5A3EB-D008-4B26-8DDE-8881A11B56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7CFF4A07-65D0-4CCA-B004-28BC084B6D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9839AB5D-B954-4048-BA9D-032911629F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5C091A30-D81A-4E0D-A3D4-FF8BF8E58A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73DA3FE7-A737-45B7-BE67-8A93D9C134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AD982A71-7E42-4029-92C3-A565F6E9DB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3F7EFE7D-D501-4C43-945B-BCD323A487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A0D6A635-B916-464C-9605-888CD0C3740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7E09FE33-7653-4A66-A7E2-CB04621C2DC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CC0CC772-D74A-4781-8D52-0D413E63D6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04ABDE3F-B4E0-4744-B26B-F3639E96BE7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4D48B5CE-67BF-4041-BEC2-55FF1AC8AFA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484EC21C-7B72-403D-9F24-441D247B83D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3695853F-A071-4E83-BBA2-8958962F07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8969B2FF-65C4-4466-A3E2-E27E6342360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69600897-E18F-4DBF-9332-DF6DD31EF8F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D3B1A3F8-4A40-4295-937D-6776A31352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42744A-CC78-4F59-9DC5-30D64B55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5A7AB418-E4BC-429A-9DB2-111B4595C8DC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5D73CC6-C9D1-4D3A-92B4-63B70E54731D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4CE15C4B-B7E2-4401-AC6B-4E54A902E547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51954</xdr:colOff>
      <xdr:row>0</xdr:row>
      <xdr:rowOff>69272</xdr:rowOff>
    </xdr:from>
    <xdr:to>
      <xdr:col>2</xdr:col>
      <xdr:colOff>1021434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DE3E38-21EB-47CC-83B0-20A838F7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276BB47-08A9-4CAD-8B2C-84D0EF6F59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8FE7D88-AEF7-4503-96A8-12BA1AD1DDD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B99F29E3-3D40-41F7-9AD5-4263CE76A1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C524EDF-310E-45B4-9518-88DADD83B8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739E389-73C8-447A-85CF-F770DE0868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BFF4FF9-7F43-499B-84ED-718F977ACEA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5BEA26AF-B267-4AD1-A89B-50BFCA29CD9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3ADAC1B-CB95-4F43-B3C5-A077D70B63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DAFB0EE7-20A4-4BBC-A9ED-A827327B7EA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7FE8DA85-B8F6-4195-869C-9B8CAA5AB65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CD937D9-467A-4560-AC56-EEFCA95673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BD92A4D8-00DB-4784-B2B0-B8FB8711A2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2FE0D4B1-659E-48F8-923E-D52D78E658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740FCC3-37A8-4982-9D62-6D74C1C711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902B37C-A524-4F08-AB9A-AA7C9622CF1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A364F968-43E4-4DCF-9EEC-09F5199469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2F0243F-8CD2-429D-BABF-EFC2C5885C7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C10342BC-4C2A-4740-ABE4-9E840BB22E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FC462BE-A7E2-457C-B9A6-897CBFF6E8C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26C7B12E-0116-44EF-9B85-D9EC0FD175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542919F5-4BB7-4061-AA84-4516170255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FE6D8DB2-47B0-4E66-BA8F-C793AA072FB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CE0B7698-E14D-4DFF-B7A4-02D7B2010F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09AFB7D-AF5C-4DA9-96C7-AEB246C0958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5C47458-4105-43E9-8C33-4B1D5700AE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6559420-A250-4D0F-BA1D-A924B797A88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40A03E6D-B4B4-45DA-B74E-0C0C8ABF2C4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B9EB68C-8B30-4BA2-B639-1D309AF3AFE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DEAD719-D536-439B-A573-E12A2CCD4F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7E85EF58-6773-40E6-B794-1EC3259992A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1976F20-6051-4F30-A6C5-1C3D38839F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B9B699B7-372F-4EB6-9F29-38B60FDDBDC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2D166D73-39BF-48ED-B4B2-75FFE2D0C1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23F8F897-8D80-44F8-8EE5-E7F14C36DE2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D72E0ED9-E75C-444E-A373-C8DB81FEB09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7BFBC41F-F730-4F9B-BA71-5CC83AAFE9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3664E5A-5539-4C1B-A074-F15AFCF3645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51B68AB4-E854-4FC1-8C50-36B4FC121E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F19EFA7E-566E-4F18-BB1E-0BE1F869B2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69B47604-256A-401E-970B-D432F0E97C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C775BC16-34C4-471D-A3D2-60FE401459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37A57269-4483-489A-B5DC-4641BB0F60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378B260C-3AEB-4CE4-8E8C-51955D93D4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627D1EE3-2F97-4107-A45D-DE13430820F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0ED1B29A-3850-4745-B9D4-4161D81869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393598B6-8623-4FA4-AFB1-9595A61495A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74BA2CD4-E143-4997-A483-7541EC0095C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9B721A18-E99E-40DA-AE3E-93FDE63714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ED8D817-79AF-4DB9-9B13-4EA60E9A95D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955B6C65-164F-4CCD-9AED-EEA8BBE5EF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17316</xdr:colOff>
      <xdr:row>0</xdr:row>
      <xdr:rowOff>17319</xdr:rowOff>
    </xdr:from>
    <xdr:to>
      <xdr:col>10</xdr:col>
      <xdr:colOff>2669011</xdr:colOff>
      <xdr:row>4</xdr:row>
      <xdr:rowOff>329046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5B642A-B440-4248-AFA5-91D7F726A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0" y="17319"/>
          <a:ext cx="6375104" cy="183572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0CF5548-17DA-4251-B4A8-2D0EEE32DD2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2BD5FF48-56C0-4126-A3A8-A7E590E4AE3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56D54FF-ED7A-4C88-9F8B-90252B31E2F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69274</xdr:colOff>
      <xdr:row>0</xdr:row>
      <xdr:rowOff>69274</xdr:rowOff>
    </xdr:from>
    <xdr:to>
      <xdr:col>2</xdr:col>
      <xdr:colOff>1038754</xdr:colOff>
      <xdr:row>5</xdr:row>
      <xdr:rowOff>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558B79-80B7-4DD6-B3AA-55D6725B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6927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9C2A8BBD-36EA-4FA4-B75B-ECCC0FD1969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584E2EB8-CEDD-4CD8-A78B-5FAB2D44336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A0040BC-2742-4727-BDD5-610FD40FF42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71048C1-9C0F-43CA-AB02-F19FD04E1A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D47C04D0-2D4C-45FC-9D7D-B45D62BDCA1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20C0BC7F-1BC0-4DD1-8EE0-2D6F2767DA2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A78FDC49-D7CB-48B4-8ED2-57704431585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A94C3BAA-BD69-4E32-AF12-20E3390209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B00479F6-3070-43A0-9AEF-B3C480FABB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26246C43-6727-45E1-A48F-A97467260F6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501EBDD-6C1A-4380-98BA-2984E638C7D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55AEFA50-29DA-4CAF-9324-2FFC957DEE3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0B50B01A-EBAF-4D0A-8761-C0FCDB3117B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A4530EB-EA55-4E85-9A58-70A45B972A9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22FAFF6-A746-4902-8AFD-3E46D17A2A2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AC26FA6-26C6-4CB4-BB89-6372553FE2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2890527-5265-4012-8873-CF84744CA3D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06741198-CF85-4FE3-A100-1F3B36DBE05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7287AB1-5A69-4297-877B-5F374847521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247A4352-D8EF-42B9-B2D0-9F6D4899AF3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EFF2F52-CF38-4A51-A660-FD3D3806770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B831BD03-41F9-481E-9BEB-1B9006C4FFB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13CC8F5F-8466-48AA-AEC5-9625C8A0E6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3C45A40F-2826-4F70-8F76-464B0ABA31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9AA7696A-E55C-483A-8A74-01B7969ED32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5BCE1EA-CF7C-4AFC-9604-3BCBCB6259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DC6AFB99-E48D-47F0-B24A-A68F03DDA3E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9AF829F2-ECE4-4541-81C8-8F97412C7E6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0846D2B-A09C-4FF9-9B03-ADB4DEB43F0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44B605B-9830-4DD2-A6EB-8CBA7591474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BF989CA-066E-4267-96F0-E619A9A0BA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D1FA3AC5-73B1-4604-8722-03107ECDBA9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3CC6D0D-8BC2-41BC-A8FB-510B5461657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C5300001-69FC-4CA1-A758-23EFE53A37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B5C04C5A-2718-4869-876E-792E717DBC7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C2EA0C25-65AD-4F8E-8A8C-605A62E99D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5B91D1F6-8BAC-49D8-AF60-CDA143DA426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1C5AD946-74B9-4CE4-B2E8-E17D629BAAB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F38BA351-39D7-4440-A15A-1ED965EB571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EE27AD5B-533F-4F8B-8B15-F69F90DD7F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471B5140-EB27-45AC-A058-9227C53D7A1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F0EC7C49-8DC6-4050-951C-BE0807C6862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940EE8DC-B6FD-452B-BE55-7615FDA5CEF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7EBC1E0B-CA23-4B95-A375-CA1806A26D5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DE13912E-D800-4A2A-BE4D-230252A100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6E15E8F6-2F55-408B-AD40-B33D00E982B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5436F47-071B-43F2-ABEB-8E76B8919C4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F4C1DA70-9253-4C3A-82D9-882C4DFAA7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3A37BB65-2A48-4BEF-9239-3B66293CB1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285B3D7D-5583-4A9F-A27A-338E6380121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233EA084-EB54-4449-A1E0-4104ECDA08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8A348162-F8E6-4AF9-8F09-63BC88DB50B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E4294F4-A434-43F1-B07D-31F53F7B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DA31ED4A-009A-4E64-A820-8E0C11B6CAEF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0FFBFB12-8E8E-4FDF-B81C-8417AB20E9D7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C7466F06-C87F-463B-8B1E-564ACE2698F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69273</xdr:colOff>
      <xdr:row>0</xdr:row>
      <xdr:rowOff>51955</xdr:rowOff>
    </xdr:from>
    <xdr:to>
      <xdr:col>2</xdr:col>
      <xdr:colOff>1038753</xdr:colOff>
      <xdr:row>4</xdr:row>
      <xdr:rowOff>364031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0F56D1-9C78-420E-80E4-A35C4E590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3" y="51955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E46F3E58-60FE-46DF-A09C-E27A9DC9AE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8FEB115-C1F7-4ABC-AE4C-6380420152E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8521A15-CF50-45E2-84E4-DF612460989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6E77D69D-6216-4314-8BED-0750BDD7122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29CFD474-B58E-4A00-B69E-78DB287B5D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D677B3A1-71C9-45DB-88C5-2125C729147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4FF376F-D8C1-4685-A168-2812F0BF384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7C5109EC-D4CF-4FFD-9C0A-E4E1908D6E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52C0D20D-8715-4529-8B6A-6C0DFF20265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C06C199F-AC62-42D4-9172-111F0058E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2AC7BC1D-AAA3-4434-A5DC-84A91A6C62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33DB430-182A-428A-9C76-1288DC86D3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C4789992-2A76-411B-9662-1E1A06E285B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DBA7CAD2-F7A5-43F8-9387-FF3E116153F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D8F9B34C-3BFA-49DF-B745-8A55B9F23D8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4F1C28DD-A6A8-4482-AA01-97BD576645C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99122F19-9924-48FA-9EBA-D6258A7A037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A1AD8A5C-7AC3-4926-9C52-272B4D9BC84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AB7C5E5-BB38-4E43-8E48-A5E0299170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520CF54-77D9-4680-A44E-9A7F08F7C51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CB4641A-2397-470D-B837-D97205F13B7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C37D79E-8B91-411E-86E9-99BCCA3F9AF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1F4BD4F-B7C6-428C-AFBC-712B07C2D98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4A3A76C-34E6-46D0-A1D4-97D0BDC021C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56F83857-6FB3-4271-B74D-493A2809F5E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C6C61F4F-715B-442E-89D1-47EF713F46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6EC507C3-C79B-4756-A876-3E3B965FABC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C92B17C9-C923-4892-AF8B-5F72F1B49D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FEB75F0-C36F-4862-A7CD-6F4FD50D89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1C7FE724-F7BA-4DD1-B58E-3BA53EC1A8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87288EB1-6DED-4745-AAFC-F1555E695F4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A7F14DD9-81BE-4A26-AC45-AC4443224EB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2F72574C-1B32-4A22-A3D2-173C00DA366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9E61891-0FAB-4323-AE19-52A07CEF07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9FF9C35C-9964-4220-AA5A-CFDF0D69A1B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B56D41CF-5B53-4BB0-8955-1D2E5CAF5B5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1625FE57-105E-4EF9-8E1E-0AF2091E828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78B6A600-4FB0-437E-9C8B-F07BD9E7484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03D1F60-5A57-4AE3-A138-3FDB5598F8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6F35AE94-7FEF-4C62-BCAC-D72AFABC32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00D62953-748F-4FBC-A743-D11BBE3137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FD92625A-6A1D-4500-934F-AA22C1A1409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3096D259-EC28-420A-A1FE-9EA73D226A4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BEEE996-FB44-4051-94AC-A6034E64383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0D345F1-9CD6-4120-85EA-D1408405074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5F95D800-A8B0-4709-A0D7-514ECDF5E57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359C4CEF-45C1-4B8B-A4E4-D00919ED80E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1295EFB6-8F0E-40E0-986F-7446C4BCFA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F4F9E41B-2E95-4BE3-AE98-EC14E64E5C4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ECB57D71-CB1B-4935-92C6-C75C8DE54C5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901812AC-64DC-489C-8AAC-2CFA63F132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9500F95F-26FD-4153-BE9E-3923D38794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F8A4E2FF-5C05-4A99-A166-EC758BF815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4E7E8E7E-D744-42C4-A5AE-9999399045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51955</xdr:colOff>
      <xdr:row>0</xdr:row>
      <xdr:rowOff>51954</xdr:rowOff>
    </xdr:from>
    <xdr:to>
      <xdr:col>11</xdr:col>
      <xdr:colOff>19332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97358C-4F85-4B93-B041-54805DC56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3819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42489DF6-479D-42A1-AF9B-8A6CA46DBE50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430214E-7475-4153-930B-3DA57255D2F5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73D74A9-EEC5-4FC3-B1A7-8A0607A21715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51954</xdr:colOff>
      <xdr:row>0</xdr:row>
      <xdr:rowOff>69273</xdr:rowOff>
    </xdr:from>
    <xdr:to>
      <xdr:col>2</xdr:col>
      <xdr:colOff>1021434</xdr:colOff>
      <xdr:row>5</xdr:row>
      <xdr:rowOff>349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1B5298-F21A-4CC1-A88F-9AD116699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69273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CD506ED-E8D9-4525-BE51-663209C7814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78750F7-999F-4D59-AC03-830F46707C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156AA870-3E8A-4C1A-BBF4-C80600B82E0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A743D4DF-C4A3-4AC6-9ABF-457A8E453AB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BF5CA889-B6E0-48A4-B95A-996231476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669A7CA-1DE6-4069-ACDF-B95D88A392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D81A3A6D-CD79-4CDF-A732-481CDD4FEFD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C23FEF5-142A-42A6-93B0-CECA2C6F59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312FBBCA-7F5E-45BA-8BFE-4456DA267C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84671E15-4B92-4532-89DD-80CC3063DD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EFBE964A-9512-4442-95A7-5D61573C80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E3DFA2AF-FBEC-4912-9664-523ECA23B0E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F46B8280-A9F9-45CC-96D5-B28E5A71726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11B48308-4597-4680-8C6A-558B9AEBC23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B791A282-244A-491A-9FA2-5BCE5396312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823E9DFA-92F2-417A-BD22-32D43C887BB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33209D6-F5B7-4E56-B478-6AFA54A9D11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1A5504A3-ECF5-4AE2-AC0F-88799C743C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7F9CB0C7-D5C2-40A3-986C-C6EE3B714C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D3FBBCC6-5207-4571-9549-4BEAAD8C33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151BAB8E-9AE4-40A1-8DED-AB48F2218A2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47650B68-D9D2-4AD4-B7D8-BB5C743404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8EC71F9-62EE-4325-9146-DA0634EEB7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B79F8D85-7781-41D0-9211-1CB777C0AC5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B06D3979-9E79-44D2-ABD5-546114C7B8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0BEED194-5700-43AB-A4D7-2DC61B2E82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1544D51-BFD7-42B5-8FF6-9B2F5196B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385FDD2-DABD-4A9D-97E8-580BF19FFD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0C34AC94-1EAD-4724-AC10-C9C1D4D8A08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3B2F56E-0D9B-4D75-A0D3-F708655C6D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A863C3AF-CF56-4FB6-B024-D231FF4BE8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35AE4EB8-11A1-457A-B85A-2C83BAF77ED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789067A8-C636-4A60-A7D8-168577EE524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F5F85E3-C9A5-4950-B89F-A0DD68E7DE0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36B490D8-4286-4BFD-8600-B37D1548E6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EF128E98-18C5-403F-9D2B-E92695F1FD7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68449E04-857C-4625-8DC5-5FAA6AAD02B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8016D367-1368-4106-91F5-4CB6592BFC8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74B80D50-15BD-4F06-83F7-14D47685D4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45FF2FD-3303-403E-9092-19C7034079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1199E80A-1D17-476D-8339-1A772CECDEB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AC77ECC3-F6C0-4926-930A-818EEFA9B28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F7537123-0561-4AEB-899B-127DA29F6D5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0D05D602-8369-4443-94D7-A4FDD456E16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6488743-CD7A-4DB1-BEC3-58BEBB98E1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F1ED1FA6-4443-4AF6-8A5C-B4692F622D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8579756E-1603-4AC4-ACCA-2A643808CD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3EBBCE17-DA68-4F34-89CD-91DC8B8BB10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3AF2F918-E166-4900-BC4F-5B8E0CF2103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3891A045-F48E-446B-B9A5-33FFC944C6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D0EB02F-FE49-489C-9FD5-3EB59FE119F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CDC0FE93-E2B7-4016-8FF7-DFCEE2CF9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7AAC1736-73FB-4F9E-A931-5336AB360D7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F882D693-C3CA-4E50-B10E-91D4EB23A58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43CE9D7B-01AE-4D76-A07E-9C643C03432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E713B470-B914-44DB-94B5-AB37756D372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51954</xdr:rowOff>
    </xdr:from>
    <xdr:to>
      <xdr:col>10</xdr:col>
      <xdr:colOff>2669012</xdr:colOff>
      <xdr:row>4</xdr:row>
      <xdr:rowOff>363681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EBF981-6A42-4B67-B16D-CE0F463E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51954"/>
          <a:ext cx="6375104" cy="183572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E8BD439E-EFC0-4855-AFD8-D9A96D0E3FE1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5EEBB547-5315-4A0C-AACF-10AB906F491E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0A8777A-99C8-4F6A-B562-B6E1C5FDF55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0</xdr:col>
      <xdr:colOff>69272</xdr:colOff>
      <xdr:row>0</xdr:row>
      <xdr:rowOff>51954</xdr:rowOff>
    </xdr:from>
    <xdr:to>
      <xdr:col>2</xdr:col>
      <xdr:colOff>1038752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2A83C4-74AF-4D8A-BBAC-A8AF44FCB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8FBF3FBC-0C36-4D8A-8525-B7BC492BDD0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810F1AC-A3A8-45D4-8A04-B0AA2185F95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C35B77A1-AE7B-40B5-8C1B-0026C83287A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97ACF08-3D98-4795-A241-4CACE2F7AC2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853077F5-FFCB-4359-B407-6FF0BB05AA2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E07ABB91-9259-4686-AB4A-1CBA66842B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36919845-601D-4DA1-8E06-9BAC3C5763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C14ED543-3881-4851-B546-326A49CB97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26107B52-1D0E-406D-A7BC-CCF19133EA2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1FEA8ED-2FB3-48EB-AD6D-4FC1C3AB05E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36CD1D00-2498-4078-A341-7734D0ACB7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4018A040-FE1E-408F-92E6-75395352C74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5EF30D0-4CEB-42A9-882A-ECE91D727B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46BEF3C6-65DB-4981-B8C5-89A38540DD0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446C2003-F3EF-49F2-879C-018CE97088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47A8BBC-B04E-437D-BC54-9C36AA2D0D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B3E1F6F-D02D-4D64-8DC9-C10C6CEB4B9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F8266AD4-AEF4-4909-BCCB-738EBB6E71E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9FA46FA5-B6BD-4927-8C35-7C716F3CE58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18EF2CB-53DB-4A29-BC61-FDB56BF9194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3E6469D9-D2DC-4948-A478-A6C8C07777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03CC91A6-2A22-442E-B8FA-9FC8603745F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1DE16720-6228-47A8-AA2F-09F5CE9A61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A9F131E4-9CD9-41F4-AD65-00328141A80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C3D2E06F-2F9C-4482-9F73-91049D2CE9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FFE5D364-DFFA-42BF-ABDD-EA29C6CECD2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47C5A7E-F7F3-462E-9F9B-6F051841980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44D5F761-236C-4826-8BAA-45F4C9B16D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66DF783F-FDA1-4E41-B782-F1687F67AE1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A77738F6-029A-437B-B742-66C7778994F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1A435E1-7EE6-42FD-ABEE-F7285D44A1F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E141CD2B-A06E-444B-8F07-AFD40A547A1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81D4B661-5C68-4FA4-95B2-47B2FD0A31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333DDF7F-3BFD-47BF-A8F6-C7A2CC424C7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306C35C-DC29-4400-98CA-0DC309727E8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E8AFAA5C-156F-4596-AB9B-CB213F758E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02E891DA-1875-40D5-8844-69F46C3BF9F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1B0CB8E1-4B72-4A62-BD8A-4A617C808B7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5394CA14-7E1B-47D4-A0BA-EAEC29FEFAD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320CBF48-43FC-4457-BE5A-47B8F08242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8F17897B-5AB0-4685-8D53-BACC6DA1019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0021C974-9F24-4BD3-909F-617B764A5E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F3225B03-7D75-4787-8016-0565BCFB5DD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44C39064-420E-491C-B0F2-7F1A53AF5A9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6223BF85-FFE0-4364-9E8E-09FEDFCC15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B2CB9C8F-3B0D-49A4-920A-4B78F538F9C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C8609828-1574-47E3-97C0-8451EFB296B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A02187DA-F422-48CB-96DE-8AAB5BF48B1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693CA11D-A8B0-4116-9DFD-14E073464D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0200B43A-5C40-4FA2-9C4A-B71C5C9609A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4D8DF634-A3D4-4425-B04C-400135AA316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1BA7C966-FF68-4EED-813E-6C5533BB122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CB01D0F7-F8EC-4890-A4E5-82B29EADC4C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65881E40-B24E-4FB5-A6EC-D046D669F11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6553095D-261A-4962-8F98-4DAB722CC07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25902756-EB1E-4E28-B611-075AA56BC83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B26B9585-4922-4B75-B1C0-AA4F885CBE3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65C826B7-2AC0-4861-A732-7F84AE5576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7</xdr:col>
      <xdr:colOff>1541317</xdr:colOff>
      <xdr:row>0</xdr:row>
      <xdr:rowOff>34637</xdr:rowOff>
    </xdr:from>
    <xdr:to>
      <xdr:col>10</xdr:col>
      <xdr:colOff>2651693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432C11-65AD-4FC7-B78E-A2D234982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1862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4CA34387-DE4D-425C-BAA1-6DC9C2E8781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B0020578-C6BF-4287-A0D9-CC65C42550D8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E27FF7A-7EB7-4173-9814-4DBC13061E3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C10E54C-68CB-4A44-BD45-50CD3555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DC419634-98EB-4F4B-9B76-8BDC9FC714B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93D2CAA-875C-49C9-8AF2-3242DC94060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AB40CC01-1445-4842-996D-9BC0EA8D4BF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E737E924-2F25-41DF-B927-D4521E54846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05CB51D-F8BD-46A3-BBBF-3C6EC692859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795B8F09-5DEE-4C3C-949F-A55F1098ED3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5B88684E-E562-4A8C-8D93-40F13EB03AF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BB713A3F-8601-4801-A5B0-8FB282734CF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75122BC-A8DB-4CEB-9C91-054488A41F5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BF5CE57F-902A-415B-9C26-6007DB6C980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05639F0D-C718-4B70-9DF6-C2E9968C97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8DF4DD86-B695-44DF-89D1-6FA8AC9919F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D603BD78-2431-4866-BAE3-78C57EB773F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C8D71C77-8F0C-4439-B17F-C046513EC04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1A9CB18-D2F1-4DA8-AF05-FEDC41A709E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B3275A6B-CF2F-4267-ABFE-231E55B116D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1142AF46-208F-4016-9D0D-68D58652FB5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5CD39520-E054-462A-AF55-4F60237E4F7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527FCE92-B97A-4718-96B3-AF9E415B2EB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5E0B0BE2-7CEF-465D-98B5-8FFAAEFEBD5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72D4BCAA-BB65-4E94-8C86-6C6167422BD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78347152-0DB6-43E2-81F6-D9D144F1A33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A319D963-432F-4726-9F0A-A04C1F974C0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58E8B13-1BA6-4AD1-85CD-69C46EEE53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11B77324-5873-4BA1-A6D0-296DE2FEFE6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237F4700-8AC1-4A71-BFB1-83C3FD4FF5E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2F2E5997-5C7D-4804-9F4F-27060B0A42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86757277-ABAB-4A73-9F7C-A1279273D8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45285BF-7296-4410-B482-30F5A8D7CDE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82B4ACC7-6B5C-47C2-9A2F-817990FF65D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F969BBB-D3B5-43E7-94DB-EDF90834A8B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442A16A9-1786-42A4-86FD-5039D381CC7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DA42DD54-1D1E-4B24-9C95-6E8C6232143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D5715E00-B992-4394-A6C3-F075C93F3A3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449ACF27-51C7-457E-99F9-DA4D1CB18D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F0A27F7-435D-4273-8D57-A297739B56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7AC8FE0C-9DD6-45F3-A2EC-01D3CE1E40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049C64EF-A6CE-4CF8-BD9D-06851BAAAA5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832353D-0CBA-4115-9580-AA7EF9E5C92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403FBA6D-BC60-4836-A4BA-C9DFF407323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65933C42-6E50-4A0B-B4CF-A555916D477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C932ABD0-4819-409B-AAE9-03A8642D2DC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008758EF-EF22-4743-9228-E5A6D854F5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DA7A610-9CDA-4860-85E4-7B9BAB19BF4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7BE82E73-ACCD-43DD-83E4-5FDAE14BD7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A6A17F6-8A2E-49D0-AF98-FC00EB064E8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4066B80A-0011-4DAF-A310-1D52D7AE641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60DCF01C-BA55-4228-9115-D68812F720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3F79C57-D239-4963-9A63-080096D8D3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45C0972A-2982-42A8-8256-B515C91EF67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4F77B61-28A9-45EE-A2E1-91B0374B52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F50FCBC8-5B1C-4F69-B247-CD718C11AE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95ED6921-64AD-4A2C-9805-6AB3DD44CD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B939C4A6-B48C-4E19-9F7E-0A1FEA9D5B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4139F5F5-6AB8-4CFC-ADC4-AF9DDFDCE97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D4FDCB89-74FD-46B6-AD35-132CAAEE676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DAB6F249-862F-462E-B824-801D3005432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DBD8DEC5-54AA-40F2-8BC7-D1F86E93A30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3BFB1C6F-4C58-4B9B-806A-4A06A41EE05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D2C7EA73-F525-4981-94B6-E8D7F1F017D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A4F7961-73D1-4272-A8C4-20E3772B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BA43EED9-C899-439D-830E-D161907EC32F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4CD67268-FCE2-4A08-93D3-51461CE0C98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7C329CFE-B4C3-4F36-87E6-7C417BA0CC9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3EC073-80DE-4775-914D-CD08E6B7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28E5F9C-02F6-4E62-8F16-B41823843B0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D4C08865-11D7-4C69-99F9-0DAF3BA3E97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ABA3BE72-BD4B-4F67-ABFB-222047A011C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240B6431-006A-4A1D-94E6-9CF82EA48CA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8148859A-AEEB-4BEF-8764-67A7AA9F98F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4AB55A4-C090-4CEA-9718-BC61B959CC4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1DB2AE56-82D2-42A9-809F-578375BA821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772D7A44-1745-477F-A7B9-29F288EAE5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874CD7D6-41EE-43C2-A762-4D8C2D1AE39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C8B6BEF6-1249-48E3-A15A-379CDC2203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31DAC335-5C0D-443A-B6C8-6F25715DAB7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1D9FAC37-9E40-44B8-8DD2-8C7A1AA15F0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F1FBFB77-765F-4BE2-A3D7-AFB0555BFA4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76D2055B-9C60-4042-BF6B-FE8EB9209C6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B3BF8B6-514F-468B-9B8C-5659BBAEFFA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82D7905-3F26-4440-A27C-5559D781449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488872F7-7B44-4C99-909C-5C024823D23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7DE9781C-D798-4563-8D3B-C2064DF7D08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6832542D-87DE-47C2-814C-1C30A9571F6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46C1358B-C023-4C48-935D-917C59E9D11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30EF7144-52C8-40B4-BBE3-34B0939F4BA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181B28EB-8F58-4DE8-B7B9-CACEF026E52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A89FC3EC-9DE8-4BAE-8508-7DC78310E1F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E871F59-F049-4E1C-96DF-5EC766D636C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64BA4199-155E-476C-8F3F-387084BA49E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858B8911-59FD-489A-A01F-6C5382950C0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289471D6-91AD-431F-8048-DDC7ADB4AED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39FCFB36-41A4-4338-8FB2-B77B1C7B989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7D853FBD-1025-4AA8-9CC5-583B25B0962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3AA3D668-2CC9-454B-BE80-B960CED79AB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3B50241E-947A-4C53-B0C3-654E0A938A7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B187411E-E309-41EE-A12A-F07BC05418E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06A6D736-EAED-4042-B0E6-67AF366F057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C7F3FB68-CCF0-4802-99BA-396E15129C9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77057356-555D-4C3D-ADD6-453C99DFD76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B50A1D1A-8005-431F-A052-A2CB26FF2F4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57C924A-FDDC-47BC-B74A-83831632F00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5DD38398-3145-41E7-A4B2-8B9E479A253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D17001EB-F002-413F-9112-42DDBEB76FA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CC06C628-4744-41F4-8AA1-0275E0D8CC8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2B7F202F-002D-4C7C-9AA0-560059EAC6FA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7924042A-22A8-44E4-BE24-4C2F27C8F6C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2AACE92D-B2DD-4807-B773-BFC1D9557C4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A10DFB27-CE18-4949-ABDF-83EADBF47D5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90037D8F-C135-4A3C-9B05-E3680343B6E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BE710A8D-CC6C-477F-8549-EA03951FD45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8BA7D400-60CD-4E14-A31A-8AF9DD83B2C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258178E6-89DA-4197-9DC7-6611AC34EC0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87094F98-9C58-4E93-8575-ED890020256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D45D4FB9-69B1-408B-BC53-631D2141A1D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28C636D4-B057-424C-B9B5-4D7F1466215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5A9697B2-51AD-4B2E-88F1-FB13FCF5910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49C8A96F-D56C-4CA4-9C67-10906648CF7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7F613E3E-108E-42CC-82AF-A58940750F4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550B73F5-DD67-4E04-93F1-24886B92D4F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CD8E295-9F55-4F84-88A8-78A776E38A90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6E891C7-C1B6-4B56-82A9-935F2A21480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95A303CC-1F2C-4BA5-B29B-4957406D31DD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E95BA95C-28EB-4748-A252-3F62F2385B1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F4E26325-3E88-402F-B462-259E284D7AD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34637</xdr:colOff>
      <xdr:row>0</xdr:row>
      <xdr:rowOff>34636</xdr:rowOff>
    </xdr:from>
    <xdr:to>
      <xdr:col>11</xdr:col>
      <xdr:colOff>2014</xdr:colOff>
      <xdr:row>4</xdr:row>
      <xdr:rowOff>346363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CA845F1E-C095-46BB-B6B5-0244B5C2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F59394C-875B-475A-96CD-652DF6E69E55}"/>
            </a:ext>
          </a:extLst>
        </xdr:cNvPr>
        <xdr:cNvSpPr>
          <a:spLocks noChangeShapeType="1"/>
        </xdr:cNvSpPr>
      </xdr:nvSpPr>
      <xdr:spPr bwMode="auto">
        <a:xfrm>
          <a:off x="15163800" y="132492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5DAFAA81-45E1-46B2-8E75-5FE14191A6A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B7B007D9-A02E-4F53-8FA8-5AC41D6BE94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69274</xdr:colOff>
      <xdr:row>0</xdr:row>
      <xdr:rowOff>86590</xdr:rowOff>
    </xdr:from>
    <xdr:to>
      <xdr:col>2</xdr:col>
      <xdr:colOff>1038754</xdr:colOff>
      <xdr:row>5</xdr:row>
      <xdr:rowOff>17666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BDA07E-CD29-4A0A-9EAD-391F210D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4" y="86590"/>
          <a:ext cx="5360505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D2EE5EA-B6A5-4E6E-BE62-AF526CC2F29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" name="5 CuadroTexto">
          <a:extLst>
            <a:ext uri="{FF2B5EF4-FFF2-40B4-BE49-F238E27FC236}">
              <a16:creationId xmlns:a16="http://schemas.microsoft.com/office/drawing/2014/main" id="{11B178FC-008B-47B6-BB89-405EEF6AC70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EDCB9DFB-EC7A-47A7-BCF6-13F624154F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A6FCD90F-D10D-4B1A-8B16-B51ADEF710E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E77AA91-34AF-4381-998C-F2D8FEC2271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C1A60484-348C-4F29-9FDB-5EA34167275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9B1A0590-9F57-4A1A-8E54-2E0DB262D2F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EDAB0886-5327-411D-8A41-A4EAD9CA436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65B55E7B-EEF3-416E-B03C-F278AAD8D24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951CAE66-92B1-459B-AE94-A8AE7CBD2BE4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EC313A5-C58C-47E3-BEB4-676714F8776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4AED136-FD14-4212-BB47-197104BB7D79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F117F751-E7C4-449B-9F03-95D489099168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2BEDD14A-E5DB-456E-B09D-AB0D0924A75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BEE58120-5FE7-403B-A0E4-01747A9400D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2B8C2A93-C4CF-4186-A56C-33186477254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C55116CB-1E61-46D5-88E4-0695658A8EA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F8B8F4EB-AD05-472F-A94F-EF0000FCC53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8FA83E25-B5DA-4F45-AF1B-E54E157C46E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D73C58EE-0E1C-49AF-BFED-D6F45E8C4D21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7482F5B1-BB31-4C97-BF5E-CBF58C04260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9F5E1A3C-0770-4B0A-B090-CA9C569C42FE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DE4B59F-ECA8-494B-9D56-0922D8BDD19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310F97AB-2A65-4241-9163-406EBC217E5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1680BE6-86A5-4314-BEE5-79410598D6D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FD7117C-46FE-4168-B578-93B87589CED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80C83370-F04B-4695-BE6A-B0BAE81EE656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C09F9564-C242-46A6-B493-2F3DB36ADD3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AE418592-D2D4-4C08-A5A8-636A01208EC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194391AE-00F4-4336-8CEB-2DD016EEC6D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613E0FA3-FD36-42EF-829A-57822C88CACF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069DCF1B-28E0-4E7C-AFAA-16506A1ECC86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434A61B1-AFD0-4BB5-AB3D-F21F61935C8B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4167F259-7A3B-429D-AED7-4C14D55A3EE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EFB04D0A-343B-4AB9-AF7A-50F9D38BFE7E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CE5B92B-90F1-42CE-A807-F5785DD5213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3A07B3D4-9E4F-43DA-8029-D166086D854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1B063CE1-FFD8-4655-B9A8-ECAAAD289D9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3F106F90-1934-4F3B-90F7-E4AA42A2676D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7D43E1C1-1ACD-4011-ABB3-B8B8B74A945A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DF90C754-BCDB-4FAB-AAFF-F068504277B1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D4A80B4A-3F61-42A1-813C-A6BECF192817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BD3ABB39-4D39-418F-9CDF-A99062DEF5B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115BCB26-205B-4C95-A82F-887F0CB18FA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1FA825FC-BA82-4AAA-8716-167D45608500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87709E05-EA58-493B-95CB-62409939AA9B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A46DD479-2E7B-4AD9-91CC-376EA4804AC3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97EBD7C3-02E2-4BE4-94BF-FD4BE64E349C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94E550AD-C633-42B8-BA6A-B736312299E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E6B7A15B-096C-44B4-AAB7-8AB951C64208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4EB57855-227D-4525-8722-D8B33EB93B09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932CBF9B-D805-4491-8BCD-C1092D3E6465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B2206BC6-CE09-4146-A185-97963183F675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BB9A7170-E510-4212-BF12-7F4CD2D06753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06FB9C66-50F7-4543-9D26-B037D0EBDF22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6255D08-FF4D-4ADE-AD20-F87CAE33ACB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F3F939DE-1609-4535-B758-BECF97CDABF7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E7A155F8-6D43-4298-AC4F-926D1ACC7BCF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D58E563B-3C2A-43D7-9236-255C3802EC5C}"/>
            </a:ext>
          </a:extLst>
        </xdr:cNvPr>
        <xdr:cNvSpPr txBox="1"/>
      </xdr:nvSpPr>
      <xdr:spPr>
        <a:xfrm>
          <a:off x="34924" y="25138290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2AC3208F-C235-496F-915E-C3FF46F89F32}"/>
            </a:ext>
          </a:extLst>
        </xdr:cNvPr>
        <xdr:cNvSpPr txBox="1"/>
      </xdr:nvSpPr>
      <xdr:spPr>
        <a:xfrm>
          <a:off x="16103882" y="25119240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34637</xdr:rowOff>
    </xdr:from>
    <xdr:to>
      <xdr:col>10</xdr:col>
      <xdr:colOff>2669012</xdr:colOff>
      <xdr:row>4</xdr:row>
      <xdr:rowOff>346364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F6FB0326-E5CD-4E0F-B386-B8291B4E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7"/>
          <a:ext cx="6375104" cy="183572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2A2ECF3-F783-476C-9AEB-9F23D3552627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D4342914-17E8-48F2-A232-C3C16330CD86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5FC6B60-2604-4262-A63F-2DC0687B13BB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69275</xdr:colOff>
      <xdr:row>0</xdr:row>
      <xdr:rowOff>51954</xdr:rowOff>
    </xdr:from>
    <xdr:to>
      <xdr:col>2</xdr:col>
      <xdr:colOff>1038755</xdr:colOff>
      <xdr:row>4</xdr:row>
      <xdr:rowOff>364030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4C9E19-8ACA-40CB-9D35-101758C9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5" y="51954"/>
          <a:ext cx="5350980" cy="1836076"/>
        </a:xfrm>
        <a:prstGeom prst="rect">
          <a:avLst/>
        </a:prstGeom>
      </xdr:spPr>
    </xdr:pic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66AC3C7F-EA5C-488D-B57F-C747FA24747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26C0CD03-9F02-4A5A-BEF5-E74079C03F7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69CF4402-4375-4397-A6DA-25F46F83D0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D95173A6-D04C-4CBC-88B3-13635CFDE3E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68FD9F3-03E8-4624-BDC8-C0EF5E2779C1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5DE366BD-5BC9-4286-B963-E0E5E56A8FA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9A1E4226-D945-4480-A227-162CCCF4148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9128A279-EF3F-4D5A-9786-52DCA740379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A953286A-DC3B-4723-9DB4-8C52EC3DDC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A04AEDAD-295D-4F57-B7A3-CC49DC87E1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C7232836-53F4-494E-8D7F-0BCF46227B1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1BEA98A5-DCC0-4DA0-8B9D-551352D959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84DD4B39-5B4D-4F28-9BCD-A97837DAF4B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6465BBF5-A880-45FC-B6D7-01B9C17391D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758ADE4B-4C8F-47DF-980C-75A8BF24213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F228FE83-306D-49CC-815E-E6A22156F41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B9920E38-0D17-41D7-8BD0-FA70B8D2699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DFC4CF99-16F3-4F89-9945-79DA2D48CEA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6EA55F2A-0E2B-445A-BFCB-EE598EC6B0B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666F3FCE-91F2-4CA0-A16B-D364F860BAB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A3F79045-3996-4D02-BD55-734800CAD1A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63697811-60EB-4FEE-A963-2173577D64E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F81E9903-E62A-402D-A42F-E3B96BE73B5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F582E734-B247-4DAF-A0E6-DCD796A23A5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2C2009B9-796A-4721-9C06-8E52AE0B78F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BD742DA4-EFAA-4A25-866C-674799C50B9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EA27609A-2752-444C-AA85-FE343E556F1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96FE1C92-E714-4079-8689-A934A2F62C0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EF3C8C7A-C016-494A-9984-F9380CD540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1627E092-45A9-430D-A62F-6C28F59DFA0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2C41453D-4433-4C79-A0F7-1DA42FB5CBA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5387E4C8-B756-4B6B-AEE8-CFFB9D1D8D4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E37415A3-7DB9-412D-8CE4-FFE1F417817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1121C393-32DB-4C8E-BBEA-D0E64D50608C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105CA063-D233-4D6B-8DD3-1898E727BEF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20D30698-D5AA-4C22-839B-1F7B1A6D922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9A1214CF-0706-4E44-87E7-6A8D2317FDB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088E00F5-A096-4BB7-B966-D2F69CE3654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6DD3DFDD-0410-43A7-9C62-DC85F276733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A8301B7E-11B0-49DC-8061-CED1A85D986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75ECD68B-73B0-420F-B19E-604620C61B3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12C122A7-8107-4434-8969-1A86D768854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6B9037A5-80EA-4DEE-B927-7D5EFAD28C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D5A33FDB-FA30-4D48-B9B6-7E483B9C30B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AD4DDBE4-25AD-4CDC-ACDF-4C78CD03C52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509B6AD1-F4A6-47AD-A0D3-E2141C2894E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E218D57-3AA4-4F09-B177-96928F5AA62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B64A8797-CF46-481E-A18E-170834D70BD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04101455-7700-4C23-83A9-B84CABCCF6A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D397400B-AEB2-488A-AEE8-34EC3C32A08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428ABB2B-083E-458B-A9A4-47DE39119B2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357FB5E2-F534-45A5-9735-30DABC9AB7D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265E65D7-7726-4C36-950B-02454385F72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FB73967A-5D04-40FE-B2D8-AFA2A98B6D8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0843A4B3-BC08-4D89-81F6-DCB2423CA5E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BA69980D-17FA-4B68-8A0D-4D261B705A0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62C0DE44-7333-4126-A6F1-9BED5269369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3E8DB828-84A5-427D-AB10-0EABEFE1836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1A1CF5B5-F5B3-433E-9251-30C95AF53B1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3B31180D-2740-40D7-9E36-692039807AA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63A5D62A-9789-4170-9EE9-AF22C17A6B1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964F7293-FB81-458A-B472-538C407C29A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E4B52B-BA89-4F7D-9505-81AE6717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958851B-991A-4666-AD28-024455BB803B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70F8214-93D2-4F88-93B0-C515472C07D4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2D8C97-0EAB-47CA-B721-3CB6F07BD85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69272</xdr:colOff>
      <xdr:row>0</xdr:row>
      <xdr:rowOff>69272</xdr:rowOff>
    </xdr:from>
    <xdr:to>
      <xdr:col>2</xdr:col>
      <xdr:colOff>1038752</xdr:colOff>
      <xdr:row>5</xdr:row>
      <xdr:rowOff>348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9E83FC-1A81-44BB-AB14-1518CCA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" y="69272"/>
          <a:ext cx="5350980" cy="1836076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962025</xdr:colOff>
      <xdr:row>37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D370C696-CB8C-4B1F-9282-1F614A31ECEE}"/>
            </a:ext>
          </a:extLst>
        </xdr:cNvPr>
        <xdr:cNvSpPr>
          <a:spLocks noChangeShapeType="1"/>
        </xdr:cNvSpPr>
      </xdr:nvSpPr>
      <xdr:spPr bwMode="auto">
        <a:xfrm>
          <a:off x="15162934" y="13421591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407463A-823E-4FD5-8890-A1D07EC3F11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3663335B-A462-413D-ADA1-DBBA111155A8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7076DDC2-0E95-463F-9A4D-83095E8275C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7E788C5F-F56E-478C-9A19-221C33850A5A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BFEC5037-373C-4306-A7B4-B1F915E71C0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4DC635B9-812E-4A16-8A6C-C967B9C497C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2CEBB752-9445-4F85-B4BC-EAD0D73D183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F2ED8800-ECD2-4357-A8B1-D4EB9AF9BB1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6" name="5 CuadroTexto">
          <a:extLst>
            <a:ext uri="{FF2B5EF4-FFF2-40B4-BE49-F238E27FC236}">
              <a16:creationId xmlns:a16="http://schemas.microsoft.com/office/drawing/2014/main" id="{59413863-0060-4338-8235-26F3B2D96B9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7" name="5 CuadroTexto">
          <a:extLst>
            <a:ext uri="{FF2B5EF4-FFF2-40B4-BE49-F238E27FC236}">
              <a16:creationId xmlns:a16="http://schemas.microsoft.com/office/drawing/2014/main" id="{6FB4E3E0-8CC8-4B0D-9604-E30B225FEB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18" name="5 CuadroTexto">
          <a:extLst>
            <a:ext uri="{FF2B5EF4-FFF2-40B4-BE49-F238E27FC236}">
              <a16:creationId xmlns:a16="http://schemas.microsoft.com/office/drawing/2014/main" id="{3DA0BF81-4DCB-470F-8A55-AAEA97069A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19" name="5 CuadroTexto">
          <a:extLst>
            <a:ext uri="{FF2B5EF4-FFF2-40B4-BE49-F238E27FC236}">
              <a16:creationId xmlns:a16="http://schemas.microsoft.com/office/drawing/2014/main" id="{CDD456E2-2B7F-43CA-907E-05CB1D7FB94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0293B7F7-A862-417D-956D-D030189D1250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1" name="5 CuadroTexto">
          <a:extLst>
            <a:ext uri="{FF2B5EF4-FFF2-40B4-BE49-F238E27FC236}">
              <a16:creationId xmlns:a16="http://schemas.microsoft.com/office/drawing/2014/main" id="{93ACA2E0-8BC5-4F65-ABA4-13C1FC90DF3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2" name="5 CuadroTexto">
          <a:extLst>
            <a:ext uri="{FF2B5EF4-FFF2-40B4-BE49-F238E27FC236}">
              <a16:creationId xmlns:a16="http://schemas.microsoft.com/office/drawing/2014/main" id="{1708E903-CA10-4EA6-AA15-98E73425761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3" name="5 CuadroTexto">
          <a:extLst>
            <a:ext uri="{FF2B5EF4-FFF2-40B4-BE49-F238E27FC236}">
              <a16:creationId xmlns:a16="http://schemas.microsoft.com/office/drawing/2014/main" id="{4010E646-03D5-4FAF-AF79-765BEE6ED3F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4" name="5 CuadroTexto">
          <a:extLst>
            <a:ext uri="{FF2B5EF4-FFF2-40B4-BE49-F238E27FC236}">
              <a16:creationId xmlns:a16="http://schemas.microsoft.com/office/drawing/2014/main" id="{FA676457-0A5A-4F49-95EF-3E3844AC625A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5" name="5 CuadroTexto">
          <a:extLst>
            <a:ext uri="{FF2B5EF4-FFF2-40B4-BE49-F238E27FC236}">
              <a16:creationId xmlns:a16="http://schemas.microsoft.com/office/drawing/2014/main" id="{EF1B4AA7-A974-449A-83E5-5A6106F8A46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6" name="5 CuadroTexto">
          <a:extLst>
            <a:ext uri="{FF2B5EF4-FFF2-40B4-BE49-F238E27FC236}">
              <a16:creationId xmlns:a16="http://schemas.microsoft.com/office/drawing/2014/main" id="{BCAC1C95-A7FB-466F-A3A3-EECDEEFC3B3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7" name="5 CuadroTexto">
          <a:extLst>
            <a:ext uri="{FF2B5EF4-FFF2-40B4-BE49-F238E27FC236}">
              <a16:creationId xmlns:a16="http://schemas.microsoft.com/office/drawing/2014/main" id="{EC7417F3-5461-4618-994F-2460A4019BB3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28" name="5 CuadroTexto">
          <a:extLst>
            <a:ext uri="{FF2B5EF4-FFF2-40B4-BE49-F238E27FC236}">
              <a16:creationId xmlns:a16="http://schemas.microsoft.com/office/drawing/2014/main" id="{59CE04EB-4A91-4A1E-9938-FD4536B2B90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29" name="5 CuadroTexto">
          <a:extLst>
            <a:ext uri="{FF2B5EF4-FFF2-40B4-BE49-F238E27FC236}">
              <a16:creationId xmlns:a16="http://schemas.microsoft.com/office/drawing/2014/main" id="{0C6FDB5D-7FA5-457E-BC22-984EB46EF9E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0" name="5 CuadroTexto">
          <a:extLst>
            <a:ext uri="{FF2B5EF4-FFF2-40B4-BE49-F238E27FC236}">
              <a16:creationId xmlns:a16="http://schemas.microsoft.com/office/drawing/2014/main" id="{E73B65CE-AABB-46F0-B25E-E2978E91F614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1" name="5 CuadroTexto">
          <a:extLst>
            <a:ext uri="{FF2B5EF4-FFF2-40B4-BE49-F238E27FC236}">
              <a16:creationId xmlns:a16="http://schemas.microsoft.com/office/drawing/2014/main" id="{E3DA2E70-91DF-48E9-B248-36A8A0CD493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2" name="5 CuadroTexto">
          <a:extLst>
            <a:ext uri="{FF2B5EF4-FFF2-40B4-BE49-F238E27FC236}">
              <a16:creationId xmlns:a16="http://schemas.microsoft.com/office/drawing/2014/main" id="{150A3CF7-637E-49AA-AC26-1851454509C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3" name="5 CuadroTexto">
          <a:extLst>
            <a:ext uri="{FF2B5EF4-FFF2-40B4-BE49-F238E27FC236}">
              <a16:creationId xmlns:a16="http://schemas.microsoft.com/office/drawing/2014/main" id="{F9E6FEC6-5283-4D63-BD37-9FFEE54AF120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4" name="5 CuadroTexto">
          <a:extLst>
            <a:ext uri="{FF2B5EF4-FFF2-40B4-BE49-F238E27FC236}">
              <a16:creationId xmlns:a16="http://schemas.microsoft.com/office/drawing/2014/main" id="{BE8ED8E3-12A2-40D3-A0E4-5515A163D3E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5" name="5 CuadroTexto">
          <a:extLst>
            <a:ext uri="{FF2B5EF4-FFF2-40B4-BE49-F238E27FC236}">
              <a16:creationId xmlns:a16="http://schemas.microsoft.com/office/drawing/2014/main" id="{F7B5E779-19E7-47CA-9D42-AFCDF1346D85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6" name="5 CuadroTexto">
          <a:extLst>
            <a:ext uri="{FF2B5EF4-FFF2-40B4-BE49-F238E27FC236}">
              <a16:creationId xmlns:a16="http://schemas.microsoft.com/office/drawing/2014/main" id="{E1846CDC-20A7-42C4-875B-5273E4CBF44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7" name="5 CuadroTexto">
          <a:extLst>
            <a:ext uri="{FF2B5EF4-FFF2-40B4-BE49-F238E27FC236}">
              <a16:creationId xmlns:a16="http://schemas.microsoft.com/office/drawing/2014/main" id="{CF690F72-BC6E-47B4-A5F7-6FE529CDC3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38" name="5 CuadroTexto">
          <a:extLst>
            <a:ext uri="{FF2B5EF4-FFF2-40B4-BE49-F238E27FC236}">
              <a16:creationId xmlns:a16="http://schemas.microsoft.com/office/drawing/2014/main" id="{57A841E0-7A62-42E1-9D0B-6B067B2A5275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39" name="5 CuadroTexto">
          <a:extLst>
            <a:ext uri="{FF2B5EF4-FFF2-40B4-BE49-F238E27FC236}">
              <a16:creationId xmlns:a16="http://schemas.microsoft.com/office/drawing/2014/main" id="{F3876FCB-A468-4B87-A2D3-C278EBEF5D2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0" name="5 CuadroTexto">
          <a:extLst>
            <a:ext uri="{FF2B5EF4-FFF2-40B4-BE49-F238E27FC236}">
              <a16:creationId xmlns:a16="http://schemas.microsoft.com/office/drawing/2014/main" id="{8D3F13B8-EC4E-48AC-853A-2BD3C00D169E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1" name="5 CuadroTexto">
          <a:extLst>
            <a:ext uri="{FF2B5EF4-FFF2-40B4-BE49-F238E27FC236}">
              <a16:creationId xmlns:a16="http://schemas.microsoft.com/office/drawing/2014/main" id="{08ACC85F-F5BB-4BD9-BC05-AEC7913047D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2" name="5 CuadroTexto">
          <a:extLst>
            <a:ext uri="{FF2B5EF4-FFF2-40B4-BE49-F238E27FC236}">
              <a16:creationId xmlns:a16="http://schemas.microsoft.com/office/drawing/2014/main" id="{F19277DA-B987-466E-A508-87BF5B65EC6F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3" name="5 CuadroTexto">
          <a:extLst>
            <a:ext uri="{FF2B5EF4-FFF2-40B4-BE49-F238E27FC236}">
              <a16:creationId xmlns:a16="http://schemas.microsoft.com/office/drawing/2014/main" id="{4771BB9C-2723-44BC-B58D-9C4192E9DEEE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4" name="5 CuadroTexto">
          <a:extLst>
            <a:ext uri="{FF2B5EF4-FFF2-40B4-BE49-F238E27FC236}">
              <a16:creationId xmlns:a16="http://schemas.microsoft.com/office/drawing/2014/main" id="{9BA2D041-34D7-4C2D-82A4-54FA6C372989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5" name="5 CuadroTexto">
          <a:extLst>
            <a:ext uri="{FF2B5EF4-FFF2-40B4-BE49-F238E27FC236}">
              <a16:creationId xmlns:a16="http://schemas.microsoft.com/office/drawing/2014/main" id="{38F0E20A-0033-43B0-BC63-B0348111F286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6" name="5 CuadroTexto">
          <a:extLst>
            <a:ext uri="{FF2B5EF4-FFF2-40B4-BE49-F238E27FC236}">
              <a16:creationId xmlns:a16="http://schemas.microsoft.com/office/drawing/2014/main" id="{E6F4472B-BCCA-4FFB-8AC2-7180FC065CE6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7" name="5 CuadroTexto">
          <a:extLst>
            <a:ext uri="{FF2B5EF4-FFF2-40B4-BE49-F238E27FC236}">
              <a16:creationId xmlns:a16="http://schemas.microsoft.com/office/drawing/2014/main" id="{D5534974-D32C-4AFA-AEB0-7C2F1FCFAABF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48" name="5 CuadroTexto">
          <a:extLst>
            <a:ext uri="{FF2B5EF4-FFF2-40B4-BE49-F238E27FC236}">
              <a16:creationId xmlns:a16="http://schemas.microsoft.com/office/drawing/2014/main" id="{4927BFAE-655A-4C15-9C6E-8618BFCF890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49" name="5 CuadroTexto">
          <a:extLst>
            <a:ext uri="{FF2B5EF4-FFF2-40B4-BE49-F238E27FC236}">
              <a16:creationId xmlns:a16="http://schemas.microsoft.com/office/drawing/2014/main" id="{A6B10913-F817-4F42-B94C-BFE7D81A22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0" name="5 CuadroTexto">
          <a:extLst>
            <a:ext uri="{FF2B5EF4-FFF2-40B4-BE49-F238E27FC236}">
              <a16:creationId xmlns:a16="http://schemas.microsoft.com/office/drawing/2014/main" id="{D407B2BD-B1C9-4563-A9B0-90B76E3F33B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1" name="5 CuadroTexto">
          <a:extLst>
            <a:ext uri="{FF2B5EF4-FFF2-40B4-BE49-F238E27FC236}">
              <a16:creationId xmlns:a16="http://schemas.microsoft.com/office/drawing/2014/main" id="{392856BA-BA2D-4F45-9C08-54CC7D76334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2" name="5 CuadroTexto">
          <a:extLst>
            <a:ext uri="{FF2B5EF4-FFF2-40B4-BE49-F238E27FC236}">
              <a16:creationId xmlns:a16="http://schemas.microsoft.com/office/drawing/2014/main" id="{EBB9292D-16F9-4490-A0C1-587567380A5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3" name="5 CuadroTexto">
          <a:extLst>
            <a:ext uri="{FF2B5EF4-FFF2-40B4-BE49-F238E27FC236}">
              <a16:creationId xmlns:a16="http://schemas.microsoft.com/office/drawing/2014/main" id="{0922B2D6-400C-4ED2-93DD-F44A5263ABC2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4" name="5 CuadroTexto">
          <a:extLst>
            <a:ext uri="{FF2B5EF4-FFF2-40B4-BE49-F238E27FC236}">
              <a16:creationId xmlns:a16="http://schemas.microsoft.com/office/drawing/2014/main" id="{5EB38459-71D8-4BB6-8DF9-9A9599BFACA8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5" name="5 CuadroTexto">
          <a:extLst>
            <a:ext uri="{FF2B5EF4-FFF2-40B4-BE49-F238E27FC236}">
              <a16:creationId xmlns:a16="http://schemas.microsoft.com/office/drawing/2014/main" id="{B6F95403-421E-4281-8122-3A9A672F68C4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6" name="5 CuadroTexto">
          <a:extLst>
            <a:ext uri="{FF2B5EF4-FFF2-40B4-BE49-F238E27FC236}">
              <a16:creationId xmlns:a16="http://schemas.microsoft.com/office/drawing/2014/main" id="{83B07F10-85EA-4B91-8A9C-6C49CABA930C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7" name="5 CuadroTexto">
          <a:extLst>
            <a:ext uri="{FF2B5EF4-FFF2-40B4-BE49-F238E27FC236}">
              <a16:creationId xmlns:a16="http://schemas.microsoft.com/office/drawing/2014/main" id="{D1DD7256-85EE-4471-81FA-E900DCF2651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58" name="5 CuadroTexto">
          <a:extLst>
            <a:ext uri="{FF2B5EF4-FFF2-40B4-BE49-F238E27FC236}">
              <a16:creationId xmlns:a16="http://schemas.microsoft.com/office/drawing/2014/main" id="{83EBC061-D8D6-4886-B1F8-EF09C59B8922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59" name="5 CuadroTexto">
          <a:extLst>
            <a:ext uri="{FF2B5EF4-FFF2-40B4-BE49-F238E27FC236}">
              <a16:creationId xmlns:a16="http://schemas.microsoft.com/office/drawing/2014/main" id="{25497AA2-2C03-44B7-BB42-3751F2226271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0" name="5 CuadroTexto">
          <a:extLst>
            <a:ext uri="{FF2B5EF4-FFF2-40B4-BE49-F238E27FC236}">
              <a16:creationId xmlns:a16="http://schemas.microsoft.com/office/drawing/2014/main" id="{20320339-F420-47B2-B97A-EEAA491C2E03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1" name="5 CuadroTexto">
          <a:extLst>
            <a:ext uri="{FF2B5EF4-FFF2-40B4-BE49-F238E27FC236}">
              <a16:creationId xmlns:a16="http://schemas.microsoft.com/office/drawing/2014/main" id="{90C6AB7E-2B3B-41DA-8D49-E436B49F41F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2" name="5 CuadroTexto">
          <a:extLst>
            <a:ext uri="{FF2B5EF4-FFF2-40B4-BE49-F238E27FC236}">
              <a16:creationId xmlns:a16="http://schemas.microsoft.com/office/drawing/2014/main" id="{05E576D2-DC88-4039-A32C-9CC27251D20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3" name="5 CuadroTexto">
          <a:extLst>
            <a:ext uri="{FF2B5EF4-FFF2-40B4-BE49-F238E27FC236}">
              <a16:creationId xmlns:a16="http://schemas.microsoft.com/office/drawing/2014/main" id="{4FD45692-EE60-47B3-A09D-06EC519110E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4" name="5 CuadroTexto">
          <a:extLst>
            <a:ext uri="{FF2B5EF4-FFF2-40B4-BE49-F238E27FC236}">
              <a16:creationId xmlns:a16="http://schemas.microsoft.com/office/drawing/2014/main" id="{F821F1A7-EB3A-4103-9B04-610A08908B8D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5" name="5 CuadroTexto">
          <a:extLst>
            <a:ext uri="{FF2B5EF4-FFF2-40B4-BE49-F238E27FC236}">
              <a16:creationId xmlns:a16="http://schemas.microsoft.com/office/drawing/2014/main" id="{E0FFA907-48E8-489F-ACC1-847CBA2CA407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6" name="5 CuadroTexto">
          <a:extLst>
            <a:ext uri="{FF2B5EF4-FFF2-40B4-BE49-F238E27FC236}">
              <a16:creationId xmlns:a16="http://schemas.microsoft.com/office/drawing/2014/main" id="{EB4B0FEC-151D-49F4-AD55-8585E4DF6BA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7" name="5 CuadroTexto">
          <a:extLst>
            <a:ext uri="{FF2B5EF4-FFF2-40B4-BE49-F238E27FC236}">
              <a16:creationId xmlns:a16="http://schemas.microsoft.com/office/drawing/2014/main" id="{7656EFF2-312B-47B0-AD59-51FE6E5BFC6B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68" name="5 CuadroTexto">
          <a:extLst>
            <a:ext uri="{FF2B5EF4-FFF2-40B4-BE49-F238E27FC236}">
              <a16:creationId xmlns:a16="http://schemas.microsoft.com/office/drawing/2014/main" id="{A6F1EEBA-FA6F-41C4-A7AC-F2D6A07CA0F7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69" name="5 CuadroTexto">
          <a:extLst>
            <a:ext uri="{FF2B5EF4-FFF2-40B4-BE49-F238E27FC236}">
              <a16:creationId xmlns:a16="http://schemas.microsoft.com/office/drawing/2014/main" id="{E78C3383-466F-46FF-8339-C667FB80BCAD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34924</xdr:colOff>
      <xdr:row>74</xdr:row>
      <xdr:rowOff>30390</xdr:rowOff>
    </xdr:from>
    <xdr:to>
      <xdr:col>2</xdr:col>
      <xdr:colOff>4199585</xdr:colOff>
      <xdr:row>86</xdr:row>
      <xdr:rowOff>361949</xdr:rowOff>
    </xdr:to>
    <xdr:sp macro="" textlink="">
      <xdr:nvSpPr>
        <xdr:cNvPr id="70" name="5 CuadroTexto">
          <a:extLst>
            <a:ext uri="{FF2B5EF4-FFF2-40B4-BE49-F238E27FC236}">
              <a16:creationId xmlns:a16="http://schemas.microsoft.com/office/drawing/2014/main" id="{3B358A05-060D-4071-A8CD-6511CC3712AB}"/>
            </a:ext>
          </a:extLst>
        </xdr:cNvPr>
        <xdr:cNvSpPr txBox="1"/>
      </xdr:nvSpPr>
      <xdr:spPr>
        <a:xfrm>
          <a:off x="34924" y="254526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74</xdr:row>
      <xdr:rowOff>11340</xdr:rowOff>
    </xdr:from>
    <xdr:to>
      <xdr:col>10</xdr:col>
      <xdr:colOff>2672046</xdr:colOff>
      <xdr:row>86</xdr:row>
      <xdr:rowOff>342899</xdr:rowOff>
    </xdr:to>
    <xdr:sp macro="" textlink="">
      <xdr:nvSpPr>
        <xdr:cNvPr id="71" name="5 CuadroTexto">
          <a:extLst>
            <a:ext uri="{FF2B5EF4-FFF2-40B4-BE49-F238E27FC236}">
              <a16:creationId xmlns:a16="http://schemas.microsoft.com/office/drawing/2014/main" id="{0E3ADA63-9F79-488E-A76A-D6947C208CD9}"/>
            </a:ext>
          </a:extLst>
        </xdr:cNvPr>
        <xdr:cNvSpPr txBox="1"/>
      </xdr:nvSpPr>
      <xdr:spPr>
        <a:xfrm>
          <a:off x="16103882" y="254335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SELLO</a:t>
          </a:r>
        </a:p>
        <a:p>
          <a:pPr algn="ctr"/>
          <a:r>
            <a:rPr lang="es-MX" sz="13800">
              <a:solidFill>
                <a:srgbClr val="F9F9F9"/>
              </a:solidFill>
              <a:latin typeface="Arial" pitchFamily="34" charset="0"/>
              <a:cs typeface="Arial" pitchFamily="34" charset="0"/>
            </a:rPr>
            <a:t>UNIDAD</a:t>
          </a:r>
        </a:p>
      </xdr:txBody>
    </xdr:sp>
    <xdr:clientData/>
  </xdr:twoCellAnchor>
  <xdr:twoCellAnchor editAs="oneCell">
    <xdr:from>
      <xdr:col>8</xdr:col>
      <xdr:colOff>17317</xdr:colOff>
      <xdr:row>0</xdr:row>
      <xdr:rowOff>34636</xdr:rowOff>
    </xdr:from>
    <xdr:to>
      <xdr:col>10</xdr:col>
      <xdr:colOff>2669012</xdr:colOff>
      <xdr:row>4</xdr:row>
      <xdr:rowOff>346363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CFAFBEC-21ED-4276-BB30-695844D76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9181" y="34636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B35-EA9D-4E34-A9F5-D51F22AD51C3}">
  <dimension ref="A1:P87"/>
  <sheetViews>
    <sheetView view="pageBreakPreview" topLeftCell="A34" zoomScale="55" zoomScaleNormal="50" zoomScaleSheetLayoutView="55" workbookViewId="0">
      <selection activeCell="A52" sqref="A52:B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142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98"/>
      <c r="J14" s="99"/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/>
      <c r="J18" s="109"/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/>
      <c r="J20" s="109"/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/>
      <c r="J22" s="110"/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49</v>
      </c>
      <c r="B24" s="194">
        <v>2527</v>
      </c>
      <c r="C24" s="176" t="s">
        <v>22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/>
      <c r="J24" s="110"/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6"/>
      <c r="J26" s="110"/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/>
      <c r="J28" s="110"/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/>
      <c r="J30" s="110"/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/>
      <c r="J32" s="110"/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/>
      <c r="J34" s="110"/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12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/>
      <c r="J40" s="110"/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48</v>
      </c>
      <c r="B44" s="194">
        <v>3822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/>
      <c r="J48" s="110"/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159</v>
      </c>
      <c r="B52" s="174">
        <v>6502</v>
      </c>
      <c r="C52" s="176" t="s">
        <v>156</v>
      </c>
      <c r="D52" s="178" t="s">
        <v>80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 t="s">
        <v>157</v>
      </c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view="pageBreakPreview" topLeftCell="A32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84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85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D12:D13"/>
    <mergeCell ref="D14:D15"/>
    <mergeCell ref="E14:E15"/>
    <mergeCell ref="D16:D17"/>
    <mergeCell ref="E16:E17"/>
    <mergeCell ref="D18:D19"/>
    <mergeCell ref="A65:C65"/>
    <mergeCell ref="A48:A49"/>
    <mergeCell ref="B48:B49"/>
    <mergeCell ref="C48:C49"/>
    <mergeCell ref="A44:A45"/>
    <mergeCell ref="B44:B45"/>
    <mergeCell ref="C44:C45"/>
    <mergeCell ref="A40:A41"/>
    <mergeCell ref="B40:B41"/>
    <mergeCell ref="C40:C41"/>
    <mergeCell ref="A36:A37"/>
    <mergeCell ref="B36:B37"/>
    <mergeCell ref="C36:C37"/>
    <mergeCell ref="A32:A33"/>
    <mergeCell ref="B32:B33"/>
    <mergeCell ref="F48:F49"/>
    <mergeCell ref="K48:K49"/>
    <mergeCell ref="A50:A51"/>
    <mergeCell ref="B50:B51"/>
    <mergeCell ref="C50:C51"/>
    <mergeCell ref="F50:F51"/>
    <mergeCell ref="K50:K51"/>
    <mergeCell ref="D48:D49"/>
    <mergeCell ref="E48:E49"/>
    <mergeCell ref="D50:D51"/>
    <mergeCell ref="E50:E51"/>
    <mergeCell ref="F44:F45"/>
    <mergeCell ref="K44:K45"/>
    <mergeCell ref="A46:A47"/>
    <mergeCell ref="B46:B47"/>
    <mergeCell ref="C46:C47"/>
    <mergeCell ref="F46:F47"/>
    <mergeCell ref="K46:K47"/>
    <mergeCell ref="D46:D47"/>
    <mergeCell ref="E46:E47"/>
    <mergeCell ref="D44:D45"/>
    <mergeCell ref="E44:E45"/>
    <mergeCell ref="F40:F41"/>
    <mergeCell ref="K40:K41"/>
    <mergeCell ref="A42:A43"/>
    <mergeCell ref="B42:B43"/>
    <mergeCell ref="C42:C43"/>
    <mergeCell ref="F42:F43"/>
    <mergeCell ref="K42:K43"/>
    <mergeCell ref="D40:D41"/>
    <mergeCell ref="E40:E41"/>
    <mergeCell ref="D42:D43"/>
    <mergeCell ref="E42:E43"/>
    <mergeCell ref="F36:F37"/>
    <mergeCell ref="K36:K37"/>
    <mergeCell ref="A38:A39"/>
    <mergeCell ref="B38:B39"/>
    <mergeCell ref="C38:C39"/>
    <mergeCell ref="F38:F39"/>
    <mergeCell ref="K38:K39"/>
    <mergeCell ref="D36:D37"/>
    <mergeCell ref="E36:E37"/>
    <mergeCell ref="D38:D39"/>
    <mergeCell ref="E38:E39"/>
    <mergeCell ref="C32:C33"/>
    <mergeCell ref="F32:F33"/>
    <mergeCell ref="K32:K33"/>
    <mergeCell ref="A34:A35"/>
    <mergeCell ref="B34:B35"/>
    <mergeCell ref="C34:C35"/>
    <mergeCell ref="F34:F35"/>
    <mergeCell ref="K34:K35"/>
    <mergeCell ref="D34:D35"/>
    <mergeCell ref="E34:E35"/>
    <mergeCell ref="D32:D33"/>
    <mergeCell ref="E32:E33"/>
    <mergeCell ref="D26:D27"/>
    <mergeCell ref="A28:A29"/>
    <mergeCell ref="B28:B29"/>
    <mergeCell ref="C28:C29"/>
    <mergeCell ref="F28:F29"/>
    <mergeCell ref="K28:K29"/>
    <mergeCell ref="A30:A31"/>
    <mergeCell ref="B30:B31"/>
    <mergeCell ref="C30:C31"/>
    <mergeCell ref="F30:F31"/>
    <mergeCell ref="K30:K31"/>
    <mergeCell ref="D28:D29"/>
    <mergeCell ref="E28:E29"/>
    <mergeCell ref="D30:D31"/>
    <mergeCell ref="E30:E31"/>
    <mergeCell ref="C26:C27"/>
    <mergeCell ref="F26:F27"/>
    <mergeCell ref="K26:K27"/>
    <mergeCell ref="E22:E23"/>
    <mergeCell ref="E26:E27"/>
    <mergeCell ref="A20:A21"/>
    <mergeCell ref="B20:B21"/>
    <mergeCell ref="C20:C21"/>
    <mergeCell ref="F20:F21"/>
    <mergeCell ref="K20:K21"/>
    <mergeCell ref="A22:A23"/>
    <mergeCell ref="B22:B23"/>
    <mergeCell ref="D20:D21"/>
    <mergeCell ref="E20:E21"/>
    <mergeCell ref="D22:D23"/>
    <mergeCell ref="A24:A25"/>
    <mergeCell ref="B24:B25"/>
    <mergeCell ref="C24:C25"/>
    <mergeCell ref="F24:F25"/>
    <mergeCell ref="K24:K25"/>
    <mergeCell ref="A26:A27"/>
    <mergeCell ref="B26:B27"/>
    <mergeCell ref="D24:D25"/>
    <mergeCell ref="C22:C23"/>
    <mergeCell ref="F22:F23"/>
    <mergeCell ref="K22:K23"/>
    <mergeCell ref="E24:E25"/>
    <mergeCell ref="A16:A17"/>
    <mergeCell ref="B16:B17"/>
    <mergeCell ref="C16:C17"/>
    <mergeCell ref="F16:F17"/>
    <mergeCell ref="K16:K17"/>
    <mergeCell ref="C18:C19"/>
    <mergeCell ref="F18:F19"/>
    <mergeCell ref="F12:J12"/>
    <mergeCell ref="K18:K19"/>
    <mergeCell ref="K12:K13"/>
    <mergeCell ref="A12:A13"/>
    <mergeCell ref="B12:B13"/>
    <mergeCell ref="C12:C13"/>
    <mergeCell ref="A14:A15"/>
    <mergeCell ref="B14:B15"/>
    <mergeCell ref="C14:C15"/>
    <mergeCell ref="F14:F15"/>
    <mergeCell ref="K14:K15"/>
    <mergeCell ref="A18:A19"/>
    <mergeCell ref="B18:B19"/>
    <mergeCell ref="E18:E19"/>
    <mergeCell ref="B10:D10"/>
    <mergeCell ref="H10:J10"/>
    <mergeCell ref="A1:K1"/>
    <mergeCell ref="A2:K2"/>
    <mergeCell ref="A3:K3"/>
    <mergeCell ref="A5:K5"/>
    <mergeCell ref="B7:D7"/>
    <mergeCell ref="H7:J7"/>
    <mergeCell ref="B8:D8"/>
    <mergeCell ref="H8:J8"/>
    <mergeCell ref="B9:D9"/>
    <mergeCell ref="H9:J9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H65:K65"/>
    <mergeCell ref="A66:C66"/>
    <mergeCell ref="H66:K66"/>
    <mergeCell ref="A71:C71"/>
    <mergeCell ref="H71:K71"/>
    <mergeCell ref="B54:J54"/>
    <mergeCell ref="G56:H56"/>
    <mergeCell ref="A58:K58"/>
    <mergeCell ref="B59:J59"/>
    <mergeCell ref="B60:J60"/>
    <mergeCell ref="B61:J6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ignoredErrors>
    <ignoredError sqref="H8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350-0F8D-4838-9C03-837C0D45CB2E}">
  <dimension ref="A1:P87"/>
  <sheetViews>
    <sheetView view="pageBreakPreview" topLeftCell="A29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88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112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9778-4677-47D4-9F3E-07D8D24E489F}">
  <dimension ref="A1:P87"/>
  <sheetViews>
    <sheetView view="pageBreakPreview" topLeftCell="A26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89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33" t="s">
        <v>113</v>
      </c>
      <c r="C10" s="233"/>
      <c r="D10" s="233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0E61-ADE0-477A-89D7-AE3977AA0777}">
  <dimension ref="A1:P87"/>
  <sheetViews>
    <sheetView view="pageBreakPreview" topLeftCell="A27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90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114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9683-8039-4EAC-9551-773C18D6B0F3}">
  <dimension ref="A1:P87"/>
  <sheetViews>
    <sheetView view="pageBreakPreview" topLeftCell="A36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91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115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7"/>
  <sheetViews>
    <sheetView view="pageBreakPreview" topLeftCell="A30" zoomScale="55" zoomScaleNormal="50" zoomScaleSheetLayoutView="55" workbookViewId="0">
      <selection activeCell="A52" sqref="A52:D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92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116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6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05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0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3414-B202-457A-A239-FA3B375754A4}">
  <sheetPr>
    <tabColor theme="3" tint="-0.249977111117893"/>
  </sheetPr>
  <dimension ref="A1:P89"/>
  <sheetViews>
    <sheetView tabSelected="1" view="pageBreakPreview" zoomScale="50" zoomScaleNormal="50" zoomScaleSheetLayoutView="50" workbookViewId="0">
      <selection activeCell="H10" sqref="H10:J10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/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/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/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/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165</v>
      </c>
      <c r="B14" s="210">
        <v>6508</v>
      </c>
      <c r="C14" s="188" t="s">
        <v>166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04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05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16</v>
      </c>
      <c r="B30" s="194">
        <v>3805</v>
      </c>
      <c r="C30" s="188" t="s">
        <v>24</v>
      </c>
      <c r="D30" s="178" t="s">
        <v>80</v>
      </c>
      <c r="E30" s="190" t="s">
        <v>78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89"/>
      <c r="D31" s="179"/>
      <c r="E31" s="191"/>
      <c r="F31" s="185"/>
      <c r="G31" s="102"/>
      <c r="H31" s="103"/>
      <c r="I31" s="104"/>
      <c r="J31" s="111"/>
      <c r="K31" s="193"/>
    </row>
    <row r="32" spans="1:16" ht="25.5" customHeight="1" x14ac:dyDescent="0.2">
      <c r="A32" s="172" t="s">
        <v>135</v>
      </c>
      <c r="B32" s="194">
        <v>3808</v>
      </c>
      <c r="C32" s="188" t="s">
        <v>25</v>
      </c>
      <c r="D32" s="178" t="s">
        <v>77</v>
      </c>
      <c r="E32" s="19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89"/>
      <c r="D33" s="179"/>
      <c r="E33" s="191"/>
      <c r="F33" s="185"/>
      <c r="G33" s="102"/>
      <c r="H33" s="103"/>
      <c r="I33" s="104"/>
      <c r="J33" s="115"/>
      <c r="K33" s="193"/>
    </row>
    <row r="34" spans="1:11" ht="25.5" customHeight="1" x14ac:dyDescent="0.2">
      <c r="A34" s="172" t="s">
        <v>19</v>
      </c>
      <c r="B34" s="194">
        <v>3810</v>
      </c>
      <c r="C34" s="188" t="s">
        <v>42</v>
      </c>
      <c r="D34" s="178" t="s">
        <v>80</v>
      </c>
      <c r="E34" s="19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89"/>
      <c r="D35" s="179"/>
      <c r="E35" s="191"/>
      <c r="F35" s="185"/>
      <c r="G35" s="102"/>
      <c r="H35" s="103"/>
      <c r="I35" s="104"/>
      <c r="J35" s="115"/>
      <c r="K35" s="193"/>
    </row>
    <row r="36" spans="1:11" ht="25.5" customHeight="1" x14ac:dyDescent="0.2">
      <c r="A36" s="172" t="s">
        <v>50</v>
      </c>
      <c r="B36" s="194">
        <v>6056</v>
      </c>
      <c r="C36" s="188" t="s">
        <v>29</v>
      </c>
      <c r="D36" s="178" t="s">
        <v>77</v>
      </c>
      <c r="E36" s="190" t="s">
        <v>81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89"/>
      <c r="D37" s="179"/>
      <c r="E37" s="191"/>
      <c r="F37" s="185"/>
      <c r="G37" s="102"/>
      <c r="H37" s="103"/>
      <c r="I37" s="104"/>
      <c r="J37" s="115"/>
      <c r="K37" s="168"/>
    </row>
    <row r="38" spans="1:11" ht="25.5" customHeight="1" x14ac:dyDescent="0.2">
      <c r="A38" s="172" t="s">
        <v>17</v>
      </c>
      <c r="B38" s="194">
        <v>3820</v>
      </c>
      <c r="C38" s="188" t="s">
        <v>40</v>
      </c>
      <c r="D38" s="178" t="s">
        <v>77</v>
      </c>
      <c r="E38" s="19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89"/>
      <c r="D39" s="179"/>
      <c r="E39" s="191"/>
      <c r="F39" s="185"/>
      <c r="G39" s="113"/>
      <c r="H39" s="103"/>
      <c r="I39" s="104"/>
      <c r="J39" s="111"/>
      <c r="K39" s="168"/>
    </row>
    <row r="40" spans="1:11" ht="25.5" customHeight="1" x14ac:dyDescent="0.2">
      <c r="A40" s="172" t="s">
        <v>18</v>
      </c>
      <c r="B40" s="194">
        <v>3821</v>
      </c>
      <c r="C40" s="188" t="s">
        <v>26</v>
      </c>
      <c r="D40" s="178" t="s">
        <v>80</v>
      </c>
      <c r="E40" s="19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173"/>
      <c r="B41" s="195"/>
      <c r="C41" s="189"/>
      <c r="D41" s="179"/>
      <c r="E41" s="19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151</v>
      </c>
      <c r="B42" s="194">
        <v>6317</v>
      </c>
      <c r="C42" s="188" t="s">
        <v>35</v>
      </c>
      <c r="D42" s="178" t="s">
        <v>80</v>
      </c>
      <c r="E42" s="190" t="s">
        <v>78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89"/>
      <c r="D43" s="179"/>
      <c r="E43" s="19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customHeight="1" x14ac:dyDescent="0.2">
      <c r="A44" s="172" t="s">
        <v>30</v>
      </c>
      <c r="B44" s="194">
        <v>3832</v>
      </c>
      <c r="C44" s="188" t="s">
        <v>34</v>
      </c>
      <c r="D44" s="178" t="s">
        <v>77</v>
      </c>
      <c r="E44" s="19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89"/>
      <c r="D45" s="179"/>
      <c r="E45" s="19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158</v>
      </c>
      <c r="B46" s="194">
        <v>6501</v>
      </c>
      <c r="C46" s="188" t="s">
        <v>10</v>
      </c>
      <c r="D46" s="178" t="s">
        <v>77</v>
      </c>
      <c r="E46" s="19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89"/>
      <c r="D47" s="179"/>
      <c r="E47" s="191"/>
      <c r="F47" s="183"/>
      <c r="G47" s="103"/>
      <c r="H47" s="103"/>
      <c r="I47" s="104"/>
      <c r="J47" s="111"/>
      <c r="K47" s="168"/>
    </row>
    <row r="48" spans="1:11" ht="25.5" customHeight="1" x14ac:dyDescent="0.2">
      <c r="A48" s="172" t="s">
        <v>20</v>
      </c>
      <c r="B48" s="186">
        <v>2</v>
      </c>
      <c r="C48" s="188" t="s">
        <v>28</v>
      </c>
      <c r="D48" s="178" t="s">
        <v>77</v>
      </c>
      <c r="E48" s="190" t="s">
        <v>83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87"/>
      <c r="C49" s="189"/>
      <c r="D49" s="179"/>
      <c r="E49" s="191"/>
      <c r="F49" s="183"/>
      <c r="G49" s="103"/>
      <c r="H49" s="103"/>
      <c r="I49" s="104"/>
      <c r="J49" s="111"/>
      <c r="K49" s="193"/>
    </row>
    <row r="50" spans="1:13" ht="25.5" customHeight="1" x14ac:dyDescent="0.2">
      <c r="A50" s="172" t="s">
        <v>159</v>
      </c>
      <c r="B50" s="174">
        <v>6502</v>
      </c>
      <c r="C50" s="176" t="s">
        <v>169</v>
      </c>
      <c r="D50" s="178" t="s">
        <v>80</v>
      </c>
      <c r="E50" s="180" t="s">
        <v>78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75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167</v>
      </c>
      <c r="B52" s="174">
        <v>6506</v>
      </c>
      <c r="C52" s="176" t="s">
        <v>168</v>
      </c>
      <c r="D52" s="178" t="s">
        <v>80</v>
      </c>
      <c r="E52" s="180" t="s">
        <v>78</v>
      </c>
      <c r="F52" s="154"/>
      <c r="G52" s="155"/>
      <c r="H52" s="155"/>
      <c r="I52" s="156"/>
      <c r="J52" s="157"/>
      <c r="K52" s="158"/>
    </row>
    <row r="53" spans="1:13" ht="26.25" thickBot="1" x14ac:dyDescent="0.25">
      <c r="A53" s="173"/>
      <c r="B53" s="175"/>
      <c r="C53" s="177"/>
      <c r="D53" s="179"/>
      <c r="E53" s="181"/>
      <c r="F53" s="154"/>
      <c r="G53" s="155"/>
      <c r="H53" s="155"/>
      <c r="I53" s="156"/>
      <c r="J53" s="157"/>
      <c r="K53" s="158"/>
    </row>
    <row r="54" spans="1:13" ht="25.5" x14ac:dyDescent="0.2">
      <c r="A54" s="172" t="s">
        <v>162</v>
      </c>
      <c r="B54" s="174">
        <v>6509</v>
      </c>
      <c r="C54" s="176" t="s">
        <v>163</v>
      </c>
      <c r="D54" s="178" t="s">
        <v>77</v>
      </c>
      <c r="E54" s="180" t="s">
        <v>78</v>
      </c>
      <c r="F54" s="184"/>
      <c r="G54" s="107" t="str">
        <f>IF(F54=0," ",F54)</f>
        <v xml:space="preserve"> </v>
      </c>
      <c r="H54" s="107" t="str">
        <f>IF(F54=0," ",F54)</f>
        <v xml:space="preserve"> </v>
      </c>
      <c r="I54" s="108" t="str">
        <f>IF(GENERAL!I52=0," ",GENERAL!I52)</f>
        <v xml:space="preserve"> </v>
      </c>
      <c r="J54" s="109" t="str">
        <f>IF(GENERAL!J52=0," ",GENERAL!J52)</f>
        <v xml:space="preserve"> </v>
      </c>
      <c r="K54" s="167"/>
    </row>
    <row r="55" spans="1:13" ht="26.25" thickBot="1" x14ac:dyDescent="0.25">
      <c r="A55" s="173"/>
      <c r="B55" s="175"/>
      <c r="C55" s="177"/>
      <c r="D55" s="179"/>
      <c r="E55" s="181"/>
      <c r="F55" s="185"/>
      <c r="G55" s="103"/>
      <c r="H55" s="103"/>
      <c r="I55" s="115"/>
      <c r="J55" s="111"/>
      <c r="K55" s="168"/>
    </row>
    <row r="56" spans="1:13" s="118" customFormat="1" ht="25.5" customHeight="1" x14ac:dyDescent="0.2">
      <c r="A56" s="116"/>
      <c r="B56" s="169" t="s">
        <v>148</v>
      </c>
      <c r="C56" s="169"/>
      <c r="D56" s="169"/>
      <c r="E56" s="169"/>
      <c r="F56" s="169"/>
      <c r="G56" s="169"/>
      <c r="H56" s="169"/>
      <c r="I56" s="169"/>
      <c r="J56" s="169"/>
      <c r="K56" s="117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25.5" customHeight="1" thickBot="1" x14ac:dyDescent="0.25">
      <c r="A58" s="119"/>
      <c r="C58" s="127" t="s">
        <v>68</v>
      </c>
      <c r="D58" s="128"/>
      <c r="E58" s="124"/>
      <c r="F58" s="122"/>
      <c r="G58" s="170" t="s">
        <v>69</v>
      </c>
      <c r="H58" s="170"/>
      <c r="I58" s="129"/>
      <c r="J58" s="125"/>
      <c r="K58" s="126"/>
    </row>
    <row r="59" spans="1:13" s="87" customFormat="1" ht="25.5" customHeight="1" x14ac:dyDescent="0.2">
      <c r="A59" s="119"/>
      <c r="B59" s="120"/>
      <c r="C59" s="121"/>
      <c r="D59" s="122"/>
      <c r="E59" s="122"/>
      <c r="F59" s="122"/>
      <c r="G59" s="123"/>
      <c r="H59" s="123"/>
      <c r="I59" s="124"/>
      <c r="J59" s="125"/>
      <c r="K59" s="126"/>
    </row>
    <row r="60" spans="1:13" s="87" customFormat="1" ht="30" customHeight="1" x14ac:dyDescent="0.2">
      <c r="A60" s="171" t="s">
        <v>11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M60" s="87" t="s">
        <v>0</v>
      </c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1"/>
    </row>
    <row r="62" spans="1:13" s="87" customFormat="1" ht="30" customHeight="1" x14ac:dyDescent="0.2">
      <c r="A62" s="130"/>
      <c r="B62" s="164"/>
      <c r="C62" s="164"/>
      <c r="D62" s="164"/>
      <c r="E62" s="164"/>
      <c r="F62" s="164"/>
      <c r="G62" s="164"/>
      <c r="H62" s="164"/>
      <c r="I62" s="164"/>
      <c r="J62" s="164"/>
      <c r="K62" s="130"/>
      <c r="L62" s="130"/>
    </row>
    <row r="63" spans="1:13" s="87" customFormat="1" ht="30" customHeight="1" x14ac:dyDescent="0.2">
      <c r="A63" s="130"/>
      <c r="B63" s="164"/>
      <c r="C63" s="164"/>
      <c r="D63" s="164"/>
      <c r="E63" s="164"/>
      <c r="F63" s="164"/>
      <c r="G63" s="164"/>
      <c r="H63" s="164"/>
      <c r="I63" s="164"/>
      <c r="J63" s="164"/>
      <c r="K63" s="130"/>
      <c r="L63" s="121"/>
    </row>
    <row r="64" spans="1:13" s="87" customFormat="1" ht="30" customHeight="1" x14ac:dyDescent="0.2">
      <c r="A64" s="132"/>
      <c r="B64" s="133"/>
      <c r="C64" s="134"/>
      <c r="D64" s="134"/>
      <c r="E64" s="134"/>
      <c r="F64" s="133"/>
      <c r="G64" s="133"/>
      <c r="H64" s="133"/>
      <c r="I64" s="134"/>
      <c r="J64" s="134"/>
      <c r="K64" s="134"/>
    </row>
    <row r="65" spans="1:12" s="87" customFormat="1" ht="30" customHeight="1" x14ac:dyDescent="0.2">
      <c r="A65" s="132"/>
      <c r="B65" s="133"/>
      <c r="C65" s="134"/>
      <c r="D65" s="134"/>
      <c r="E65" s="134"/>
      <c r="F65" s="133"/>
      <c r="H65" s="133"/>
      <c r="I65" s="133"/>
    </row>
    <row r="66" spans="1:12" s="87" customFormat="1" ht="30" customHeight="1" x14ac:dyDescent="0.2">
      <c r="A66" s="135"/>
      <c r="B66" s="136"/>
      <c r="C66" s="137"/>
      <c r="D66" s="137"/>
      <c r="E66" s="137"/>
      <c r="F66" s="136"/>
      <c r="G66" s="138"/>
      <c r="H66" s="136"/>
      <c r="I66" s="136"/>
      <c r="J66" s="138"/>
      <c r="K66" s="138"/>
    </row>
    <row r="67" spans="1:12" s="86" customFormat="1" ht="19.5" customHeight="1" x14ac:dyDescent="0.2">
      <c r="A67" s="160" t="s">
        <v>149</v>
      </c>
      <c r="B67" s="160"/>
      <c r="C67" s="160"/>
      <c r="D67" s="139"/>
      <c r="E67" s="139"/>
      <c r="F67" s="140"/>
      <c r="G67" s="141"/>
      <c r="H67" s="165" t="s">
        <v>57</v>
      </c>
      <c r="I67" s="165"/>
      <c r="J67" s="165"/>
      <c r="K67" s="165"/>
      <c r="L67" s="142"/>
    </row>
    <row r="68" spans="1:12" s="86" customFormat="1" ht="20.100000000000001" customHeight="1" x14ac:dyDescent="0.2">
      <c r="A68" s="161" t="s">
        <v>71</v>
      </c>
      <c r="B68" s="161"/>
      <c r="C68" s="161"/>
      <c r="D68" s="140"/>
      <c r="E68" s="140"/>
      <c r="F68" s="140"/>
      <c r="G68" s="141"/>
      <c r="H68" s="161" t="s">
        <v>38</v>
      </c>
      <c r="I68" s="161"/>
      <c r="J68" s="161"/>
      <c r="K68" s="161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0"/>
      <c r="D70" s="140"/>
      <c r="E70" s="140"/>
      <c r="F70" s="140"/>
      <c r="G70" s="141"/>
      <c r="H70" s="140"/>
      <c r="I70" s="140"/>
      <c r="J70" s="140"/>
      <c r="K70" s="140"/>
    </row>
    <row r="71" spans="1:12" s="86" customFormat="1" ht="30" customHeight="1" x14ac:dyDescent="0.2">
      <c r="A71" s="140"/>
      <c r="B71" s="140"/>
      <c r="C71" s="140"/>
      <c r="D71" s="140"/>
      <c r="E71" s="140"/>
      <c r="F71" s="140"/>
      <c r="G71" s="141"/>
      <c r="H71" s="140"/>
      <c r="I71" s="140"/>
      <c r="J71" s="140"/>
      <c r="K71" s="140"/>
    </row>
    <row r="72" spans="1:12" s="86" customFormat="1" ht="30" customHeight="1" x14ac:dyDescent="0.2">
      <c r="A72" s="140"/>
      <c r="B72" s="140"/>
      <c r="C72" s="141"/>
      <c r="D72" s="141"/>
      <c r="E72" s="141"/>
      <c r="F72" s="140"/>
      <c r="G72" s="141"/>
      <c r="H72" s="140"/>
      <c r="I72" s="140"/>
      <c r="J72" s="141"/>
      <c r="K72" s="141"/>
    </row>
    <row r="73" spans="1:12" s="87" customFormat="1" ht="30" customHeight="1" x14ac:dyDescent="0.2">
      <c r="A73" s="166"/>
      <c r="B73" s="166"/>
      <c r="C73" s="166"/>
      <c r="D73" s="143"/>
      <c r="E73" s="143"/>
      <c r="F73" s="144"/>
      <c r="G73" s="145"/>
      <c r="H73" s="166"/>
      <c r="I73" s="166"/>
      <c r="J73" s="166"/>
      <c r="K73" s="166"/>
      <c r="L73" s="146"/>
    </row>
    <row r="74" spans="1:12" s="87" customFormat="1" ht="18.75" customHeight="1" x14ac:dyDescent="0.2">
      <c r="A74" s="159" t="s">
        <v>150</v>
      </c>
      <c r="B74" s="159"/>
      <c r="C74" s="159"/>
      <c r="D74" s="143"/>
      <c r="E74" s="143"/>
      <c r="F74" s="144"/>
      <c r="G74" s="145"/>
      <c r="H74" s="160" t="s">
        <v>73</v>
      </c>
      <c r="I74" s="160"/>
      <c r="J74" s="160"/>
      <c r="K74" s="160"/>
    </row>
    <row r="75" spans="1:12" s="87" customFormat="1" ht="30" customHeight="1" x14ac:dyDescent="0.2">
      <c r="A75" s="161" t="s">
        <v>72</v>
      </c>
      <c r="B75" s="161"/>
      <c r="C75" s="161"/>
      <c r="D75" s="140"/>
      <c r="E75" s="140"/>
      <c r="F75" s="139"/>
      <c r="G75" s="143"/>
      <c r="L75" s="146"/>
    </row>
    <row r="76" spans="1:12" s="79" customFormat="1" ht="20.25" customHeight="1" x14ac:dyDescent="0.2">
      <c r="A76" s="162"/>
      <c r="B76" s="162"/>
      <c r="C76" s="162"/>
      <c r="D76" s="136"/>
      <c r="E76" s="136"/>
      <c r="F76" s="147"/>
      <c r="G76" s="148"/>
      <c r="H76" s="148"/>
      <c r="I76" s="148"/>
      <c r="J76" s="148"/>
      <c r="K76" s="149"/>
      <c r="L76" s="150"/>
    </row>
    <row r="77" spans="1:12" s="79" customFormat="1" ht="30" customHeight="1" x14ac:dyDescent="0.2">
      <c r="B77" s="163"/>
      <c r="C77" s="163"/>
      <c r="D77" s="151"/>
      <c r="E77" s="151"/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G87" s="152"/>
      <c r="H87" s="152"/>
      <c r="I87" s="152"/>
      <c r="J87" s="152"/>
    </row>
    <row r="88" spans="7:10" s="79" customFormat="1" ht="30" customHeight="1" x14ac:dyDescent="0.2">
      <c r="G88" s="152"/>
      <c r="H88" s="152"/>
      <c r="I88" s="152"/>
      <c r="J88" s="152"/>
    </row>
    <row r="89" spans="7:10" s="79" customFormat="1" ht="30" customHeight="1" x14ac:dyDescent="0.2">
      <c r="H89" s="153"/>
    </row>
  </sheetData>
  <mergeCells count="180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6:J56"/>
    <mergeCell ref="G58:H58"/>
    <mergeCell ref="A60:K60"/>
    <mergeCell ref="B61:J61"/>
    <mergeCell ref="B62:J62"/>
    <mergeCell ref="A50:A51"/>
    <mergeCell ref="B50:B51"/>
    <mergeCell ref="C50:C51"/>
    <mergeCell ref="D50:D51"/>
    <mergeCell ref="E50:E51"/>
    <mergeCell ref="F50:F51"/>
    <mergeCell ref="A54:A55"/>
    <mergeCell ref="B54:B55"/>
    <mergeCell ref="C54:C55"/>
    <mergeCell ref="D54:D55"/>
    <mergeCell ref="E54:E55"/>
    <mergeCell ref="F54:F55"/>
    <mergeCell ref="K54:K55"/>
    <mergeCell ref="C52:C53"/>
    <mergeCell ref="D52:D53"/>
    <mergeCell ref="E52:E53"/>
    <mergeCell ref="A52:A53"/>
    <mergeCell ref="B52:B53"/>
    <mergeCell ref="A74:C74"/>
    <mergeCell ref="H74:K74"/>
    <mergeCell ref="A75:C75"/>
    <mergeCell ref="A76:C76"/>
    <mergeCell ref="B77:C77"/>
    <mergeCell ref="B63:J63"/>
    <mergeCell ref="A67:C67"/>
    <mergeCell ref="H67:K67"/>
    <mergeCell ref="A68:C68"/>
    <mergeCell ref="H68:K68"/>
    <mergeCell ref="A73:C73"/>
    <mergeCell ref="H73:K7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7"/>
  <sheetViews>
    <sheetView view="pageBreakPreview" topLeftCell="A2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93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117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54B1-688D-4E34-9A8F-58F77403FEBD}">
  <dimension ref="A1:P87"/>
  <sheetViews>
    <sheetView view="pageBreakPreview" topLeftCell="A30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94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118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08" t="str">
        <f>IF(GENERAL!I52=0," ",GENERAL!I52)</f>
        <v xml:space="preserve"> </v>
      </c>
      <c r="J52" s="109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46FF-DFB4-4930-84F8-A1B208D371C3}">
  <dimension ref="A1:P87"/>
  <sheetViews>
    <sheetView view="pageBreakPreview" topLeftCell="A32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95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119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DA58-7636-460C-8708-0986CE7EBD39}">
  <dimension ref="A1:P87"/>
  <sheetViews>
    <sheetView view="pageBreakPreview" topLeftCell="A26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96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120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C4D5-F3EC-4050-B551-1D3011529B9C}">
  <dimension ref="A1:P87"/>
  <sheetViews>
    <sheetView view="pageBreakPreview" topLeftCell="A27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97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121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DF11-FB1D-4899-99BE-39BF3BC962C2}">
  <dimension ref="A1:P87"/>
  <sheetViews>
    <sheetView view="pageBreakPreview" topLeftCell="A26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98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122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6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7C6D-57D9-492B-8B0B-8F233AC1EF62}">
  <dimension ref="A1:P87"/>
  <sheetViews>
    <sheetView view="pageBreakPreview" topLeftCell="A30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99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123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4:C74"/>
    <mergeCell ref="A72:C72"/>
    <mergeCell ref="H72:K72"/>
    <mergeCell ref="A73:C73"/>
    <mergeCell ref="B61:J61"/>
    <mergeCell ref="A65:C65"/>
    <mergeCell ref="H65:K65"/>
    <mergeCell ref="A66:C66"/>
    <mergeCell ref="H66:K66"/>
    <mergeCell ref="A71:C71"/>
    <mergeCell ref="H71:K71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B75:C7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4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9BA1-8B56-4CCE-9480-6817BDFA247B}">
  <dimension ref="A1:P87"/>
  <sheetViews>
    <sheetView view="pageBreakPreview" topLeftCell="A27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100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124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06FD-FF3B-40A5-8D4B-FBCD80FD2DA1}">
  <dimension ref="A1:P87"/>
  <sheetViews>
    <sheetView view="pageBreakPreview" topLeftCell="A2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101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125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14" t="str">
        <f>IF(GENERAL!I14=0," ",GENERAL!I14)</f>
        <v xml:space="preserve"> </v>
      </c>
      <c r="J14" s="110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4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14" t="str">
        <f>IF(GENERAL!I16=0," ",GENERAL!I16)</f>
        <v xml:space="preserve"> </v>
      </c>
      <c r="J16" s="110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/>
      <c r="J17" s="105"/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14" t="str">
        <f>IF(GENERAL!I18=0," ",GENERAL!I18)</f>
        <v xml:space="preserve"> </v>
      </c>
      <c r="J18" s="110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14" t="str">
        <f>IF(GENERAL!I20=0," ",GENERAL!I20)</f>
        <v xml:space="preserve"> </v>
      </c>
      <c r="J20" s="110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14" t="str">
        <f>IF(GENERAL!I22=0," ",GENERAL!I22)</f>
        <v xml:space="preserve"> </v>
      </c>
      <c r="J22" s="110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14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14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14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14" t="str">
        <f>IF(GENERAL!I30=0," ",GENERAL!I30)</f>
        <v xml:space="preserve"> </v>
      </c>
      <c r="J30" s="110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14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14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14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14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14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14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/>
      <c r="J43" s="115"/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14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/>
      <c r="J45" s="115"/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14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5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14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5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02C0-490D-4015-8807-933BADC14853}">
  <dimension ref="A1:P87"/>
  <sheetViews>
    <sheetView view="pageBreakPreview" topLeftCell="A33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102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126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98" t="str">
        <f>IF(GENERAL!I14=0," ",GENERAL!I14)</f>
        <v xml:space="preserve"> </v>
      </c>
      <c r="J14" s="9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0A56-43D9-4527-8F27-3134EF5B1D30}">
  <dimension ref="A1:P87"/>
  <sheetViews>
    <sheetView view="pageBreakPreview" topLeftCell="A33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103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127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 t="str">
        <f>IF(GENERAL!I25=0," ",GENERAL!I25)</f>
        <v xml:space="preserve"> </v>
      </c>
      <c r="J25" s="111" t="str">
        <f>IF(GENERAL!J25=0," ",GENERAL!J25)</f>
        <v xml:space="preserve"> </v>
      </c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6A1-9F3E-48AF-8FF7-789C71CC98AA}">
  <dimension ref="A1:P87"/>
  <sheetViews>
    <sheetView view="pageBreakPreview" topLeftCell="A23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34" t="s">
        <v>64</v>
      </c>
      <c r="C8" s="234"/>
      <c r="D8" s="234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104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33" t="s">
        <v>128</v>
      </c>
      <c r="C10" s="233"/>
      <c r="D10" s="233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98" t="str">
        <f>IF(GENERAL!I14=0," ",GENERAL!I14)</f>
        <v xml:space="preserve"> </v>
      </c>
      <c r="J14" s="9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98" t="str">
        <f>IF(GENERAL!I24=0," ",GENERAL!I24)</f>
        <v xml:space="preserve"> </v>
      </c>
      <c r="J24" s="9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98" t="str">
        <f>IF(GENERAL!I26=0," ",GENERAL!I26)</f>
        <v xml:space="preserve"> </v>
      </c>
      <c r="J26" s="9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 t="str">
        <f>IF(GENERAL!I27=0," ",GENERAL!I27)</f>
        <v xml:space="preserve"> </v>
      </c>
      <c r="J27" s="115" t="str">
        <f>IF(GENERAL!J27=0," ",GENERAL!J27)</f>
        <v xml:space="preserve"> </v>
      </c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98" t="str">
        <f>IF(GENERAL!I30=0," ",GENERAL!I30)</f>
        <v xml:space="preserve"> </v>
      </c>
      <c r="J30" s="9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98" t="str">
        <f>IF(GENERAL!I46=0," ",GENERAL!I46)</f>
        <v xml:space="preserve"> </v>
      </c>
      <c r="J46" s="9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98" t="str">
        <f>IF(GENERAL!I48=0," ",GENERAL!I48)</f>
        <v xml:space="preserve"> </v>
      </c>
      <c r="J48" s="9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C7-835C-4CD9-9C2A-FC062ED5EB77}">
  <dimension ref="A1:P84"/>
  <sheetViews>
    <sheetView view="pageBreakPreview" topLeftCell="A8" zoomScale="55" zoomScaleNormal="50" zoomScaleSheetLayoutView="55" workbookViewId="0">
      <selection activeCell="A14" sqref="A14:B51"/>
    </sheetView>
  </sheetViews>
  <sheetFormatPr baseColWidth="10" defaultRowHeight="12.75" x14ac:dyDescent="0.2"/>
  <cols>
    <col min="1" max="1" width="43.7109375" customWidth="1"/>
    <col min="2" max="2" width="22.140625" customWidth="1"/>
    <col min="3" max="3" width="63" customWidth="1"/>
    <col min="4" max="4" width="34.85546875" customWidth="1"/>
    <col min="5" max="5" width="30.42578125" customWidth="1"/>
    <col min="6" max="6" width="24.5703125" customWidth="1"/>
    <col min="7" max="7" width="23.42578125" customWidth="1"/>
    <col min="8" max="8" width="23.140625" customWidth="1"/>
    <col min="9" max="9" width="33.42578125" customWidth="1"/>
    <col min="10" max="10" width="22.42578125" customWidth="1"/>
    <col min="11" max="11" width="40.28515625" customWidth="1"/>
    <col min="13" max="13" width="11.42578125" customWidth="1"/>
    <col min="14" max="14" width="22.140625" customWidth="1"/>
    <col min="16" max="16" width="28.28515625" customWidth="1"/>
  </cols>
  <sheetData>
    <row r="1" spans="1:16" s="27" customFormat="1" ht="30" x14ac:dyDescent="0.2">
      <c r="A1" s="235" t="s">
        <v>43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6"/>
    </row>
    <row r="2" spans="1:16" s="27" customFormat="1" ht="30" x14ac:dyDescent="0.2">
      <c r="A2" s="235" t="s">
        <v>44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8"/>
    </row>
    <row r="3" spans="1:16" s="27" customFormat="1" ht="30" customHeight="1" x14ac:dyDescent="0.2">
      <c r="A3" s="235" t="s">
        <v>59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8"/>
    </row>
    <row r="4" spans="1:16" s="27" customFormat="1" ht="30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8"/>
    </row>
    <row r="5" spans="1:16" s="27" customFormat="1" ht="30" customHeight="1" x14ac:dyDescent="0.2">
      <c r="A5" s="235" t="s">
        <v>60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</row>
    <row r="6" spans="1:16" s="27" customFormat="1" ht="30" customHeight="1" x14ac:dyDescent="0.2">
      <c r="A6" s="25"/>
      <c r="B6" s="25"/>
      <c r="C6" s="25"/>
      <c r="D6" s="25"/>
      <c r="E6" s="30"/>
      <c r="F6" s="25"/>
      <c r="G6" s="25"/>
      <c r="H6" s="25"/>
      <c r="I6" s="25"/>
      <c r="J6" s="25"/>
      <c r="K6" s="30"/>
    </row>
    <row r="7" spans="1:16" s="35" customFormat="1" ht="39.950000000000003" customHeight="1" x14ac:dyDescent="0.4">
      <c r="A7" s="31" t="s">
        <v>61</v>
      </c>
      <c r="B7" s="236" t="s">
        <v>87</v>
      </c>
      <c r="C7" s="236"/>
      <c r="D7" s="236"/>
      <c r="E7" s="32"/>
      <c r="F7" s="33"/>
      <c r="G7" s="31" t="s">
        <v>1</v>
      </c>
      <c r="H7" s="236" t="s">
        <v>62</v>
      </c>
      <c r="I7" s="236"/>
      <c r="J7" s="236"/>
      <c r="K7" s="34"/>
    </row>
    <row r="8" spans="1:16" s="35" customFormat="1" ht="39.950000000000003" customHeight="1" x14ac:dyDescent="0.4">
      <c r="A8" s="31" t="s">
        <v>63</v>
      </c>
      <c r="B8" s="248" t="s">
        <v>64</v>
      </c>
      <c r="C8" s="248"/>
      <c r="D8" s="248"/>
      <c r="E8" s="36"/>
      <c r="F8" s="33"/>
      <c r="G8" s="31" t="s">
        <v>65</v>
      </c>
      <c r="H8" s="249" t="str">
        <f>IF(GENERAL!H8=0," ",GENERAL!H8)</f>
        <v xml:space="preserve"> </v>
      </c>
      <c r="I8" s="249"/>
      <c r="J8" s="249"/>
      <c r="K8" s="34"/>
    </row>
    <row r="9" spans="1:16" s="35" customFormat="1" ht="39.950000000000003" customHeight="1" x14ac:dyDescent="0.4">
      <c r="A9" s="31" t="s">
        <v>66</v>
      </c>
      <c r="B9" s="236" t="s">
        <v>107</v>
      </c>
      <c r="C9" s="236"/>
      <c r="D9" s="236"/>
      <c r="E9" s="32"/>
      <c r="F9" s="33"/>
      <c r="G9" s="31" t="s">
        <v>36</v>
      </c>
      <c r="H9" s="250"/>
      <c r="I9" s="250"/>
      <c r="J9" s="250"/>
      <c r="K9" s="34"/>
    </row>
    <row r="10" spans="1:16" s="35" customFormat="1" ht="39.75" customHeight="1" x14ac:dyDescent="0.4">
      <c r="A10" s="31" t="s">
        <v>63</v>
      </c>
      <c r="B10" s="251"/>
      <c r="C10" s="251"/>
      <c r="D10" s="251"/>
      <c r="E10" s="36"/>
      <c r="F10" s="33"/>
      <c r="G10" s="31" t="s">
        <v>33</v>
      </c>
      <c r="H10" s="236" t="str">
        <f>GENERAL!H10</f>
        <v>OCTUBRE</v>
      </c>
      <c r="I10" s="236"/>
      <c r="J10" s="236"/>
      <c r="K10" s="34"/>
    </row>
    <row r="11" spans="1:16" ht="39.75" customHeight="1" thickBo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6" s="23" customFormat="1" ht="20.25" x14ac:dyDescent="0.3">
      <c r="A12" s="237" t="s">
        <v>2</v>
      </c>
      <c r="B12" s="239" t="s">
        <v>37</v>
      </c>
      <c r="C12" s="239" t="s">
        <v>3</v>
      </c>
      <c r="D12" s="241" t="s">
        <v>74</v>
      </c>
      <c r="E12" s="67" t="s">
        <v>75</v>
      </c>
      <c r="F12" s="243" t="s">
        <v>4</v>
      </c>
      <c r="G12" s="244"/>
      <c r="H12" s="244"/>
      <c r="I12" s="244"/>
      <c r="J12" s="245"/>
      <c r="K12" s="246" t="s">
        <v>32</v>
      </c>
    </row>
    <row r="13" spans="1:16" s="23" customFormat="1" ht="21" thickBot="1" x14ac:dyDescent="0.35">
      <c r="A13" s="238"/>
      <c r="B13" s="240"/>
      <c r="C13" s="240"/>
      <c r="D13" s="242"/>
      <c r="E13" s="68" t="s">
        <v>76</v>
      </c>
      <c r="F13" s="69" t="s">
        <v>5</v>
      </c>
      <c r="G13" s="69" t="s">
        <v>6</v>
      </c>
      <c r="H13" s="69" t="s">
        <v>7</v>
      </c>
      <c r="I13" s="24" t="s">
        <v>8</v>
      </c>
      <c r="J13" s="24" t="s">
        <v>31</v>
      </c>
      <c r="K13" s="247"/>
    </row>
    <row r="14" spans="1:16" ht="26.25" customHeight="1" x14ac:dyDescent="0.2">
      <c r="A14" s="267" t="s">
        <v>134</v>
      </c>
      <c r="B14" s="268">
        <v>146</v>
      </c>
      <c r="C14" s="269" t="s">
        <v>27</v>
      </c>
      <c r="D14" s="260" t="s">
        <v>77</v>
      </c>
      <c r="E14" s="262" t="s">
        <v>78</v>
      </c>
      <c r="F14" s="264"/>
      <c r="G14" s="2"/>
      <c r="H14" s="3"/>
      <c r="I14" s="20" t="str">
        <f>IF(GENERAL!I14=0," ",GENERAL!I14)</f>
        <v xml:space="preserve"> </v>
      </c>
      <c r="J14" s="21" t="str">
        <f>IF(GENERAL!J14=0," ",GENERAL!J14)</f>
        <v xml:space="preserve"> </v>
      </c>
      <c r="K14" s="252"/>
      <c r="M14" s="17">
        <f>SUM(F14+(F44*10)+(F32*10)+F22+F34+(F36*10)+F48)</f>
        <v>0</v>
      </c>
      <c r="N14" s="18" t="s">
        <v>51</v>
      </c>
      <c r="O14" s="18">
        <v>2715</v>
      </c>
      <c r="P14" s="18" t="s">
        <v>52</v>
      </c>
    </row>
    <row r="15" spans="1:16" ht="27" thickBot="1" x14ac:dyDescent="0.25">
      <c r="A15" s="255"/>
      <c r="B15" s="257"/>
      <c r="C15" s="270"/>
      <c r="D15" s="261"/>
      <c r="E15" s="263"/>
      <c r="F15" s="265"/>
      <c r="G15" s="4"/>
      <c r="H15" s="5"/>
      <c r="I15" s="6" t="str">
        <f>IF(GENERAL!I15=0," ",GENERAL!I15)</f>
        <v xml:space="preserve"> </v>
      </c>
      <c r="J15" s="76" t="str">
        <f>IF(GENERAL!J15=0," ",GENERAL!J15)</f>
        <v xml:space="preserve"> </v>
      </c>
      <c r="K15" s="253"/>
      <c r="M15" s="17">
        <f>SUM((F44/3)*20+F20)</f>
        <v>0</v>
      </c>
      <c r="N15" s="18" t="s">
        <v>51</v>
      </c>
      <c r="O15" s="18">
        <v>2707</v>
      </c>
      <c r="P15" s="18" t="s">
        <v>53</v>
      </c>
    </row>
    <row r="16" spans="1:16" ht="26.25" x14ac:dyDescent="0.2">
      <c r="A16" s="254" t="s">
        <v>46</v>
      </c>
      <c r="B16" s="256">
        <v>148</v>
      </c>
      <c r="C16" s="258" t="s">
        <v>9</v>
      </c>
      <c r="D16" s="260" t="s">
        <v>77</v>
      </c>
      <c r="E16" s="262" t="s">
        <v>79</v>
      </c>
      <c r="F16" s="264"/>
      <c r="G16" s="7"/>
      <c r="H16" s="8"/>
      <c r="I16" s="9" t="str">
        <f>IF(GENERAL!I16=0," ",GENERAL!I16)</f>
        <v xml:space="preserve"> </v>
      </c>
      <c r="J16" s="22" t="str">
        <f>IF(GENERAL!J16=0," ",GENERAL!J16)</f>
        <v xml:space="preserve"> </v>
      </c>
      <c r="K16" s="266"/>
      <c r="M16" s="17">
        <f>SUM(F24)</f>
        <v>0</v>
      </c>
      <c r="N16" s="18" t="s">
        <v>51</v>
      </c>
      <c r="O16" s="18">
        <v>2699</v>
      </c>
      <c r="P16" s="18" t="s">
        <v>54</v>
      </c>
    </row>
    <row r="17" spans="1:16" ht="27" thickBot="1" x14ac:dyDescent="0.25">
      <c r="A17" s="255"/>
      <c r="B17" s="257"/>
      <c r="C17" s="259"/>
      <c r="D17" s="261"/>
      <c r="E17" s="263"/>
      <c r="F17" s="265"/>
      <c r="G17" s="4"/>
      <c r="H17" s="5"/>
      <c r="I17" s="6" t="str">
        <f>IF(GENERAL!I17=0," ",GENERAL!I17)</f>
        <v xml:space="preserve"> </v>
      </c>
      <c r="J17" s="76" t="str">
        <f>IF(GENERAL!J17=0," ",GENERAL!J17)</f>
        <v xml:space="preserve"> </v>
      </c>
      <c r="K17" s="253"/>
      <c r="M17" s="17">
        <f>SUM(F26+F40)</f>
        <v>0</v>
      </c>
      <c r="N17" s="18" t="s">
        <v>51</v>
      </c>
      <c r="O17" s="18">
        <v>2657</v>
      </c>
      <c r="P17" s="18" t="s">
        <v>55</v>
      </c>
    </row>
    <row r="18" spans="1:16" ht="26.25" customHeight="1" x14ac:dyDescent="0.2">
      <c r="A18" s="273" t="s">
        <v>133</v>
      </c>
      <c r="B18" s="275">
        <v>150</v>
      </c>
      <c r="C18" s="277" t="s">
        <v>58</v>
      </c>
      <c r="D18" s="260" t="s">
        <v>77</v>
      </c>
      <c r="E18" s="262" t="s">
        <v>79</v>
      </c>
      <c r="F18" s="264"/>
      <c r="G18" s="7"/>
      <c r="H18" s="8"/>
      <c r="I18" s="9" t="str">
        <f>IF(GENERAL!I18=0," ",GENERAL!I18)</f>
        <v xml:space="preserve"> </v>
      </c>
      <c r="J18" s="22" t="str">
        <f>IF(GENERAL!J18=0," ",GENERAL!J18)</f>
        <v xml:space="preserve"> </v>
      </c>
      <c r="K18" s="271"/>
      <c r="M18" s="17">
        <f>SUM(F28*10)</f>
        <v>0</v>
      </c>
      <c r="N18" s="18" t="s">
        <v>51</v>
      </c>
      <c r="O18" s="18">
        <v>59</v>
      </c>
      <c r="P18" s="18" t="s">
        <v>56</v>
      </c>
    </row>
    <row r="19" spans="1:16" ht="27" thickBot="1" x14ac:dyDescent="0.25">
      <c r="A19" s="274"/>
      <c r="B19" s="276"/>
      <c r="C19" s="278"/>
      <c r="D19" s="261"/>
      <c r="E19" s="263"/>
      <c r="F19" s="265"/>
      <c r="G19" s="4"/>
      <c r="H19" s="5"/>
      <c r="I19" s="6" t="str">
        <f>IF(GENERAL!I19=0," ",GENERAL!I19)</f>
        <v xml:space="preserve"> </v>
      </c>
      <c r="J19" s="76" t="str">
        <f>IF(GENERAL!J19=0," ",GENERAL!J19)</f>
        <v xml:space="preserve"> </v>
      </c>
      <c r="K19" s="272"/>
    </row>
    <row r="20" spans="1:16" ht="26.25" x14ac:dyDescent="0.2">
      <c r="A20" s="273" t="s">
        <v>45</v>
      </c>
      <c r="B20" s="275">
        <v>6135</v>
      </c>
      <c r="C20" s="277" t="s">
        <v>47</v>
      </c>
      <c r="D20" s="260" t="s">
        <v>77</v>
      </c>
      <c r="E20" s="262" t="s">
        <v>78</v>
      </c>
      <c r="F20" s="264"/>
      <c r="G20" s="7"/>
      <c r="H20" s="8"/>
      <c r="I20" s="9" t="str">
        <f>IF(GENERAL!I20=0," ",GENERAL!I20)</f>
        <v xml:space="preserve"> </v>
      </c>
      <c r="J20" s="22" t="str">
        <f>IF(GENERAL!J20=0," ",GENERAL!J20)</f>
        <v xml:space="preserve"> </v>
      </c>
      <c r="K20" s="271"/>
    </row>
    <row r="21" spans="1:16" ht="27" thickBot="1" x14ac:dyDescent="0.25">
      <c r="A21" s="274"/>
      <c r="B21" s="276"/>
      <c r="C21" s="278"/>
      <c r="D21" s="261"/>
      <c r="E21" s="263"/>
      <c r="F21" s="265"/>
      <c r="G21" s="4"/>
      <c r="H21" s="5"/>
      <c r="I21" s="6" t="str">
        <f>IF(GENERAL!I21=0," ",GENERAL!I21)</f>
        <v xml:space="preserve"> </v>
      </c>
      <c r="J21" s="76" t="str">
        <f>IF(GENERAL!J21=0," ",GENERAL!J21)</f>
        <v xml:space="preserve"> </v>
      </c>
      <c r="K21" s="272"/>
    </row>
    <row r="22" spans="1:16" ht="26.25" x14ac:dyDescent="0.2">
      <c r="A22" s="273" t="s">
        <v>14</v>
      </c>
      <c r="B22" s="275">
        <v>2526</v>
      </c>
      <c r="C22" s="277" t="s">
        <v>21</v>
      </c>
      <c r="D22" s="260" t="s">
        <v>80</v>
      </c>
      <c r="E22" s="262" t="s">
        <v>78</v>
      </c>
      <c r="F22" s="264"/>
      <c r="G22" s="7"/>
      <c r="H22" s="8"/>
      <c r="I22" s="9" t="str">
        <f>IF(GENERAL!I22=0," ",GENERAL!I22)</f>
        <v xml:space="preserve"> </v>
      </c>
      <c r="J22" s="10" t="str">
        <f>IF(GENERAL!J22=0," ",GENERAL!J22)</f>
        <v xml:space="preserve"> </v>
      </c>
      <c r="K22" s="279"/>
    </row>
    <row r="23" spans="1:16" ht="27" thickBot="1" x14ac:dyDescent="0.25">
      <c r="A23" s="274"/>
      <c r="B23" s="276"/>
      <c r="C23" s="278"/>
      <c r="D23" s="261"/>
      <c r="E23" s="263"/>
      <c r="F23" s="265"/>
      <c r="G23" s="4"/>
      <c r="H23" s="5"/>
      <c r="I23" s="6" t="str">
        <f>IF(GENERAL!I23=0," ",GENERAL!I23)</f>
        <v xml:space="preserve"> </v>
      </c>
      <c r="J23" s="11" t="str">
        <f>IF(GENERAL!J23=0," ",GENERAL!J23)</f>
        <v xml:space="preserve"> </v>
      </c>
      <c r="K23" s="280"/>
    </row>
    <row r="24" spans="1:16" ht="26.25" x14ac:dyDescent="0.2">
      <c r="A24" s="273" t="s">
        <v>49</v>
      </c>
      <c r="B24" s="275">
        <v>2527</v>
      </c>
      <c r="C24" s="277" t="s">
        <v>22</v>
      </c>
      <c r="D24" s="260" t="s">
        <v>77</v>
      </c>
      <c r="E24" s="262" t="s">
        <v>78</v>
      </c>
      <c r="F24" s="264"/>
      <c r="G24" s="7"/>
      <c r="H24" s="8"/>
      <c r="I24" s="9" t="str">
        <f>IF(GENERAL!I24=0," ",GENERAL!I24)</f>
        <v xml:space="preserve"> </v>
      </c>
      <c r="J24" s="10" t="str">
        <f>IF(GENERAL!J24=0," ",GENERAL!J24)</f>
        <v xml:space="preserve"> </v>
      </c>
      <c r="K24" s="281"/>
    </row>
    <row r="25" spans="1:16" ht="27" thickBot="1" x14ac:dyDescent="0.25">
      <c r="A25" s="274"/>
      <c r="B25" s="276"/>
      <c r="C25" s="278"/>
      <c r="D25" s="261"/>
      <c r="E25" s="263"/>
      <c r="F25" s="265"/>
      <c r="G25" s="4"/>
      <c r="H25" s="5"/>
      <c r="I25" s="6" t="str">
        <f>IF(GENERAL!I25=0," ",GENERAL!I25)</f>
        <v xml:space="preserve"> </v>
      </c>
      <c r="J25" s="11" t="str">
        <f>IF(GENERAL!J25=0," ",GENERAL!J25)</f>
        <v xml:space="preserve"> </v>
      </c>
      <c r="K25" s="282"/>
    </row>
    <row r="26" spans="1:16" ht="26.25" x14ac:dyDescent="0.2">
      <c r="A26" s="273" t="s">
        <v>12</v>
      </c>
      <c r="B26" s="275">
        <v>3800</v>
      </c>
      <c r="C26" s="277" t="s">
        <v>39</v>
      </c>
      <c r="D26" s="260" t="s">
        <v>80</v>
      </c>
      <c r="E26" s="262" t="s">
        <v>81</v>
      </c>
      <c r="F26" s="264"/>
      <c r="G26" s="7"/>
      <c r="H26" s="8"/>
      <c r="I26" s="7" t="str">
        <f>IF(GENERAL!I26=0," ",GENERAL!I26)</f>
        <v xml:space="preserve"> </v>
      </c>
      <c r="J26" s="10" t="str">
        <f>IF(GENERAL!J26=0," ",GENERAL!J26)</f>
        <v xml:space="preserve"> </v>
      </c>
      <c r="K26" s="279"/>
    </row>
    <row r="27" spans="1:16" ht="27" thickBot="1" x14ac:dyDescent="0.25">
      <c r="A27" s="274"/>
      <c r="B27" s="276"/>
      <c r="C27" s="278"/>
      <c r="D27" s="261"/>
      <c r="E27" s="263"/>
      <c r="F27" s="265"/>
      <c r="G27" s="4"/>
      <c r="H27" s="5"/>
      <c r="I27" s="6" t="str">
        <f>IF(GENERAL!I27=0," ",GENERAL!I27)</f>
        <v xml:space="preserve"> </v>
      </c>
      <c r="J27" s="11" t="str">
        <f>IF(GENERAL!J27=0," ",GENERAL!J27)</f>
        <v xml:space="preserve"> </v>
      </c>
      <c r="K27" s="280"/>
    </row>
    <row r="28" spans="1:16" ht="26.25" x14ac:dyDescent="0.2">
      <c r="A28" s="273" t="s">
        <v>13</v>
      </c>
      <c r="B28" s="275">
        <v>3801</v>
      </c>
      <c r="C28" s="277" t="s">
        <v>23</v>
      </c>
      <c r="D28" s="260" t="s">
        <v>80</v>
      </c>
      <c r="E28" s="262" t="s">
        <v>81</v>
      </c>
      <c r="F28" s="264"/>
      <c r="G28" s="7"/>
      <c r="H28" s="8"/>
      <c r="I28" s="9" t="str">
        <f>IF(GENERAL!I28=0," ",GENERAL!I28)</f>
        <v xml:space="preserve"> </v>
      </c>
      <c r="J28" s="10" t="str">
        <f>IF(GENERAL!J28=0," ",GENERAL!J28)</f>
        <v xml:space="preserve"> </v>
      </c>
      <c r="K28" s="279"/>
    </row>
    <row r="29" spans="1:16" ht="27" thickBot="1" x14ac:dyDescent="0.25">
      <c r="A29" s="274"/>
      <c r="B29" s="276"/>
      <c r="C29" s="278"/>
      <c r="D29" s="261"/>
      <c r="E29" s="263"/>
      <c r="F29" s="265"/>
      <c r="G29" s="4"/>
      <c r="H29" s="5"/>
      <c r="I29" s="6" t="str">
        <f>IF(GENERAL!I29=0," ",GENERAL!I29)</f>
        <v xml:space="preserve"> </v>
      </c>
      <c r="J29" s="11" t="str">
        <f>IF(GENERAL!J29=0," ",GENERAL!J29)</f>
        <v xml:space="preserve"> </v>
      </c>
      <c r="K29" s="280"/>
    </row>
    <row r="30" spans="1:16" ht="26.25" customHeight="1" x14ac:dyDescent="0.2">
      <c r="A30" s="273" t="s">
        <v>15</v>
      </c>
      <c r="B30" s="275">
        <v>3802</v>
      </c>
      <c r="C30" s="277" t="s">
        <v>41</v>
      </c>
      <c r="D30" s="260" t="s">
        <v>80</v>
      </c>
      <c r="E30" s="262" t="s">
        <v>82</v>
      </c>
      <c r="F30" s="264"/>
      <c r="G30" s="7"/>
      <c r="H30" s="8"/>
      <c r="I30" s="9" t="str">
        <f>IF(GENERAL!I30=0," ",GENERAL!I30)</f>
        <v xml:space="preserve"> </v>
      </c>
      <c r="J30" s="10" t="str">
        <f>IF(GENERAL!J30=0," ",GENERAL!J30)</f>
        <v xml:space="preserve"> </v>
      </c>
      <c r="K30" s="279"/>
    </row>
    <row r="31" spans="1:16" ht="27" thickBot="1" x14ac:dyDescent="0.25">
      <c r="A31" s="274"/>
      <c r="B31" s="276"/>
      <c r="C31" s="278"/>
      <c r="D31" s="261"/>
      <c r="E31" s="263"/>
      <c r="F31" s="265"/>
      <c r="G31" s="4"/>
      <c r="H31" s="5"/>
      <c r="I31" s="6" t="str">
        <f>IF(GENERAL!I31=0," ",GENERAL!I31)</f>
        <v xml:space="preserve"> </v>
      </c>
      <c r="J31" s="11" t="str">
        <f>IF(GENERAL!J31=0," ",GENERAL!J31)</f>
        <v xml:space="preserve"> </v>
      </c>
      <c r="K31" s="280"/>
    </row>
    <row r="32" spans="1:16" ht="26.25" x14ac:dyDescent="0.2">
      <c r="A32" s="273" t="s">
        <v>16</v>
      </c>
      <c r="B32" s="275">
        <v>3805</v>
      </c>
      <c r="C32" s="277" t="s">
        <v>24</v>
      </c>
      <c r="D32" s="260" t="s">
        <v>80</v>
      </c>
      <c r="E32" s="262" t="s">
        <v>78</v>
      </c>
      <c r="F32" s="264"/>
      <c r="G32" s="7"/>
      <c r="H32" s="8"/>
      <c r="I32" s="9" t="str">
        <f>IF(GENERAL!I32=0," ",GENERAL!I32)</f>
        <v xml:space="preserve"> </v>
      </c>
      <c r="J32" s="10" t="str">
        <f>IF(GENERAL!J32=0," ",GENERAL!J32)</f>
        <v xml:space="preserve"> </v>
      </c>
      <c r="K32" s="279"/>
    </row>
    <row r="33" spans="1:11" ht="27" thickBot="1" x14ac:dyDescent="0.25">
      <c r="A33" s="274"/>
      <c r="B33" s="276"/>
      <c r="C33" s="278"/>
      <c r="D33" s="261"/>
      <c r="E33" s="263"/>
      <c r="F33" s="265"/>
      <c r="G33" s="4"/>
      <c r="H33" s="5"/>
      <c r="I33" s="6" t="str">
        <f>IF(GENERAL!I33=0," ",GENERAL!I33)</f>
        <v xml:space="preserve"> </v>
      </c>
      <c r="J33" s="11" t="str">
        <f>IF(GENERAL!J33=0," ",GENERAL!J33)</f>
        <v xml:space="preserve"> </v>
      </c>
      <c r="K33" s="280"/>
    </row>
    <row r="34" spans="1:11" ht="26.25" x14ac:dyDescent="0.2">
      <c r="A34" s="273" t="s">
        <v>135</v>
      </c>
      <c r="B34" s="275">
        <v>3808</v>
      </c>
      <c r="C34" s="277" t="s">
        <v>25</v>
      </c>
      <c r="D34" s="260" t="s">
        <v>77</v>
      </c>
      <c r="E34" s="262" t="s">
        <v>78</v>
      </c>
      <c r="F34" s="264"/>
      <c r="G34" s="7"/>
      <c r="H34" s="8"/>
      <c r="I34" s="9" t="str">
        <f>IF(GENERAL!I34=0," ",GENERAL!I34)</f>
        <v xml:space="preserve"> </v>
      </c>
      <c r="J34" s="10" t="str">
        <f>IF(GENERAL!J34=0," ",GENERAL!J34)</f>
        <v xml:space="preserve"> </v>
      </c>
      <c r="K34" s="279"/>
    </row>
    <row r="35" spans="1:11" ht="27" thickBot="1" x14ac:dyDescent="0.25">
      <c r="A35" s="274"/>
      <c r="B35" s="276"/>
      <c r="C35" s="278"/>
      <c r="D35" s="261"/>
      <c r="E35" s="263"/>
      <c r="F35" s="265"/>
      <c r="G35" s="4"/>
      <c r="H35" s="5"/>
      <c r="I35" s="6" t="str">
        <f>IF(GENERAL!I35=0," ",GENERAL!I35)</f>
        <v xml:space="preserve"> </v>
      </c>
      <c r="J35" s="11" t="str">
        <f>IF(GENERAL!J35=0," ",GENERAL!J35)</f>
        <v xml:space="preserve"> </v>
      </c>
      <c r="K35" s="280"/>
    </row>
    <row r="36" spans="1:11" ht="26.25" x14ac:dyDescent="0.2">
      <c r="A36" s="273" t="s">
        <v>19</v>
      </c>
      <c r="B36" s="275">
        <v>3810</v>
      </c>
      <c r="C36" s="277" t="s">
        <v>42</v>
      </c>
      <c r="D36" s="260" t="s">
        <v>80</v>
      </c>
      <c r="E36" s="262" t="s">
        <v>78</v>
      </c>
      <c r="F36" s="264"/>
      <c r="G36" s="7"/>
      <c r="H36" s="8"/>
      <c r="I36" s="9" t="str">
        <f>IF(GENERAL!I36=0," ",GENERAL!I36)</f>
        <v xml:space="preserve"> </v>
      </c>
      <c r="J36" s="10" t="str">
        <f>IF(GENERAL!J36=0," ",GENERAL!J36)</f>
        <v xml:space="preserve"> </v>
      </c>
      <c r="K36" s="283"/>
    </row>
    <row r="37" spans="1:11" ht="27" thickBot="1" x14ac:dyDescent="0.25">
      <c r="A37" s="274"/>
      <c r="B37" s="276"/>
      <c r="C37" s="278"/>
      <c r="D37" s="261"/>
      <c r="E37" s="263"/>
      <c r="F37" s="265"/>
      <c r="G37" s="4"/>
      <c r="H37" s="5"/>
      <c r="I37" s="6" t="str">
        <f>IF(GENERAL!I37=0," ",GENERAL!I37)</f>
        <v xml:space="preserve"> </v>
      </c>
      <c r="J37" s="11" t="str">
        <f>IF(GENERAL!J37=0," ",GENERAL!J37)</f>
        <v xml:space="preserve"> </v>
      </c>
      <c r="K37" s="284"/>
    </row>
    <row r="38" spans="1:11" ht="26.25" x14ac:dyDescent="0.2">
      <c r="A38" s="273" t="s">
        <v>50</v>
      </c>
      <c r="B38" s="275">
        <v>6056</v>
      </c>
      <c r="C38" s="277" t="s">
        <v>29</v>
      </c>
      <c r="D38" s="260" t="s">
        <v>77</v>
      </c>
      <c r="E38" s="262" t="s">
        <v>81</v>
      </c>
      <c r="F38" s="264"/>
      <c r="G38" s="14"/>
      <c r="H38" s="8"/>
      <c r="I38" s="9" t="str">
        <f>IF(GENERAL!I38=0," ",GENERAL!I38)</f>
        <v xml:space="preserve"> </v>
      </c>
      <c r="J38" s="10" t="str">
        <f>IF(GENERAL!J38=0," ",GENERAL!J38)</f>
        <v xml:space="preserve"> </v>
      </c>
      <c r="K38" s="283"/>
    </row>
    <row r="39" spans="1:11" ht="27" thickBot="1" x14ac:dyDescent="0.25">
      <c r="A39" s="274"/>
      <c r="B39" s="276"/>
      <c r="C39" s="278"/>
      <c r="D39" s="261"/>
      <c r="E39" s="263"/>
      <c r="F39" s="265"/>
      <c r="G39" s="15"/>
      <c r="H39" s="5"/>
      <c r="I39" s="6" t="str">
        <f>IF(GENERAL!I39=0," ",GENERAL!I39)</f>
        <v xml:space="preserve"> </v>
      </c>
      <c r="J39" s="11" t="str">
        <f>IF(GENERAL!J39=0," ",GENERAL!J39)</f>
        <v xml:space="preserve"> </v>
      </c>
      <c r="K39" s="284"/>
    </row>
    <row r="40" spans="1:11" ht="26.25" x14ac:dyDescent="0.2">
      <c r="A40" s="273" t="s">
        <v>17</v>
      </c>
      <c r="B40" s="275">
        <v>3820</v>
      </c>
      <c r="C40" s="277" t="s">
        <v>40</v>
      </c>
      <c r="D40" s="260" t="s">
        <v>77</v>
      </c>
      <c r="E40" s="262" t="s">
        <v>81</v>
      </c>
      <c r="F40" s="264"/>
      <c r="G40" s="7"/>
      <c r="H40" s="8"/>
      <c r="I40" s="9" t="str">
        <f>IF(GENERAL!I40=0," ",GENERAL!I40)</f>
        <v xml:space="preserve"> </v>
      </c>
      <c r="J40" s="10" t="str">
        <f>IF(GENERAL!J40=0," ",GENERAL!J40)</f>
        <v xml:space="preserve"> </v>
      </c>
      <c r="K40" s="283"/>
    </row>
    <row r="41" spans="1:11" ht="27" thickBot="1" x14ac:dyDescent="0.25">
      <c r="A41" s="285"/>
      <c r="B41" s="286"/>
      <c r="C41" s="287"/>
      <c r="D41" s="261"/>
      <c r="E41" s="263"/>
      <c r="F41" s="265"/>
      <c r="G41" s="4"/>
      <c r="H41" s="5"/>
      <c r="I41" s="6" t="str">
        <f>IF(GENERAL!I41=0," ",GENERAL!I41)</f>
        <v xml:space="preserve"> </v>
      </c>
      <c r="J41" s="11" t="str">
        <f>IF(GENERAL!J41=0," ",GENERAL!J41)</f>
        <v xml:space="preserve"> </v>
      </c>
      <c r="K41" s="284"/>
    </row>
    <row r="42" spans="1:11" ht="26.25" customHeight="1" x14ac:dyDescent="0.2">
      <c r="A42" s="273" t="s">
        <v>18</v>
      </c>
      <c r="B42" s="275">
        <v>3821</v>
      </c>
      <c r="C42" s="277" t="s">
        <v>26</v>
      </c>
      <c r="D42" s="260" t="s">
        <v>80</v>
      </c>
      <c r="E42" s="262" t="s">
        <v>81</v>
      </c>
      <c r="F42" s="288"/>
      <c r="G42" s="7"/>
      <c r="H42" s="8"/>
      <c r="I42" s="9" t="str">
        <f>IF(GENERAL!I42=0," ",GENERAL!I42)</f>
        <v xml:space="preserve"> </v>
      </c>
      <c r="J42" s="10" t="str">
        <f>IF(GENERAL!J42=0," ",GENERAL!J42)</f>
        <v xml:space="preserve"> </v>
      </c>
      <c r="K42" s="283"/>
    </row>
    <row r="43" spans="1:11" ht="27" thickBot="1" x14ac:dyDescent="0.25">
      <c r="A43" s="274"/>
      <c r="B43" s="276"/>
      <c r="C43" s="278"/>
      <c r="D43" s="261"/>
      <c r="E43" s="263"/>
      <c r="F43" s="289"/>
      <c r="G43" s="4"/>
      <c r="H43" s="5"/>
      <c r="I43" s="6" t="str">
        <f>IF(GENERAL!I43=0," ",GENERAL!I43)</f>
        <v xml:space="preserve"> </v>
      </c>
      <c r="J43" s="11" t="str">
        <f>IF(GENERAL!J43=0," ",GENERAL!J43)</f>
        <v xml:space="preserve"> </v>
      </c>
      <c r="K43" s="284"/>
    </row>
    <row r="44" spans="1:11" ht="26.25" x14ac:dyDescent="0.2">
      <c r="A44" s="273" t="s">
        <v>48</v>
      </c>
      <c r="B44" s="275">
        <v>3822</v>
      </c>
      <c r="C44" s="277" t="s">
        <v>35</v>
      </c>
      <c r="D44" s="260" t="s">
        <v>80</v>
      </c>
      <c r="E44" s="262" t="s">
        <v>78</v>
      </c>
      <c r="F44" s="288"/>
      <c r="G44" s="7"/>
      <c r="H44" s="8"/>
      <c r="I44" s="9" t="str">
        <f>IF(GENERAL!I44=0," ",GENERAL!I44)</f>
        <v xml:space="preserve"> </v>
      </c>
      <c r="J44" s="10" t="str">
        <f>IF(GENERAL!J44=0," ",GENERAL!J44)</f>
        <v xml:space="preserve"> </v>
      </c>
      <c r="K44" s="279"/>
    </row>
    <row r="45" spans="1:11" ht="27" thickBot="1" x14ac:dyDescent="0.25">
      <c r="A45" s="274"/>
      <c r="B45" s="276"/>
      <c r="C45" s="278"/>
      <c r="D45" s="261"/>
      <c r="E45" s="263"/>
      <c r="F45" s="289"/>
      <c r="G45" s="4"/>
      <c r="H45" s="5"/>
      <c r="I45" s="6" t="str">
        <f>IF(GENERAL!I45=0," ",GENERAL!I45)</f>
        <v xml:space="preserve"> </v>
      </c>
      <c r="J45" s="11" t="str">
        <f>IF(GENERAL!J45=0," ",GENERAL!J45)</f>
        <v xml:space="preserve"> </v>
      </c>
      <c r="K45" s="280"/>
    </row>
    <row r="46" spans="1:11" ht="26.25" customHeight="1" x14ac:dyDescent="0.2">
      <c r="A46" s="273" t="s">
        <v>30</v>
      </c>
      <c r="B46" s="275">
        <v>3832</v>
      </c>
      <c r="C46" s="277" t="s">
        <v>34</v>
      </c>
      <c r="D46" s="260" t="s">
        <v>77</v>
      </c>
      <c r="E46" s="262" t="s">
        <v>78</v>
      </c>
      <c r="F46" s="288"/>
      <c r="G46" s="8"/>
      <c r="H46" s="8"/>
      <c r="I46" s="9" t="str">
        <f>IF(GENERAL!I46=0," ",GENERAL!I46)</f>
        <v xml:space="preserve"> </v>
      </c>
      <c r="J46" s="10" t="str">
        <f>IF(GENERAL!J46=0," ",GENERAL!J46)</f>
        <v xml:space="preserve"> </v>
      </c>
      <c r="K46" s="283"/>
    </row>
    <row r="47" spans="1:11" ht="27" thickBot="1" x14ac:dyDescent="0.25">
      <c r="A47" s="274"/>
      <c r="B47" s="276"/>
      <c r="C47" s="278"/>
      <c r="D47" s="261"/>
      <c r="E47" s="263"/>
      <c r="F47" s="289"/>
      <c r="G47" s="5"/>
      <c r="H47" s="5"/>
      <c r="I47" s="6" t="str">
        <f>IF(GENERAL!I47=0," ",GENERAL!I47)</f>
        <v xml:space="preserve"> </v>
      </c>
      <c r="J47" s="11" t="str">
        <f>IF(GENERAL!J47=0," ",GENERAL!J47)</f>
        <v xml:space="preserve"> </v>
      </c>
      <c r="K47" s="284"/>
    </row>
    <row r="48" spans="1:11" ht="26.25" x14ac:dyDescent="0.2">
      <c r="A48" s="273" t="s">
        <v>136</v>
      </c>
      <c r="B48" s="275">
        <v>4172</v>
      </c>
      <c r="C48" s="277" t="s">
        <v>10</v>
      </c>
      <c r="D48" s="260" t="s">
        <v>77</v>
      </c>
      <c r="E48" s="262" t="s">
        <v>78</v>
      </c>
      <c r="F48" s="288"/>
      <c r="G48" s="8"/>
      <c r="H48" s="8"/>
      <c r="I48" s="9" t="str">
        <f>IF(GENERAL!I48=0," ",GENERAL!I48)</f>
        <v xml:space="preserve"> </v>
      </c>
      <c r="J48" s="10" t="str">
        <f>IF(GENERAL!J48=0," ",GENERAL!J48)</f>
        <v xml:space="preserve"> </v>
      </c>
      <c r="K48" s="279"/>
    </row>
    <row r="49" spans="1:13" ht="27" thickBot="1" x14ac:dyDescent="0.25">
      <c r="A49" s="274"/>
      <c r="B49" s="276"/>
      <c r="C49" s="278"/>
      <c r="D49" s="261"/>
      <c r="E49" s="263"/>
      <c r="F49" s="289"/>
      <c r="G49" s="5"/>
      <c r="H49" s="5"/>
      <c r="I49" s="6" t="str">
        <f>IF(GENERAL!I49=0," ",GENERAL!I49)</f>
        <v xml:space="preserve"> </v>
      </c>
      <c r="J49" s="11" t="str">
        <f>IF(GENERAL!J49=0," ",GENERAL!J49)</f>
        <v xml:space="preserve"> </v>
      </c>
      <c r="K49" s="280"/>
    </row>
    <row r="50" spans="1:13" ht="26.25" x14ac:dyDescent="0.2">
      <c r="A50" s="273" t="s">
        <v>20</v>
      </c>
      <c r="B50" s="294">
        <v>2</v>
      </c>
      <c r="C50" s="277" t="s">
        <v>28</v>
      </c>
      <c r="D50" s="260" t="s">
        <v>77</v>
      </c>
      <c r="E50" s="262" t="s">
        <v>83</v>
      </c>
      <c r="F50" s="288"/>
      <c r="G50" s="8"/>
      <c r="H50" s="8"/>
      <c r="I50" s="12" t="str">
        <f>IF(GENERAL!I50=0," ",GENERAL!I50)</f>
        <v xml:space="preserve"> </v>
      </c>
      <c r="J50" s="10" t="str">
        <f>IF(GENERAL!J50=0," ",GENERAL!J50)</f>
        <v xml:space="preserve"> </v>
      </c>
      <c r="K50" s="283"/>
    </row>
    <row r="51" spans="1:13" ht="27" thickBot="1" x14ac:dyDescent="0.25">
      <c r="A51" s="274"/>
      <c r="B51" s="295"/>
      <c r="C51" s="278"/>
      <c r="D51" s="261"/>
      <c r="E51" s="263"/>
      <c r="F51" s="289"/>
      <c r="G51" s="5"/>
      <c r="H51" s="5"/>
      <c r="I51" s="13" t="str">
        <f>IF(GENERAL!I51=0," ",GENERAL!I51)</f>
        <v xml:space="preserve"> </v>
      </c>
      <c r="J51" s="11" t="str">
        <f>IF(GENERAL!J51=0," ",GENERAL!J51)</f>
        <v xml:space="preserve"> </v>
      </c>
      <c r="K51" s="284"/>
    </row>
    <row r="52" spans="1:13" s="39" customFormat="1" ht="25.5" customHeight="1" x14ac:dyDescent="0.2">
      <c r="A52" s="37"/>
      <c r="B52" s="290" t="s">
        <v>67</v>
      </c>
      <c r="C52" s="290"/>
      <c r="D52" s="290"/>
      <c r="E52" s="290"/>
      <c r="F52" s="290"/>
      <c r="G52" s="290"/>
      <c r="H52" s="290"/>
      <c r="I52" s="290"/>
      <c r="J52" s="290"/>
      <c r="K52" s="38"/>
    </row>
    <row r="53" spans="1:13" s="35" customFormat="1" ht="25.5" customHeight="1" x14ac:dyDescent="0.2">
      <c r="A53" s="40"/>
      <c r="B53" s="41"/>
      <c r="C53" s="42"/>
      <c r="D53" s="43"/>
      <c r="E53" s="43"/>
      <c r="F53" s="43"/>
      <c r="G53" s="44"/>
      <c r="H53" s="44"/>
      <c r="I53" s="45"/>
      <c r="J53" s="46"/>
      <c r="K53" s="47"/>
    </row>
    <row r="54" spans="1:13" s="35" customFormat="1" ht="25.5" customHeight="1" thickBot="1" x14ac:dyDescent="0.25">
      <c r="A54" s="40"/>
      <c r="C54" s="48" t="s">
        <v>68</v>
      </c>
      <c r="D54" s="49"/>
      <c r="E54" s="45"/>
      <c r="F54" s="43"/>
      <c r="G54" s="291" t="s">
        <v>69</v>
      </c>
      <c r="H54" s="291"/>
      <c r="I54" s="50"/>
      <c r="J54" s="46"/>
      <c r="K54" s="47"/>
    </row>
    <row r="55" spans="1:13" s="35" customFormat="1" ht="25.5" customHeight="1" x14ac:dyDescent="0.2">
      <c r="A55" s="40"/>
      <c r="B55" s="41"/>
      <c r="C55" s="42"/>
      <c r="D55" s="43"/>
      <c r="E55" s="43"/>
      <c r="F55" s="43"/>
      <c r="G55" s="44"/>
      <c r="H55" s="44"/>
      <c r="I55" s="45"/>
      <c r="J55" s="46"/>
      <c r="K55" s="47"/>
    </row>
    <row r="56" spans="1:13" s="35" customFormat="1" ht="30" customHeight="1" x14ac:dyDescent="0.2">
      <c r="A56" s="292" t="s">
        <v>11</v>
      </c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M56" s="35" t="s">
        <v>0</v>
      </c>
    </row>
    <row r="57" spans="1:13" s="35" customFormat="1" ht="30" customHeight="1" x14ac:dyDescent="0.2">
      <c r="A57" s="51"/>
      <c r="B57" s="293"/>
      <c r="C57" s="293"/>
      <c r="D57" s="293"/>
      <c r="E57" s="293"/>
      <c r="F57" s="293"/>
      <c r="G57" s="293"/>
      <c r="H57" s="293"/>
      <c r="I57" s="293"/>
      <c r="J57" s="293"/>
      <c r="K57" s="52"/>
    </row>
    <row r="58" spans="1:13" s="35" customFormat="1" ht="30" customHeight="1" x14ac:dyDescent="0.2">
      <c r="A58" s="51"/>
      <c r="B58" s="293"/>
      <c r="C58" s="293"/>
      <c r="D58" s="293"/>
      <c r="E58" s="293"/>
      <c r="F58" s="293"/>
      <c r="G58" s="293"/>
      <c r="H58" s="293"/>
      <c r="I58" s="293"/>
      <c r="J58" s="293"/>
      <c r="K58" s="51"/>
      <c r="L58" s="51"/>
    </row>
    <row r="59" spans="1:13" s="35" customFormat="1" ht="30" customHeight="1" x14ac:dyDescent="0.2">
      <c r="A59" s="51"/>
      <c r="B59" s="293"/>
      <c r="C59" s="293"/>
      <c r="D59" s="293"/>
      <c r="E59" s="293"/>
      <c r="F59" s="293"/>
      <c r="G59" s="293"/>
      <c r="H59" s="293"/>
      <c r="I59" s="293"/>
      <c r="J59" s="293"/>
      <c r="K59" s="51"/>
      <c r="L59" s="42"/>
    </row>
    <row r="60" spans="1:13" s="35" customFormat="1" ht="30" customHeight="1" x14ac:dyDescent="0.2">
      <c r="A60" s="53"/>
      <c r="B60" s="54"/>
      <c r="C60" s="55"/>
      <c r="D60" s="55"/>
      <c r="E60" s="55"/>
      <c r="F60" s="54"/>
      <c r="G60" s="54"/>
      <c r="H60" s="54"/>
      <c r="I60" s="55"/>
      <c r="J60" s="55"/>
      <c r="K60" s="55"/>
    </row>
    <row r="61" spans="1:13" s="35" customFormat="1" ht="30" customHeight="1" x14ac:dyDescent="0.2">
      <c r="A61" s="53"/>
      <c r="B61" s="54"/>
      <c r="C61" s="55"/>
      <c r="D61" s="55"/>
      <c r="E61" s="55"/>
      <c r="F61" s="54"/>
      <c r="H61" s="54"/>
      <c r="I61" s="54"/>
    </row>
    <row r="62" spans="1:13" s="35" customFormat="1" ht="30" customHeight="1" x14ac:dyDescent="0.2">
      <c r="A62" s="56"/>
      <c r="B62" s="57"/>
      <c r="C62" s="58"/>
      <c r="D62" s="58"/>
      <c r="E62" s="58"/>
      <c r="F62" s="57"/>
      <c r="G62" s="16"/>
      <c r="H62" s="57"/>
      <c r="I62" s="57"/>
      <c r="J62" s="16"/>
      <c r="K62" s="16"/>
    </row>
    <row r="63" spans="1:13" s="34" customFormat="1" ht="20.100000000000001" customHeight="1" x14ac:dyDescent="0.2">
      <c r="A63" s="297" t="s">
        <v>70</v>
      </c>
      <c r="B63" s="297"/>
      <c r="C63" s="297"/>
      <c r="D63" s="70"/>
      <c r="E63" s="70"/>
      <c r="F63" s="71"/>
      <c r="G63" s="72"/>
      <c r="H63" s="300" t="s">
        <v>57</v>
      </c>
      <c r="I63" s="300"/>
      <c r="J63" s="300"/>
      <c r="K63" s="300"/>
      <c r="L63" s="59"/>
    </row>
    <row r="64" spans="1:13" s="34" customFormat="1" ht="20.100000000000001" customHeight="1" x14ac:dyDescent="0.2">
      <c r="A64" s="301" t="s">
        <v>71</v>
      </c>
      <c r="B64" s="301"/>
      <c r="C64" s="301"/>
      <c r="D64" s="71"/>
      <c r="E64" s="71"/>
      <c r="F64" s="71"/>
      <c r="G64" s="72"/>
      <c r="H64" s="301" t="s">
        <v>38</v>
      </c>
      <c r="I64" s="301"/>
      <c r="J64" s="301"/>
      <c r="K64" s="301"/>
    </row>
    <row r="65" spans="1:12" s="34" customFormat="1" ht="30" customHeight="1" x14ac:dyDescent="0.2">
      <c r="A65" s="71"/>
      <c r="B65" s="71"/>
      <c r="C65" s="71"/>
      <c r="D65" s="71"/>
      <c r="E65" s="71"/>
      <c r="F65" s="71"/>
      <c r="G65" s="72"/>
      <c r="H65" s="71"/>
      <c r="I65" s="71"/>
      <c r="J65" s="71"/>
      <c r="K65" s="71"/>
    </row>
    <row r="66" spans="1:12" s="34" customFormat="1" ht="30" customHeight="1" x14ac:dyDescent="0.2">
      <c r="A66" s="71"/>
      <c r="B66" s="71"/>
      <c r="C66" s="71"/>
      <c r="D66" s="71"/>
      <c r="E66" s="71"/>
      <c r="F66" s="71"/>
      <c r="G66" s="72"/>
      <c r="H66" s="71"/>
      <c r="I66" s="71"/>
      <c r="J66" s="71"/>
      <c r="K66" s="71"/>
    </row>
    <row r="67" spans="1:12" s="34" customFormat="1" ht="30" customHeight="1" x14ac:dyDescent="0.2">
      <c r="A67" s="71"/>
      <c r="B67" s="71"/>
      <c r="C67" s="71"/>
      <c r="D67" s="71"/>
      <c r="E67" s="71"/>
      <c r="F67" s="71"/>
      <c r="G67" s="72"/>
      <c r="H67" s="71"/>
      <c r="I67" s="71"/>
      <c r="J67" s="71"/>
      <c r="K67" s="71"/>
    </row>
    <row r="68" spans="1:12" s="34" customFormat="1" ht="30" customHeight="1" x14ac:dyDescent="0.2">
      <c r="A68" s="71"/>
      <c r="B68" s="71"/>
      <c r="C68" s="72"/>
      <c r="D68" s="72"/>
      <c r="E68" s="72"/>
      <c r="F68" s="71"/>
      <c r="G68" s="72"/>
      <c r="H68" s="71"/>
      <c r="I68" s="71"/>
      <c r="J68" s="72"/>
      <c r="K68" s="72"/>
    </row>
    <row r="69" spans="1:12" s="35" customFormat="1" ht="30" customHeight="1" x14ac:dyDescent="0.2">
      <c r="A69" s="302" t="s">
        <v>86</v>
      </c>
      <c r="B69" s="302"/>
      <c r="C69" s="302"/>
      <c r="D69" s="73"/>
      <c r="E69" s="73"/>
      <c r="F69" s="74"/>
      <c r="G69" s="75"/>
      <c r="H69" s="302"/>
      <c r="I69" s="302"/>
      <c r="J69" s="302"/>
      <c r="K69" s="302"/>
      <c r="L69" s="60"/>
    </row>
    <row r="70" spans="1:12" s="35" customFormat="1" ht="30" customHeight="1" x14ac:dyDescent="0.2">
      <c r="A70" s="296" t="s">
        <v>72</v>
      </c>
      <c r="B70" s="296"/>
      <c r="C70" s="296"/>
      <c r="D70" s="71"/>
      <c r="E70" s="71"/>
      <c r="F70" s="70"/>
      <c r="G70" s="73"/>
      <c r="H70" s="297" t="s">
        <v>73</v>
      </c>
      <c r="I70" s="297"/>
      <c r="J70" s="297"/>
      <c r="K70" s="297"/>
      <c r="L70" s="60"/>
    </row>
    <row r="71" spans="1:12" s="27" customFormat="1" ht="30" customHeight="1" x14ac:dyDescent="0.2">
      <c r="A71" s="298"/>
      <c r="B71" s="298"/>
      <c r="C71" s="298"/>
      <c r="D71" s="57"/>
      <c r="E71" s="57"/>
      <c r="F71" s="61"/>
      <c r="G71" s="62"/>
      <c r="H71" s="62"/>
      <c r="I71" s="62"/>
      <c r="J71" s="62"/>
      <c r="K71" s="1"/>
      <c r="L71" s="63"/>
    </row>
    <row r="72" spans="1:12" s="27" customFormat="1" ht="30" customHeight="1" x14ac:dyDescent="0.2">
      <c r="B72" s="299"/>
      <c r="C72" s="299"/>
      <c r="D72" s="64"/>
      <c r="E72" s="64"/>
      <c r="G72" s="65"/>
      <c r="H72" s="65"/>
      <c r="I72" s="65"/>
      <c r="J72" s="65"/>
    </row>
    <row r="73" spans="1:12" s="27" customFormat="1" ht="30" customHeight="1" x14ac:dyDescent="0.2">
      <c r="G73" s="65"/>
      <c r="H73" s="65"/>
      <c r="I73" s="65"/>
      <c r="J73" s="65"/>
    </row>
    <row r="74" spans="1:12" s="27" customFormat="1" ht="30" customHeight="1" x14ac:dyDescent="0.2">
      <c r="G74" s="65"/>
      <c r="H74" s="65"/>
      <c r="I74" s="65"/>
      <c r="J74" s="65"/>
    </row>
    <row r="75" spans="1:12" s="27" customFormat="1" ht="30" customHeight="1" x14ac:dyDescent="0.2">
      <c r="G75" s="65"/>
      <c r="H75" s="65"/>
      <c r="I75" s="65"/>
      <c r="J75" s="65"/>
    </row>
    <row r="76" spans="1:12" s="27" customFormat="1" ht="30" customHeight="1" x14ac:dyDescent="0.2">
      <c r="G76" s="65"/>
      <c r="H76" s="65"/>
      <c r="I76" s="65"/>
      <c r="J76" s="65"/>
    </row>
    <row r="77" spans="1:12" s="27" customFormat="1" ht="30" customHeight="1" x14ac:dyDescent="0.2">
      <c r="G77" s="65"/>
      <c r="H77" s="65"/>
      <c r="I77" s="65"/>
      <c r="J77" s="65"/>
    </row>
    <row r="78" spans="1:12" s="27" customFormat="1" ht="30" customHeight="1" x14ac:dyDescent="0.2">
      <c r="G78" s="65"/>
      <c r="H78" s="65"/>
      <c r="I78" s="65"/>
      <c r="J78" s="65"/>
    </row>
    <row r="79" spans="1:12" s="27" customFormat="1" ht="30" customHeight="1" x14ac:dyDescent="0.2">
      <c r="G79" s="65"/>
      <c r="H79" s="65"/>
      <c r="I79" s="65"/>
      <c r="J79" s="65"/>
    </row>
    <row r="80" spans="1:12" s="27" customFormat="1" ht="30" customHeight="1" x14ac:dyDescent="0.2">
      <c r="G80" s="65"/>
      <c r="H80" s="65"/>
      <c r="I80" s="65"/>
      <c r="J80" s="65"/>
    </row>
    <row r="81" spans="7:10" s="27" customFormat="1" ht="30" customHeight="1" x14ac:dyDescent="0.2">
      <c r="G81" s="65"/>
      <c r="H81" s="65"/>
      <c r="I81" s="65"/>
      <c r="J81" s="65"/>
    </row>
    <row r="82" spans="7:10" s="27" customFormat="1" ht="30" customHeight="1" x14ac:dyDescent="0.2">
      <c r="G82" s="65"/>
      <c r="H82" s="65"/>
      <c r="I82" s="65"/>
      <c r="J82" s="65"/>
    </row>
    <row r="83" spans="7:10" s="27" customFormat="1" ht="30" customHeight="1" x14ac:dyDescent="0.2">
      <c r="G83" s="65"/>
      <c r="H83" s="65"/>
      <c r="I83" s="65"/>
      <c r="J83" s="65"/>
    </row>
    <row r="84" spans="7:10" s="27" customFormat="1" ht="30" customHeight="1" x14ac:dyDescent="0.2">
      <c r="H84" s="66"/>
    </row>
  </sheetData>
  <mergeCells count="167">
    <mergeCell ref="A70:C70"/>
    <mergeCell ref="H70:K70"/>
    <mergeCell ref="A71:C71"/>
    <mergeCell ref="B72:C72"/>
    <mergeCell ref="B59:J59"/>
    <mergeCell ref="A63:C63"/>
    <mergeCell ref="H63:K63"/>
    <mergeCell ref="A64:C64"/>
    <mergeCell ref="H64:K64"/>
    <mergeCell ref="A69:C69"/>
    <mergeCell ref="H69:K69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3" orientation="portrait" r:id="rId1"/>
  <colBreaks count="1" manualBreakCount="1">
    <brk id="11" max="83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8D68-06AC-4526-84C0-D5D82C12D54E}">
  <dimension ref="A1:P87"/>
  <sheetViews>
    <sheetView view="pageBreakPreview" topLeftCell="A30" zoomScale="55" zoomScaleNormal="50" zoomScaleSheetLayoutView="55" workbookViewId="0">
      <selection activeCell="B59" sqref="B59:J59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144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10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10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1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1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4B7F-2245-46E9-AE88-73BFB263FD75}">
  <dimension ref="A1:P87"/>
  <sheetViews>
    <sheetView view="pageBreakPreview" topLeftCell="A33" zoomScale="55" zoomScaleNormal="50" zoomScaleSheetLayoutView="55" workbookViewId="0">
      <selection activeCell="B59" sqref="B59:J59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143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1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/>
      <c r="J43" s="111"/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/>
      <c r="J45" s="111"/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4:K15"/>
    <mergeCell ref="A16:A17"/>
    <mergeCell ref="B16:B17"/>
    <mergeCell ref="C16:C17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EA1E-B22C-47BB-80A9-4D8421EA5D84}">
  <dimension ref="A1:P87"/>
  <sheetViews>
    <sheetView view="pageBreakPreview" topLeftCell="A27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145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 t="str">
        <f>IF(GENERAL!I15=0," ",GENERAL!I15)</f>
        <v xml:space="preserve"> </v>
      </c>
      <c r="J15" s="105" t="str">
        <f>IF(GENERAL!J15=0," ",GENERAL!J15)</f>
        <v xml:space="preserve"> </v>
      </c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5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10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1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 t="str">
        <f>IF(GENERAL!I47=0," ",GENERAL!I47)</f>
        <v xml:space="preserve"> </v>
      </c>
      <c r="J47" s="111" t="str">
        <f>IF(GENERAL!J47=0," ",GENERAL!J47)</f>
        <v xml:space="preserve"> </v>
      </c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2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3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C769-3411-4DA9-A0E3-D16AB8648C90}">
  <dimension ref="A1:P87"/>
  <sheetViews>
    <sheetView view="pageBreakPreview" topLeftCell="A26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146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/>
      <c r="J17" s="105"/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5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27C8-F3D0-4D4C-AB34-1025D5A756CF}">
  <dimension ref="A1:P87"/>
  <sheetViews>
    <sheetView view="pageBreakPreview" topLeftCell="A32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105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33" t="s">
        <v>129</v>
      </c>
      <c r="C10" s="233"/>
      <c r="D10" s="233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/>
      <c r="J17" s="105"/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/>
      <c r="J51" s="111"/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1827-E880-46D0-9E83-3011A5149AA3}">
  <dimension ref="A1:P87"/>
  <sheetViews>
    <sheetView view="pageBreakPreview" topLeftCell="A32" zoomScale="55" zoomScaleNormal="50" zoomScaleSheetLayoutView="55" workbookViewId="0">
      <selection activeCell="B59" sqref="B59:J59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106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131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8CC7-72B2-4280-9529-6F593A28C524}">
  <dimension ref="A1:P87"/>
  <sheetViews>
    <sheetView view="pageBreakPreview" topLeftCell="A28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139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5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F9B9-3A23-438F-AE43-605583545B50}">
  <dimension ref="A1:P87"/>
  <sheetViews>
    <sheetView view="pageBreakPreview" topLeftCell="A33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138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08" t="str">
        <f>IF(GENERAL!I52=0," ",GENERAL!I52)</f>
        <v xml:space="preserve"> </v>
      </c>
      <c r="J52" s="109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3914-99AE-4999-862A-2BA76DDE4625}">
  <dimension ref="A1:P87"/>
  <sheetViews>
    <sheetView view="pageBreakPreview" topLeftCell="A3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137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1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09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/>
      <c r="J43" s="111"/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09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/>
      <c r="J45" s="111"/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8249-5762-45C5-9AA5-ABB60FD11A88}">
  <dimension ref="A1:P87"/>
  <sheetViews>
    <sheetView view="pageBreakPreview" topLeftCell="A30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140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10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10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/>
      <c r="J17" s="105"/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10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10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10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10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10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/>
      <c r="J43" s="111"/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/>
      <c r="J45" s="111"/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10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 t="str">
        <f>IF(GENERAL!I49=0," ",GENERAL!I49)</f>
        <v xml:space="preserve"> </v>
      </c>
      <c r="J49" s="111" t="str">
        <f>IF(GENERAL!J49=0," ",GENERAL!J49)</f>
        <v xml:space="preserve"> </v>
      </c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6C9C-711E-4463-941D-5060CD80B865}">
  <dimension ref="A1:P87"/>
  <sheetViews>
    <sheetView view="pageBreakPreview" topLeftCell="A2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141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/>
      <c r="J17" s="105"/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1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1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9C08-F22B-4CCE-8077-CA4785857006}">
  <dimension ref="A1:P87"/>
  <sheetViews>
    <sheetView view="pageBreakPreview" topLeftCell="A27" zoomScale="55" zoomScaleNormal="50" zoomScaleSheetLayoutView="55" workbookViewId="0">
      <selection activeCell="A52" sqref="A52:B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147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5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49</v>
      </c>
      <c r="B24" s="194">
        <v>2527</v>
      </c>
      <c r="C24" s="176" t="s">
        <v>22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1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1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1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1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1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4172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159</v>
      </c>
      <c r="B52" s="174">
        <v>6502</v>
      </c>
      <c r="C52" s="176" t="s">
        <v>156</v>
      </c>
      <c r="D52" s="178" t="s">
        <v>80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0383-A4B0-4395-9135-DCF9E2CB10FF}">
  <dimension ref="A1:P87"/>
  <sheetViews>
    <sheetView view="pageBreakPreview" topLeftCell="A2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108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130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 t="str">
        <f>IF(GENERAL!I19=0," ",GENERAL!I19)</f>
        <v xml:space="preserve"> </v>
      </c>
      <c r="J19" s="105" t="str">
        <f>IF(GENERAL!J19=0," ",GENERAL!J19)</f>
        <v xml:space="preserve"> </v>
      </c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B753-875F-4932-982A-19853C6BFFB0}">
  <sheetPr>
    <tabColor theme="3" tint="-0.249977111117893"/>
  </sheetPr>
  <dimension ref="A1:P87"/>
  <sheetViews>
    <sheetView view="pageBreakPreview" topLeftCell="A32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152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154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5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4172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08" t="str">
        <f>IF(GENERAL!I50=0," ",GENERAL!I50)</f>
        <v xml:space="preserve"> </v>
      </c>
      <c r="J50" s="109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159</v>
      </c>
      <c r="B52" s="174">
        <v>6502</v>
      </c>
      <c r="C52" s="176" t="s">
        <v>156</v>
      </c>
      <c r="D52" s="178" t="s">
        <v>80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4685-84F7-4056-A7E0-1A450CD77071}">
  <sheetPr>
    <tabColor theme="3" tint="-0.249977111117893"/>
  </sheetPr>
  <dimension ref="A1:P87"/>
  <sheetViews>
    <sheetView view="pageBreakPreview" topLeftCell="A7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153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155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108" t="str">
        <f>IF(GENERAL!I18=0," ",GENERAL!I18)</f>
        <v xml:space="preserve"> </v>
      </c>
      <c r="J18" s="10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108" t="str">
        <f>IF(GENERAL!I22=0," ",GENERAL!I22)</f>
        <v xml:space="preserve"> </v>
      </c>
      <c r="J22" s="10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09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09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108" t="str">
        <f>IF(GENERAL!I30=0," ",GENERAL!I30)</f>
        <v xml:space="preserve"> </v>
      </c>
      <c r="J30" s="10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09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09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09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09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09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09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108" t="str">
        <f>IF(GENERAL!I48=0," ",GENERAL!I48)</f>
        <v xml:space="preserve"> </v>
      </c>
      <c r="J48" s="10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A72:C72"/>
    <mergeCell ref="H72:K72"/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5F83-4317-4C51-8C6D-C5789ED1F237}">
  <dimension ref="A1:P87"/>
  <sheetViews>
    <sheetView view="pageBreakPreview" topLeftCell="A9" zoomScale="55" zoomScaleNormal="50" zoomScaleSheetLayoutView="55" workbookViewId="0">
      <selection activeCell="A52" sqref="A52:E53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85"/>
      <c r="G7" s="83" t="s">
        <v>1</v>
      </c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 t="str">
        <f>IF(GENERAL!H8=0," ",GENERAL!H8)</f>
        <v xml:space="preserve"> </v>
      </c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109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 t="s">
        <v>132</v>
      </c>
      <c r="C10" s="228"/>
      <c r="D10" s="228"/>
      <c r="E10" s="88"/>
      <c r="F10" s="85"/>
      <c r="G10" s="83" t="s">
        <v>33</v>
      </c>
      <c r="H10" s="213" t="str">
        <f>GENERAL!H10</f>
        <v>OCTUBRE</v>
      </c>
      <c r="I10" s="213"/>
      <c r="J10" s="213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/>
      <c r="G14" s="96" t="str">
        <f>IF(F14=0," ",F14)</f>
        <v xml:space="preserve"> </v>
      </c>
      <c r="H14" s="97" t="str">
        <f>IF(F14=0," ",F14)</f>
        <v xml:space="preserve"> </v>
      </c>
      <c r="I14" s="108" t="str">
        <f>IF(GENERAL!I14=0," ",GENERAL!I14)</f>
        <v xml:space="preserve"> </v>
      </c>
      <c r="J14" s="109" t="str">
        <f>IF(GENERAL!J14=0," ",GENERAL!J14)</f>
        <v xml:space="preserve"> </v>
      </c>
      <c r="K14" s="200"/>
      <c r="M14" s="100">
        <f>SUM(F14+(F44*10)+(F32*10)+F22+F34+(F36*10)+F48)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5"/>
      <c r="K15" s="201"/>
      <c r="M15" s="100">
        <f>SUM((F44/3)*20+F20)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/>
      <c r="G16" s="106" t="str">
        <f>IF(F16=0," ",F16)</f>
        <v xml:space="preserve"> </v>
      </c>
      <c r="H16" s="107" t="str">
        <f>IF(F16=0," ",F16)</f>
        <v xml:space="preserve"> </v>
      </c>
      <c r="I16" s="108" t="str">
        <f>IF(GENERAL!I16=0," ",GENERAL!I16)</f>
        <v xml:space="preserve"> </v>
      </c>
      <c r="J16" s="109" t="str">
        <f>IF(GENERAL!J16=0," ",GENERAL!J16)</f>
        <v xml:space="preserve"> </v>
      </c>
      <c r="K16" s="208"/>
      <c r="M16" s="100">
        <f>SUM(F24)</f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3"/>
      <c r="I17" s="104" t="str">
        <f>IF(GENERAL!I17=0," ",GENERAL!I17)</f>
        <v xml:space="preserve"> </v>
      </c>
      <c r="J17" s="105" t="str">
        <f>IF(GENERAL!J17=0," ",GENERAL!J17)</f>
        <v xml:space="preserve"> </v>
      </c>
      <c r="K17" s="201"/>
      <c r="M17" s="100">
        <f>SUM(F26+F40)</f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/>
      <c r="G18" s="106" t="str">
        <f>IF(F18=0," ",F18)</f>
        <v xml:space="preserve"> </v>
      </c>
      <c r="H18" s="107" t="str">
        <f>IF(F18=0," ",F18)</f>
        <v xml:space="preserve"> </v>
      </c>
      <c r="I18" s="98" t="str">
        <f>IF(GENERAL!I18=0," ",GENERAL!I18)</f>
        <v xml:space="preserve"> </v>
      </c>
      <c r="J18" s="99" t="str">
        <f>IF(GENERAL!J18=0," ",GENERAL!J18)</f>
        <v xml:space="preserve"> </v>
      </c>
      <c r="K18" s="198"/>
      <c r="M18" s="100">
        <f>SUM(F28*10)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3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/>
      <c r="G20" s="106" t="str">
        <f>IF(F20=0," ",F20)</f>
        <v xml:space="preserve"> </v>
      </c>
      <c r="H20" s="107" t="str">
        <f>IF(F20=0," ",F20)</f>
        <v xml:space="preserve"> </v>
      </c>
      <c r="I20" s="108" t="str">
        <f>IF(GENERAL!I20=0," ",GENERAL!I20)</f>
        <v xml:space="preserve"> </v>
      </c>
      <c r="J20" s="109" t="str">
        <f>IF(GENERAL!J20=0," ",GENERAL!J20)</f>
        <v xml:space="preserve"> </v>
      </c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3"/>
      <c r="I21" s="104" t="str">
        <f>IF(GENERAL!I21=0," ",GENERAL!I21)</f>
        <v xml:space="preserve"> </v>
      </c>
      <c r="J21" s="104" t="str">
        <f>IF(GENERAL!J21=0," ",GENERAL!J21)</f>
        <v xml:space="preserve"> </v>
      </c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/>
      <c r="G22" s="106" t="str">
        <f>IF(F22=0," ",F22)</f>
        <v xml:space="preserve"> </v>
      </c>
      <c r="H22" s="107" t="str">
        <f>IF(F22=0," ",F22)</f>
        <v xml:space="preserve"> </v>
      </c>
      <c r="I22" s="98" t="str">
        <f>IF(GENERAL!I22=0," ",GENERAL!I22)</f>
        <v xml:space="preserve"> </v>
      </c>
      <c r="J22" s="99" t="str">
        <f>IF(GENERAL!J22=0," ",GENERAL!J22)</f>
        <v xml:space="preserve"> </v>
      </c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3"/>
      <c r="I23" s="104" t="str">
        <f>IF(GENERAL!I23=0," ",GENERAL!I23)</f>
        <v xml:space="preserve"> </v>
      </c>
      <c r="J23" s="111" t="str">
        <f>IF(GENERAL!J23=0," ",GENERAL!J23)</f>
        <v xml:space="preserve"> </v>
      </c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/>
      <c r="G24" s="106" t="str">
        <f>IF(F24=0," ",F24)</f>
        <v xml:space="preserve"> </v>
      </c>
      <c r="H24" s="107" t="str">
        <f>IF(F24=0," ",F24)</f>
        <v xml:space="preserve"> </v>
      </c>
      <c r="I24" s="108" t="str">
        <f>IF(GENERAL!I24=0," ",GENERAL!I24)</f>
        <v xml:space="preserve"> </v>
      </c>
      <c r="J24" s="110" t="str">
        <f>IF(GENERAL!J24=0," ",GENERAL!J24)</f>
        <v xml:space="preserve"> </v>
      </c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3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/>
      <c r="G26" s="106" t="str">
        <f>IF(F26=0," ",F26)</f>
        <v xml:space="preserve"> </v>
      </c>
      <c r="H26" s="107" t="str">
        <f>IF(F26=0," ",F26)</f>
        <v xml:space="preserve"> </v>
      </c>
      <c r="I26" s="108" t="str">
        <f>IF(GENERAL!I26=0," ",GENERAL!I26)</f>
        <v xml:space="preserve"> </v>
      </c>
      <c r="J26" s="109" t="str">
        <f>IF(GENERAL!J26=0," ",GENERAL!J26)</f>
        <v xml:space="preserve"> </v>
      </c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3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/>
      <c r="G28" s="106" t="str">
        <f>IF(F28=0," ",F28)</f>
        <v xml:space="preserve"> </v>
      </c>
      <c r="H28" s="107" t="str">
        <f>IF(F28=0," ",F28)</f>
        <v xml:space="preserve"> </v>
      </c>
      <c r="I28" s="108" t="str">
        <f>IF(GENERAL!I28=0," ",GENERAL!I28)</f>
        <v xml:space="preserve"> </v>
      </c>
      <c r="J28" s="110" t="str">
        <f>IF(GENERAL!J28=0," ",GENERAL!J28)</f>
        <v xml:space="preserve"> </v>
      </c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3"/>
      <c r="I29" s="104" t="str">
        <f>IF(GENERAL!I29=0," ",GENERAL!I29)</f>
        <v xml:space="preserve"> </v>
      </c>
      <c r="J29" s="111" t="str">
        <f>IF(GENERAL!J29=0," ",GENERAL!J29)</f>
        <v xml:space="preserve"> </v>
      </c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/>
      <c r="G30" s="106" t="str">
        <f>IF(F30=0," ",F30)</f>
        <v xml:space="preserve"> </v>
      </c>
      <c r="H30" s="107" t="str">
        <f>IF(F30=0," ",F30)</f>
        <v xml:space="preserve"> </v>
      </c>
      <c r="I30" s="98" t="str">
        <f>IF(GENERAL!I30=0," ",GENERAL!I30)</f>
        <v xml:space="preserve"> </v>
      </c>
      <c r="J30" s="99" t="str">
        <f>IF(GENERAL!J30=0," ",GENERAL!J30)</f>
        <v xml:space="preserve"> </v>
      </c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3"/>
      <c r="I31" s="104" t="str">
        <f>IF(GENERAL!I31=0," ",GENERAL!I31)</f>
        <v xml:space="preserve"> </v>
      </c>
      <c r="J31" s="111" t="str">
        <f>IF(GENERAL!J31=0," ",GENERAL!J31)</f>
        <v xml:space="preserve"> </v>
      </c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/>
      <c r="G32" s="106" t="str">
        <f>IF(F32=0," ",F32)</f>
        <v xml:space="preserve"> </v>
      </c>
      <c r="H32" s="107" t="str">
        <f>IF(F32=0," ",F32)</f>
        <v xml:space="preserve"> </v>
      </c>
      <c r="I32" s="108" t="str">
        <f>IF(GENERAL!I32=0," ",GENERAL!I32)</f>
        <v xml:space="preserve"> </v>
      </c>
      <c r="J32" s="110" t="str">
        <f>IF(GENERAL!J32=0," ",GENERAL!J32)</f>
        <v xml:space="preserve"> </v>
      </c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3"/>
      <c r="I33" s="104" t="str">
        <f>IF(GENERAL!I33=0," ",GENERAL!I33)</f>
        <v xml:space="preserve"> </v>
      </c>
      <c r="J33" s="115" t="str">
        <f>IF(GENERAL!J33=0," ",GENERAL!J33)</f>
        <v xml:space="preserve"> </v>
      </c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/>
      <c r="G34" s="106" t="str">
        <f>IF(F34=0," ",F34)</f>
        <v xml:space="preserve"> </v>
      </c>
      <c r="H34" s="107" t="str">
        <f>IF(F34=0," ",F34)</f>
        <v xml:space="preserve"> </v>
      </c>
      <c r="I34" s="108" t="str">
        <f>IF(GENERAL!I34=0," ",GENERAL!I34)</f>
        <v xml:space="preserve"> </v>
      </c>
      <c r="J34" s="110" t="str">
        <f>IF(GENERAL!J34=0," ",GENERAL!J34)</f>
        <v xml:space="preserve"> </v>
      </c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3"/>
      <c r="I35" s="104" t="str">
        <f>IF(GENERAL!I35=0," ",GENERAL!I35)</f>
        <v xml:space="preserve"> </v>
      </c>
      <c r="J35" s="115" t="str">
        <f>IF(GENERAL!J35=0," ",GENERAL!J35)</f>
        <v xml:space="preserve"> </v>
      </c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/>
      <c r="G36" s="106" t="str">
        <f>IF(F36=0," ",F36)</f>
        <v xml:space="preserve"> </v>
      </c>
      <c r="H36" s="107" t="str">
        <f>IF(F36=0," ",F36)</f>
        <v xml:space="preserve"> </v>
      </c>
      <c r="I36" s="108" t="str">
        <f>IF(GENERAL!I36=0," ",GENERAL!I36)</f>
        <v xml:space="preserve"> </v>
      </c>
      <c r="J36" s="110" t="str">
        <f>IF(GENERAL!J36=0," ",GENERAL!J36)</f>
        <v xml:space="preserve"> </v>
      </c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3"/>
      <c r="I37" s="104" t="str">
        <f>IF(GENERAL!I37=0," ",GENERAL!I37)</f>
        <v xml:space="preserve"> </v>
      </c>
      <c r="J37" s="115" t="str">
        <f>IF(GENERAL!J37=0," ",GENERAL!J37)</f>
        <v xml:space="preserve"> </v>
      </c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/>
      <c r="G38" s="106" t="str">
        <f>IF(F38=0," ",F38)</f>
        <v xml:space="preserve"> </v>
      </c>
      <c r="H38" s="107" t="str">
        <f>IF(F38=0," ",F38)</f>
        <v xml:space="preserve"> </v>
      </c>
      <c r="I38" s="108" t="str">
        <f>IF(GENERAL!I38=0," ",GENERAL!I38)</f>
        <v xml:space="preserve"> </v>
      </c>
      <c r="J38" s="110" t="str">
        <f>IF(GENERAL!J38=0," ",GENERAL!J38)</f>
        <v xml:space="preserve"> </v>
      </c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03"/>
      <c r="I39" s="104" t="str">
        <f>IF(GENERAL!I39=0," ",GENERAL!I39)</f>
        <v xml:space="preserve"> </v>
      </c>
      <c r="J39" s="111" t="str">
        <f>IF(GENERAL!J39=0," ",GENERAL!J39)</f>
        <v xml:space="preserve"> </v>
      </c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/>
      <c r="G40" s="106" t="str">
        <f>IF(F40=0," ",F40)</f>
        <v xml:space="preserve"> </v>
      </c>
      <c r="H40" s="107" t="str">
        <f>IF(F40=0," ",F40)</f>
        <v xml:space="preserve"> </v>
      </c>
      <c r="I40" s="108" t="str">
        <f>IF(GENERAL!I40=0," ",GENERAL!I40)</f>
        <v xml:space="preserve"> </v>
      </c>
      <c r="J40" s="110" t="str">
        <f>IF(GENERAL!J40=0," ",GENERAL!J40)</f>
        <v xml:space="preserve"> </v>
      </c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 t="str">
        <f>IF(GENERAL!I41=0," ",GENERAL!I41)</f>
        <v xml:space="preserve"> </v>
      </c>
      <c r="J41" s="115" t="str">
        <f>IF(GENERAL!J41=0," ",GENERAL!J41)</f>
        <v xml:space="preserve"> </v>
      </c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2"/>
      <c r="G42" s="106" t="str">
        <f>IF(F42=0," ",F42)</f>
        <v xml:space="preserve"> </v>
      </c>
      <c r="H42" s="107" t="str">
        <f>IF(F42=0," ",F42)</f>
        <v xml:space="preserve"> </v>
      </c>
      <c r="I42" s="108" t="str">
        <f>IF(GENERAL!I42=0," ",GENERAL!I42)</f>
        <v xml:space="preserve"> </v>
      </c>
      <c r="J42" s="110" t="str">
        <f>IF(GENERAL!J42=0," ",GENERAL!J42)</f>
        <v xml:space="preserve"> </v>
      </c>
      <c r="K42" s="167"/>
    </row>
    <row r="43" spans="1:11" ht="26.25" thickBot="1" x14ac:dyDescent="0.25">
      <c r="A43" s="173"/>
      <c r="B43" s="195"/>
      <c r="C43" s="177"/>
      <c r="D43" s="179"/>
      <c r="E43" s="181"/>
      <c r="F43" s="183"/>
      <c r="G43" s="102"/>
      <c r="H43" s="103"/>
      <c r="I43" s="104" t="str">
        <f>IF(GENERAL!I43=0," ",GENERAL!I43)</f>
        <v xml:space="preserve"> </v>
      </c>
      <c r="J43" s="111" t="str">
        <f>IF(GENERAL!J43=0," ",GENERAL!J43)</f>
        <v xml:space="preserve"> </v>
      </c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2"/>
      <c r="G44" s="106" t="str">
        <f>IF(F44=0," ",F44)</f>
        <v xml:space="preserve"> </v>
      </c>
      <c r="H44" s="107" t="str">
        <f>IF(F44=0," ",F44)</f>
        <v xml:space="preserve"> </v>
      </c>
      <c r="I44" s="108" t="str">
        <f>IF(GENERAL!I44=0," ",GENERAL!I44)</f>
        <v xml:space="preserve"> </v>
      </c>
      <c r="J44" s="110" t="str">
        <f>IF(GENERAL!J44=0," ",GENERAL!J44)</f>
        <v xml:space="preserve"> </v>
      </c>
      <c r="K44" s="192"/>
    </row>
    <row r="45" spans="1:11" ht="26.25" thickBot="1" x14ac:dyDescent="0.25">
      <c r="A45" s="173"/>
      <c r="B45" s="195"/>
      <c r="C45" s="177"/>
      <c r="D45" s="179"/>
      <c r="E45" s="181"/>
      <c r="F45" s="183"/>
      <c r="G45" s="102"/>
      <c r="H45" s="103"/>
      <c r="I45" s="104" t="str">
        <f>IF(GENERAL!I45=0," ",GENERAL!I45)</f>
        <v xml:space="preserve"> </v>
      </c>
      <c r="J45" s="111" t="str">
        <f>IF(GENERAL!J45=0," ",GENERAL!J45)</f>
        <v xml:space="preserve"> </v>
      </c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2"/>
      <c r="G46" s="107" t="str">
        <f>IF(F46=0," ",F46)</f>
        <v xml:space="preserve"> </v>
      </c>
      <c r="H46" s="107" t="str">
        <f>IF(F46=0," ",F46)</f>
        <v xml:space="preserve"> </v>
      </c>
      <c r="I46" s="108" t="str">
        <f>IF(GENERAL!I46=0," ",GENERAL!I46)</f>
        <v xml:space="preserve"> </v>
      </c>
      <c r="J46" s="110" t="str">
        <f>IF(GENERAL!J46=0," ",GENERAL!J46)</f>
        <v xml:space="preserve"> </v>
      </c>
      <c r="K46" s="167"/>
    </row>
    <row r="47" spans="1:11" ht="26.25" thickBot="1" x14ac:dyDescent="0.25">
      <c r="A47" s="173"/>
      <c r="B47" s="195"/>
      <c r="C47" s="177"/>
      <c r="D47" s="179"/>
      <c r="E47" s="181"/>
      <c r="F47" s="183"/>
      <c r="G47" s="103"/>
      <c r="H47" s="103"/>
      <c r="I47" s="104"/>
      <c r="J47" s="111"/>
      <c r="K47" s="168"/>
    </row>
    <row r="48" spans="1:11" ht="25.5" x14ac:dyDescent="0.2">
      <c r="A48" s="172" t="s">
        <v>158</v>
      </c>
      <c r="B48" s="194">
        <v>4172</v>
      </c>
      <c r="C48" s="176" t="s">
        <v>10</v>
      </c>
      <c r="D48" s="178" t="s">
        <v>77</v>
      </c>
      <c r="E48" s="180" t="s">
        <v>78</v>
      </c>
      <c r="F48" s="182"/>
      <c r="G48" s="107" t="str">
        <f>IF(F48=0," ",F48)</f>
        <v xml:space="preserve"> </v>
      </c>
      <c r="H48" s="107" t="str">
        <f>IF(F48=0," ",F48)</f>
        <v xml:space="preserve"> </v>
      </c>
      <c r="I48" s="98" t="str">
        <f>IF(GENERAL!I48=0," ",GENERAL!I48)</f>
        <v xml:space="preserve"> </v>
      </c>
      <c r="J48" s="99" t="str">
        <f>IF(GENERAL!J48=0," ",GENERAL!J48)</f>
        <v xml:space="preserve"> </v>
      </c>
      <c r="K48" s="192"/>
    </row>
    <row r="49" spans="1:13" ht="26.25" thickBot="1" x14ac:dyDescent="0.25">
      <c r="A49" s="173"/>
      <c r="B49" s="195"/>
      <c r="C49" s="177"/>
      <c r="D49" s="179"/>
      <c r="E49" s="181"/>
      <c r="F49" s="183"/>
      <c r="G49" s="103"/>
      <c r="H49" s="103"/>
      <c r="I49" s="104"/>
      <c r="J49" s="111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2"/>
      <c r="G50" s="107" t="str">
        <f>IF(F50=0," ",F50)</f>
        <v xml:space="preserve"> </v>
      </c>
      <c r="H50" s="107" t="str">
        <f>IF(F50=0," ",F50)</f>
        <v xml:space="preserve"> </v>
      </c>
      <c r="I50" s="114" t="str">
        <f>IF(GENERAL!I50=0," ",GENERAL!I50)</f>
        <v xml:space="preserve"> </v>
      </c>
      <c r="J50" s="110" t="str">
        <f>IF(GENERAL!J50=0," ",GENERAL!J50)</f>
        <v xml:space="preserve"> </v>
      </c>
      <c r="K50" s="167"/>
    </row>
    <row r="51" spans="1:13" ht="26.25" thickBot="1" x14ac:dyDescent="0.25">
      <c r="A51" s="173"/>
      <c r="B51" s="187"/>
      <c r="C51" s="177"/>
      <c r="D51" s="179"/>
      <c r="E51" s="181"/>
      <c r="F51" s="183"/>
      <c r="G51" s="103"/>
      <c r="H51" s="103"/>
      <c r="I51" s="115" t="str">
        <f>IF(GENERAL!I51=0," ",GENERAL!I51)</f>
        <v xml:space="preserve"> </v>
      </c>
      <c r="J51" s="111" t="str">
        <f>IF(GENERAL!J51=0," ",GENERAL!J51)</f>
        <v xml:space="preserve"> </v>
      </c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/>
      <c r="G52" s="107" t="str">
        <f>IF(F52=0," ",F52)</f>
        <v xml:space="preserve"> </v>
      </c>
      <c r="H52" s="107" t="str">
        <f>IF(F52=0," ",F52)</f>
        <v xml:space="preserve"> </v>
      </c>
      <c r="I52" s="114" t="str">
        <f>IF(GENERAL!I52=0," ",GENERAL!I52)</f>
        <v xml:space="preserve"> </v>
      </c>
      <c r="J52" s="110" t="str">
        <f>IF(GENERAL!J52=0," ",GENERAL!J52)</f>
        <v xml:space="preserve"> </v>
      </c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159" t="s">
        <v>150</v>
      </c>
      <c r="B72" s="159"/>
      <c r="C72" s="159"/>
      <c r="D72" s="143"/>
      <c r="E72" s="143"/>
      <c r="F72" s="144"/>
      <c r="G72" s="145"/>
      <c r="H72" s="160" t="s">
        <v>73</v>
      </c>
      <c r="I72" s="160"/>
      <c r="J72" s="160"/>
      <c r="K72" s="160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5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A72:C72"/>
    <mergeCell ref="H72:K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orientation="portrait" horizontalDpi="1200" verticalDpi="1200" r:id="rId1"/>
  <colBreaks count="1" manualBreakCount="1">
    <brk id="11" max="83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56FC-467A-49A3-B6A2-4B3A4B327DD9}">
  <dimension ref="A1:P87"/>
  <sheetViews>
    <sheetView view="pageBreakPreview" topLeftCell="A26" zoomScale="55" zoomScaleNormal="50" zoomScaleSheetLayoutView="55" workbookViewId="0">
      <selection activeCell="C48" sqref="C48:C49"/>
    </sheetView>
  </sheetViews>
  <sheetFormatPr baseColWidth="10" defaultRowHeight="12.75" x14ac:dyDescent="0.2"/>
  <cols>
    <col min="1" max="1" width="43.7109375" style="90" customWidth="1"/>
    <col min="2" max="2" width="22.140625" style="90" customWidth="1"/>
    <col min="3" max="3" width="63" style="90" customWidth="1"/>
    <col min="4" max="4" width="34.85546875" style="90" customWidth="1"/>
    <col min="5" max="5" width="30.42578125" style="90" customWidth="1"/>
    <col min="6" max="6" width="24.5703125" style="90" customWidth="1"/>
    <col min="7" max="7" width="23.42578125" style="90" customWidth="1"/>
    <col min="8" max="8" width="23.140625" style="90" customWidth="1"/>
    <col min="9" max="9" width="33.42578125" style="90" customWidth="1"/>
    <col min="10" max="10" width="22.42578125" style="90" customWidth="1"/>
    <col min="11" max="11" width="40.28515625" style="90" customWidth="1"/>
    <col min="12" max="12" width="11.42578125" style="90"/>
    <col min="13" max="13" width="11.42578125" style="90" customWidth="1"/>
    <col min="14" max="14" width="22.140625" style="90" customWidth="1"/>
    <col min="15" max="15" width="11.42578125" style="90"/>
    <col min="16" max="16" width="28.28515625" style="90" customWidth="1"/>
    <col min="17" max="16384" width="11.42578125" style="90"/>
  </cols>
  <sheetData>
    <row r="1" spans="1:16" s="79" customFormat="1" ht="30" x14ac:dyDescent="0.2">
      <c r="A1" s="212" t="s">
        <v>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78"/>
    </row>
    <row r="2" spans="1:16" s="79" customFormat="1" ht="30" x14ac:dyDescent="0.2">
      <c r="A2" s="212" t="s">
        <v>44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80"/>
    </row>
    <row r="3" spans="1:16" s="79" customFormat="1" ht="30" customHeight="1" x14ac:dyDescent="0.2">
      <c r="A3" s="212" t="s">
        <v>59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80"/>
    </row>
    <row r="4" spans="1:16" s="79" customFormat="1" ht="30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0"/>
    </row>
    <row r="5" spans="1:16" s="79" customFormat="1" ht="30" customHeight="1" x14ac:dyDescent="0.2">
      <c r="A5" s="212" t="s">
        <v>60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</row>
    <row r="6" spans="1:16" s="79" customFormat="1" ht="30" customHeight="1" x14ac:dyDescent="0.2">
      <c r="A6" s="77"/>
      <c r="B6" s="77"/>
      <c r="C6" s="77"/>
      <c r="D6" s="77"/>
      <c r="E6" s="82"/>
      <c r="F6" s="77"/>
      <c r="G6" s="77"/>
      <c r="H6" s="77"/>
      <c r="I6" s="77"/>
      <c r="J6" s="77"/>
      <c r="K6" s="82"/>
    </row>
    <row r="7" spans="1:16" s="87" customFormat="1" ht="39.950000000000003" customHeight="1" x14ac:dyDescent="0.35">
      <c r="A7" s="83" t="s">
        <v>61</v>
      </c>
      <c r="B7" s="213" t="s">
        <v>87</v>
      </c>
      <c r="C7" s="213"/>
      <c r="D7" s="213"/>
      <c r="E7" s="84"/>
      <c r="F7" s="303" t="s">
        <v>1</v>
      </c>
      <c r="G7" s="303"/>
      <c r="H7" s="213" t="s">
        <v>62</v>
      </c>
      <c r="I7" s="213"/>
      <c r="J7" s="213"/>
      <c r="K7" s="86"/>
    </row>
    <row r="8" spans="1:16" s="87" customFormat="1" ht="39.950000000000003" customHeight="1" x14ac:dyDescent="0.35">
      <c r="A8" s="83" t="s">
        <v>63</v>
      </c>
      <c r="B8" s="225" t="s">
        <v>64</v>
      </c>
      <c r="C8" s="225"/>
      <c r="D8" s="225"/>
      <c r="E8" s="88"/>
      <c r="F8" s="85"/>
      <c r="G8" s="83" t="s">
        <v>65</v>
      </c>
      <c r="H8" s="226"/>
      <c r="I8" s="226"/>
      <c r="J8" s="226"/>
      <c r="K8" s="86"/>
    </row>
    <row r="9" spans="1:16" s="87" customFormat="1" ht="39.950000000000003" customHeight="1" x14ac:dyDescent="0.35">
      <c r="A9" s="83" t="s">
        <v>66</v>
      </c>
      <c r="B9" s="213" t="s">
        <v>111</v>
      </c>
      <c r="C9" s="213"/>
      <c r="D9" s="213"/>
      <c r="E9" s="84"/>
      <c r="F9" s="85"/>
      <c r="G9" s="83" t="s">
        <v>36</v>
      </c>
      <c r="H9" s="227"/>
      <c r="I9" s="227"/>
      <c r="J9" s="227"/>
      <c r="K9" s="86"/>
    </row>
    <row r="10" spans="1:16" s="87" customFormat="1" ht="39.75" customHeight="1" x14ac:dyDescent="0.35">
      <c r="A10" s="83" t="s">
        <v>63</v>
      </c>
      <c r="B10" s="228"/>
      <c r="C10" s="228"/>
      <c r="D10" s="228"/>
      <c r="E10" s="88"/>
      <c r="F10" s="85"/>
      <c r="G10" s="83" t="s">
        <v>33</v>
      </c>
      <c r="H10" s="227" t="s">
        <v>164</v>
      </c>
      <c r="I10" s="227"/>
      <c r="J10" s="227"/>
      <c r="K10" s="86"/>
    </row>
    <row r="11" spans="1:16" ht="39.75" customHeight="1" thickBot="1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6" s="92" customFormat="1" ht="20.25" x14ac:dyDescent="0.3">
      <c r="A12" s="214" t="s">
        <v>2</v>
      </c>
      <c r="B12" s="216" t="s">
        <v>37</v>
      </c>
      <c r="C12" s="216" t="s">
        <v>3</v>
      </c>
      <c r="D12" s="218" t="s">
        <v>74</v>
      </c>
      <c r="E12" s="91" t="s">
        <v>75</v>
      </c>
      <c r="F12" s="220" t="s">
        <v>4</v>
      </c>
      <c r="G12" s="221"/>
      <c r="H12" s="221"/>
      <c r="I12" s="221"/>
      <c r="J12" s="222"/>
      <c r="K12" s="223" t="s">
        <v>32</v>
      </c>
    </row>
    <row r="13" spans="1:16" s="92" customFormat="1" ht="21" thickBot="1" x14ac:dyDescent="0.35">
      <c r="A13" s="215"/>
      <c r="B13" s="217"/>
      <c r="C13" s="217"/>
      <c r="D13" s="219"/>
      <c r="E13" s="94" t="s">
        <v>76</v>
      </c>
      <c r="F13" s="93" t="s">
        <v>5</v>
      </c>
      <c r="G13" s="93" t="s">
        <v>6</v>
      </c>
      <c r="H13" s="93" t="s">
        <v>7</v>
      </c>
      <c r="I13" s="95" t="s">
        <v>8</v>
      </c>
      <c r="J13" s="95" t="s">
        <v>31</v>
      </c>
      <c r="K13" s="224"/>
    </row>
    <row r="14" spans="1:16" ht="26.25" customHeight="1" x14ac:dyDescent="0.2">
      <c r="A14" s="209" t="s">
        <v>134</v>
      </c>
      <c r="B14" s="210">
        <v>146</v>
      </c>
      <c r="C14" s="188" t="s">
        <v>27</v>
      </c>
      <c r="D14" s="178" t="s">
        <v>77</v>
      </c>
      <c r="E14" s="180" t="s">
        <v>78</v>
      </c>
      <c r="F14" s="184" t="str">
        <f>IFERROR(IF(SUM('UMME QUERÉTARO:SAN PEDRO MÁRTIR'!F14)=0," ",SUM('UMME QUERÉTARO:SAN PEDRO MÁRTIR'!F14))," ")</f>
        <v xml:space="preserve"> </v>
      </c>
      <c r="G14" s="96" t="str">
        <f>IF(F14=0," ",F14)</f>
        <v xml:space="preserve"> </v>
      </c>
      <c r="H14" s="97" t="str">
        <f>IF(F14=0," ",F14)</f>
        <v xml:space="preserve"> </v>
      </c>
      <c r="I14" s="98"/>
      <c r="J14" s="99"/>
      <c r="K14" s="200"/>
      <c r="M14" s="100" t="str">
        <f>IFERROR(SUM(F14+(F44*10)+(F32*10)+F22+F34+(F36*10)+F48),"0")</f>
        <v>0</v>
      </c>
      <c r="N14" s="101" t="s">
        <v>51</v>
      </c>
      <c r="O14" s="101">
        <v>2715</v>
      </c>
      <c r="P14" s="101" t="s">
        <v>52</v>
      </c>
    </row>
    <row r="15" spans="1:16" ht="26.25" thickBot="1" x14ac:dyDescent="0.25">
      <c r="A15" s="203"/>
      <c r="B15" s="211"/>
      <c r="C15" s="189"/>
      <c r="D15" s="179"/>
      <c r="E15" s="181"/>
      <c r="F15" s="185"/>
      <c r="G15" s="102"/>
      <c r="H15" s="103"/>
      <c r="I15" s="104"/>
      <c r="J15" s="104"/>
      <c r="K15" s="201"/>
      <c r="M15" s="100">
        <f t="shared" ref="M15:M17" si="0">IFERROR(SUM(F15+(F45*10)+(F33*10)+F23+F35+(F37*10)+F49),"0")</f>
        <v>0</v>
      </c>
      <c r="N15" s="101" t="s">
        <v>51</v>
      </c>
      <c r="O15" s="101">
        <v>2707</v>
      </c>
      <c r="P15" s="101" t="s">
        <v>53</v>
      </c>
    </row>
    <row r="16" spans="1:16" ht="25.5" x14ac:dyDescent="0.2">
      <c r="A16" s="202" t="s">
        <v>46</v>
      </c>
      <c r="B16" s="229">
        <v>148</v>
      </c>
      <c r="C16" s="206" t="s">
        <v>9</v>
      </c>
      <c r="D16" s="178" t="s">
        <v>77</v>
      </c>
      <c r="E16" s="180" t="s">
        <v>79</v>
      </c>
      <c r="F16" s="184" t="str">
        <f>IFERROR(IF(SUM('UMME QUERÉTARO:SAN PEDRO MÁRTIR'!F16)=0," ",SUM('UMME QUERÉTARO:SAN PEDRO MÁRTIR'!F16))," ")</f>
        <v xml:space="preserve"> </v>
      </c>
      <c r="G16" s="106" t="str">
        <f>IF(F16=0," ",F16)</f>
        <v xml:space="preserve"> </v>
      </c>
      <c r="H16" s="106" t="str">
        <f>IF(F16=0," ",F16)</f>
        <v xml:space="preserve"> </v>
      </c>
      <c r="I16" s="98"/>
      <c r="J16" s="99"/>
      <c r="K16" s="208"/>
      <c r="M16" s="100" t="str">
        <f t="shared" si="0"/>
        <v>0</v>
      </c>
      <c r="N16" s="101" t="s">
        <v>51</v>
      </c>
      <c r="O16" s="101">
        <v>2699</v>
      </c>
      <c r="P16" s="101" t="s">
        <v>54</v>
      </c>
    </row>
    <row r="17" spans="1:16" ht="26.25" thickBot="1" x14ac:dyDescent="0.25">
      <c r="A17" s="203"/>
      <c r="B17" s="211"/>
      <c r="C17" s="207"/>
      <c r="D17" s="179"/>
      <c r="E17" s="181"/>
      <c r="F17" s="185"/>
      <c r="G17" s="102"/>
      <c r="H17" s="102"/>
      <c r="I17" s="104"/>
      <c r="J17" s="105"/>
      <c r="K17" s="201"/>
      <c r="M17" s="100">
        <f t="shared" si="0"/>
        <v>0</v>
      </c>
      <c r="N17" s="101" t="s">
        <v>51</v>
      </c>
      <c r="O17" s="101">
        <v>2657</v>
      </c>
      <c r="P17" s="101" t="s">
        <v>55</v>
      </c>
    </row>
    <row r="18" spans="1:16" ht="26.25" customHeight="1" x14ac:dyDescent="0.2">
      <c r="A18" s="172" t="s">
        <v>133</v>
      </c>
      <c r="B18" s="194">
        <v>150</v>
      </c>
      <c r="C18" s="176" t="s">
        <v>58</v>
      </c>
      <c r="D18" s="178" t="s">
        <v>77</v>
      </c>
      <c r="E18" s="180" t="s">
        <v>79</v>
      </c>
      <c r="F18" s="184" t="str">
        <f>IFERROR(IF(SUM('UMME QUERÉTARO:SAN PEDRO MÁRTIR'!F18)=0," ",SUM('UMME QUERÉTARO:SAN PEDRO MÁRTIR'!F18))," ")</f>
        <v xml:space="preserve"> </v>
      </c>
      <c r="G18" s="106" t="str">
        <f>IF(F18=0," ",F18)</f>
        <v xml:space="preserve"> </v>
      </c>
      <c r="H18" s="106" t="str">
        <f>IF(F18=0," ",F18)</f>
        <v xml:space="preserve"> </v>
      </c>
      <c r="I18" s="98"/>
      <c r="J18" s="99"/>
      <c r="K18" s="198"/>
      <c r="M18" s="100" t="str">
        <f>IFERROR(SUM(F18+(F48*10)+(F36*10)+F26+F38+(F40*10)+F54),"0")</f>
        <v>0</v>
      </c>
      <c r="N18" s="101" t="s">
        <v>51</v>
      </c>
      <c r="O18" s="101">
        <v>59</v>
      </c>
      <c r="P18" s="101" t="s">
        <v>56</v>
      </c>
    </row>
    <row r="19" spans="1:16" ht="26.25" thickBot="1" x14ac:dyDescent="0.25">
      <c r="A19" s="173"/>
      <c r="B19" s="195"/>
      <c r="C19" s="177"/>
      <c r="D19" s="179"/>
      <c r="E19" s="181"/>
      <c r="F19" s="185"/>
      <c r="G19" s="102"/>
      <c r="H19" s="102"/>
      <c r="I19" s="104"/>
      <c r="J19" s="105"/>
      <c r="K19" s="199"/>
    </row>
    <row r="20" spans="1:16" ht="25.5" x14ac:dyDescent="0.2">
      <c r="A20" s="172" t="s">
        <v>45</v>
      </c>
      <c r="B20" s="194">
        <v>6135</v>
      </c>
      <c r="C20" s="176" t="s">
        <v>47</v>
      </c>
      <c r="D20" s="178" t="s">
        <v>77</v>
      </c>
      <c r="E20" s="180" t="s">
        <v>78</v>
      </c>
      <c r="F20" s="184" t="str">
        <f>IFERROR(IF(SUM('UMME QUERÉTARO:SAN PEDRO MÁRTIR'!F20)=0," ",SUM('UMME QUERÉTARO:SAN PEDRO MÁRTIR'!F20))," ")</f>
        <v xml:space="preserve"> </v>
      </c>
      <c r="G20" s="106" t="str">
        <f>IF(F20=0," ",F20)</f>
        <v xml:space="preserve"> </v>
      </c>
      <c r="H20" s="106" t="str">
        <f>IF(F20=0," ",F20)</f>
        <v xml:space="preserve"> </v>
      </c>
      <c r="I20" s="98"/>
      <c r="J20" s="99"/>
      <c r="K20" s="198"/>
    </row>
    <row r="21" spans="1:16" ht="26.25" thickBot="1" x14ac:dyDescent="0.25">
      <c r="A21" s="173"/>
      <c r="B21" s="195"/>
      <c r="C21" s="177"/>
      <c r="D21" s="179"/>
      <c r="E21" s="181"/>
      <c r="F21" s="185"/>
      <c r="G21" s="102"/>
      <c r="H21" s="102"/>
      <c r="I21" s="104"/>
      <c r="J21" s="104"/>
      <c r="K21" s="199"/>
    </row>
    <row r="22" spans="1:16" ht="25.5" x14ac:dyDescent="0.2">
      <c r="A22" s="172" t="s">
        <v>14</v>
      </c>
      <c r="B22" s="194">
        <v>2526</v>
      </c>
      <c r="C22" s="176" t="s">
        <v>21</v>
      </c>
      <c r="D22" s="178" t="s">
        <v>80</v>
      </c>
      <c r="E22" s="180" t="s">
        <v>78</v>
      </c>
      <c r="F22" s="184" t="str">
        <f>IFERROR(IF(SUM('UMME QUERÉTARO:SAN PEDRO MÁRTIR'!F22)=0," ",SUM('UMME QUERÉTARO:SAN PEDRO MÁRTIR'!F22))," ")</f>
        <v xml:space="preserve"> </v>
      </c>
      <c r="G22" s="106" t="str">
        <f>IF(F22=0," ",F22)</f>
        <v xml:space="preserve"> </v>
      </c>
      <c r="H22" s="106" t="str">
        <f>IF(F22=0," ",F22)</f>
        <v xml:space="preserve"> </v>
      </c>
      <c r="I22" s="98"/>
      <c r="J22" s="99"/>
      <c r="K22" s="192"/>
    </row>
    <row r="23" spans="1:16" ht="26.25" thickBot="1" x14ac:dyDescent="0.25">
      <c r="A23" s="173"/>
      <c r="B23" s="195"/>
      <c r="C23" s="177"/>
      <c r="D23" s="179"/>
      <c r="E23" s="181"/>
      <c r="F23" s="185"/>
      <c r="G23" s="102"/>
      <c r="H23" s="102"/>
      <c r="I23" s="104"/>
      <c r="J23" s="111"/>
      <c r="K23" s="193"/>
    </row>
    <row r="24" spans="1:16" ht="25.5" x14ac:dyDescent="0.2">
      <c r="A24" s="172" t="s">
        <v>160</v>
      </c>
      <c r="B24" s="194">
        <v>6187</v>
      </c>
      <c r="C24" s="176" t="s">
        <v>161</v>
      </c>
      <c r="D24" s="178" t="s">
        <v>77</v>
      </c>
      <c r="E24" s="180" t="s">
        <v>78</v>
      </c>
      <c r="F24" s="184" t="str">
        <f>IFERROR(IF(SUM('UMME QUERÉTARO:SAN PEDRO MÁRTIR'!F24)=0," ",SUM('UMME QUERÉTARO:SAN PEDRO MÁRTIR'!F24))," ")</f>
        <v xml:space="preserve"> </v>
      </c>
      <c r="G24" s="106" t="str">
        <f>IF(F24=0," ",F24)</f>
        <v xml:space="preserve"> </v>
      </c>
      <c r="H24" s="106" t="str">
        <f>IF(F24=0," ",F24)</f>
        <v xml:space="preserve"> </v>
      </c>
      <c r="I24" s="98"/>
      <c r="J24" s="99"/>
      <c r="K24" s="196"/>
    </row>
    <row r="25" spans="1:16" ht="26.25" thickBot="1" x14ac:dyDescent="0.25">
      <c r="A25" s="173"/>
      <c r="B25" s="195"/>
      <c r="C25" s="177"/>
      <c r="D25" s="179"/>
      <c r="E25" s="181"/>
      <c r="F25" s="185"/>
      <c r="G25" s="102"/>
      <c r="H25" s="102"/>
      <c r="I25" s="104"/>
      <c r="J25" s="111"/>
      <c r="K25" s="197"/>
    </row>
    <row r="26" spans="1:16" ht="25.5" x14ac:dyDescent="0.2">
      <c r="A26" s="172" t="s">
        <v>12</v>
      </c>
      <c r="B26" s="194">
        <v>3800</v>
      </c>
      <c r="C26" s="176" t="s">
        <v>39</v>
      </c>
      <c r="D26" s="178" t="s">
        <v>80</v>
      </c>
      <c r="E26" s="180" t="s">
        <v>81</v>
      </c>
      <c r="F26" s="184" t="str">
        <f>IFERROR(IF(SUM('UMME QUERÉTARO:SAN PEDRO MÁRTIR'!F26)=0," ",SUM('UMME QUERÉTARO:SAN PEDRO MÁRTIR'!F26))," ")</f>
        <v xml:space="preserve"> </v>
      </c>
      <c r="G26" s="106" t="str">
        <f>IF(F26=0," ",F26)</f>
        <v xml:space="preserve"> </v>
      </c>
      <c r="H26" s="106" t="str">
        <f>IF(F26=0," ",F26)</f>
        <v xml:space="preserve"> </v>
      </c>
      <c r="I26" s="98"/>
      <c r="J26" s="99"/>
      <c r="K26" s="192"/>
    </row>
    <row r="27" spans="1:16" ht="26.25" thickBot="1" x14ac:dyDescent="0.25">
      <c r="A27" s="173"/>
      <c r="B27" s="195"/>
      <c r="C27" s="177"/>
      <c r="D27" s="179"/>
      <c r="E27" s="181"/>
      <c r="F27" s="185"/>
      <c r="G27" s="102"/>
      <c r="H27" s="102"/>
      <c r="I27" s="104"/>
      <c r="J27" s="115"/>
      <c r="K27" s="193"/>
    </row>
    <row r="28" spans="1:16" ht="25.5" x14ac:dyDescent="0.2">
      <c r="A28" s="172" t="s">
        <v>13</v>
      </c>
      <c r="B28" s="194">
        <v>3801</v>
      </c>
      <c r="C28" s="176" t="s">
        <v>23</v>
      </c>
      <c r="D28" s="178" t="s">
        <v>80</v>
      </c>
      <c r="E28" s="180" t="s">
        <v>81</v>
      </c>
      <c r="F28" s="184" t="str">
        <f>IFERROR(IF(SUM('UMME QUERÉTARO:SAN PEDRO MÁRTIR'!F28)=0," ",SUM('UMME QUERÉTARO:SAN PEDRO MÁRTIR'!F28))," ")</f>
        <v xml:space="preserve"> </v>
      </c>
      <c r="G28" s="106" t="str">
        <f>IF(F28=0," ",F28)</f>
        <v xml:space="preserve"> </v>
      </c>
      <c r="H28" s="106" t="str">
        <f>IF(F28=0," ",F28)</f>
        <v xml:space="preserve"> </v>
      </c>
      <c r="I28" s="98"/>
      <c r="J28" s="99"/>
      <c r="K28" s="192"/>
    </row>
    <row r="29" spans="1:16" ht="26.25" thickBot="1" x14ac:dyDescent="0.25">
      <c r="A29" s="173"/>
      <c r="B29" s="195"/>
      <c r="C29" s="177"/>
      <c r="D29" s="179"/>
      <c r="E29" s="181"/>
      <c r="F29" s="185"/>
      <c r="G29" s="102"/>
      <c r="H29" s="102"/>
      <c r="I29" s="104"/>
      <c r="J29" s="111"/>
      <c r="K29" s="193"/>
    </row>
    <row r="30" spans="1:16" ht="26.25" customHeight="1" x14ac:dyDescent="0.2">
      <c r="A30" s="172" t="s">
        <v>15</v>
      </c>
      <c r="B30" s="194">
        <v>3802</v>
      </c>
      <c r="C30" s="176" t="s">
        <v>41</v>
      </c>
      <c r="D30" s="178" t="s">
        <v>80</v>
      </c>
      <c r="E30" s="180" t="s">
        <v>82</v>
      </c>
      <c r="F30" s="184" t="str">
        <f>IFERROR(IF(SUM('UMME QUERÉTARO:SAN PEDRO MÁRTIR'!F30)=0," ",SUM('UMME QUERÉTARO:SAN PEDRO MÁRTIR'!F30))," ")</f>
        <v xml:space="preserve"> </v>
      </c>
      <c r="G30" s="106" t="str">
        <f>IF(F30=0," ",F30)</f>
        <v xml:space="preserve"> </v>
      </c>
      <c r="H30" s="106" t="str">
        <f>IF(F30=0," ",F30)</f>
        <v xml:space="preserve"> </v>
      </c>
      <c r="I30" s="98"/>
      <c r="J30" s="99"/>
      <c r="K30" s="192"/>
    </row>
    <row r="31" spans="1:16" ht="26.25" thickBot="1" x14ac:dyDescent="0.25">
      <c r="A31" s="173"/>
      <c r="B31" s="195"/>
      <c r="C31" s="177"/>
      <c r="D31" s="179"/>
      <c r="E31" s="181"/>
      <c r="F31" s="185"/>
      <c r="G31" s="102"/>
      <c r="H31" s="102"/>
      <c r="I31" s="104"/>
      <c r="J31" s="111"/>
      <c r="K31" s="193"/>
    </row>
    <row r="32" spans="1:16" ht="25.5" x14ac:dyDescent="0.2">
      <c r="A32" s="172" t="s">
        <v>16</v>
      </c>
      <c r="B32" s="194">
        <v>3805</v>
      </c>
      <c r="C32" s="176" t="s">
        <v>24</v>
      </c>
      <c r="D32" s="178" t="s">
        <v>80</v>
      </c>
      <c r="E32" s="180" t="s">
        <v>78</v>
      </c>
      <c r="F32" s="184" t="str">
        <f>IFERROR(IF(SUM('UMME QUERÉTARO:SAN PEDRO MÁRTIR'!F32)=0," ",SUM('UMME QUERÉTARO:SAN PEDRO MÁRTIR'!F32))," ")</f>
        <v xml:space="preserve"> </v>
      </c>
      <c r="G32" s="106" t="str">
        <f>IF(F32=0," ",F32)</f>
        <v xml:space="preserve"> </v>
      </c>
      <c r="H32" s="106" t="str">
        <f>IF(F32=0," ",F32)</f>
        <v xml:space="preserve"> </v>
      </c>
      <c r="I32" s="98"/>
      <c r="J32" s="99"/>
      <c r="K32" s="192"/>
    </row>
    <row r="33" spans="1:11" ht="26.25" thickBot="1" x14ac:dyDescent="0.25">
      <c r="A33" s="173"/>
      <c r="B33" s="195"/>
      <c r="C33" s="177"/>
      <c r="D33" s="179"/>
      <c r="E33" s="181"/>
      <c r="F33" s="185"/>
      <c r="G33" s="102"/>
      <c r="H33" s="102"/>
      <c r="I33" s="104"/>
      <c r="J33" s="115"/>
      <c r="K33" s="193"/>
    </row>
    <row r="34" spans="1:11" ht="25.5" x14ac:dyDescent="0.2">
      <c r="A34" s="172" t="s">
        <v>135</v>
      </c>
      <c r="B34" s="194">
        <v>3808</v>
      </c>
      <c r="C34" s="176" t="s">
        <v>25</v>
      </c>
      <c r="D34" s="178" t="s">
        <v>77</v>
      </c>
      <c r="E34" s="180" t="s">
        <v>78</v>
      </c>
      <c r="F34" s="184" t="str">
        <f>IFERROR(IF(SUM('UMME QUERÉTARO:SAN PEDRO MÁRTIR'!F34)=0," ",SUM('UMME QUERÉTARO:SAN PEDRO MÁRTIR'!F34))," ")</f>
        <v xml:space="preserve"> </v>
      </c>
      <c r="G34" s="106" t="str">
        <f>IF(F34=0," ",F34)</f>
        <v xml:space="preserve"> </v>
      </c>
      <c r="H34" s="106" t="str">
        <f>IF(F34=0," ",F34)</f>
        <v xml:space="preserve"> </v>
      </c>
      <c r="I34" s="98"/>
      <c r="J34" s="99"/>
      <c r="K34" s="192"/>
    </row>
    <row r="35" spans="1:11" ht="26.25" thickBot="1" x14ac:dyDescent="0.25">
      <c r="A35" s="173"/>
      <c r="B35" s="195"/>
      <c r="C35" s="177"/>
      <c r="D35" s="179"/>
      <c r="E35" s="181"/>
      <c r="F35" s="185"/>
      <c r="G35" s="102"/>
      <c r="H35" s="102"/>
      <c r="I35" s="104"/>
      <c r="J35" s="115"/>
      <c r="K35" s="193"/>
    </row>
    <row r="36" spans="1:11" ht="25.5" x14ac:dyDescent="0.2">
      <c r="A36" s="172" t="s">
        <v>19</v>
      </c>
      <c r="B36" s="194">
        <v>3810</v>
      </c>
      <c r="C36" s="176" t="s">
        <v>42</v>
      </c>
      <c r="D36" s="178" t="s">
        <v>80</v>
      </c>
      <c r="E36" s="180" t="s">
        <v>78</v>
      </c>
      <c r="F36" s="184" t="str">
        <f>IFERROR(IF(SUM('UMME QUERÉTARO:SAN PEDRO MÁRTIR'!F36)=0," ",SUM('UMME QUERÉTARO:SAN PEDRO MÁRTIR'!F36))," ")</f>
        <v xml:space="preserve"> </v>
      </c>
      <c r="G36" s="106" t="str">
        <f>IF(F36=0," ",F36)</f>
        <v xml:space="preserve"> </v>
      </c>
      <c r="H36" s="106" t="str">
        <f>IF(F36=0," ",F36)</f>
        <v xml:space="preserve"> </v>
      </c>
      <c r="I36" s="98"/>
      <c r="J36" s="99"/>
      <c r="K36" s="167"/>
    </row>
    <row r="37" spans="1:11" ht="26.25" thickBot="1" x14ac:dyDescent="0.25">
      <c r="A37" s="173"/>
      <c r="B37" s="195"/>
      <c r="C37" s="177"/>
      <c r="D37" s="179"/>
      <c r="E37" s="181"/>
      <c r="F37" s="185"/>
      <c r="G37" s="102"/>
      <c r="H37" s="102"/>
      <c r="I37" s="104"/>
      <c r="J37" s="115"/>
      <c r="K37" s="168"/>
    </row>
    <row r="38" spans="1:11" ht="25.5" x14ac:dyDescent="0.2">
      <c r="A38" s="172" t="s">
        <v>50</v>
      </c>
      <c r="B38" s="194">
        <v>6056</v>
      </c>
      <c r="C38" s="176" t="s">
        <v>29</v>
      </c>
      <c r="D38" s="178" t="s">
        <v>77</v>
      </c>
      <c r="E38" s="180" t="s">
        <v>81</v>
      </c>
      <c r="F38" s="184" t="str">
        <f>IFERROR(IF(SUM('UMME QUERÉTARO:SAN PEDRO MÁRTIR'!F38)=0," ",SUM('UMME QUERÉTARO:SAN PEDRO MÁRTIR'!F38))," ")</f>
        <v xml:space="preserve"> </v>
      </c>
      <c r="G38" s="112" t="str">
        <f>IF(F38=0," ",F38)</f>
        <v xml:space="preserve"> </v>
      </c>
      <c r="H38" s="112" t="str">
        <f>IF(F38=0," ",F38)</f>
        <v xml:space="preserve"> </v>
      </c>
      <c r="I38" s="98"/>
      <c r="J38" s="99"/>
      <c r="K38" s="167"/>
    </row>
    <row r="39" spans="1:11" ht="26.25" thickBot="1" x14ac:dyDescent="0.25">
      <c r="A39" s="173"/>
      <c r="B39" s="195"/>
      <c r="C39" s="177"/>
      <c r="D39" s="179"/>
      <c r="E39" s="181"/>
      <c r="F39" s="185"/>
      <c r="G39" s="113"/>
      <c r="H39" s="113"/>
      <c r="I39" s="104"/>
      <c r="J39" s="111"/>
      <c r="K39" s="168"/>
    </row>
    <row r="40" spans="1:11" ht="25.5" x14ac:dyDescent="0.2">
      <c r="A40" s="172" t="s">
        <v>17</v>
      </c>
      <c r="B40" s="194">
        <v>3820</v>
      </c>
      <c r="C40" s="176" t="s">
        <v>40</v>
      </c>
      <c r="D40" s="178" t="s">
        <v>77</v>
      </c>
      <c r="E40" s="180" t="s">
        <v>81</v>
      </c>
      <c r="F40" s="184" t="str">
        <f>IFERROR(IF(SUM('UMME QUERÉTARO:SAN PEDRO MÁRTIR'!F40)=0," ",SUM('UMME QUERÉTARO:SAN PEDRO MÁRTIR'!F40))," ")</f>
        <v xml:space="preserve"> </v>
      </c>
      <c r="G40" s="106" t="str">
        <f>IF(F40=0," ",F40)</f>
        <v xml:space="preserve"> </v>
      </c>
      <c r="H40" s="106" t="str">
        <f>IF(F40=0," ",F40)</f>
        <v xml:space="preserve"> </v>
      </c>
      <c r="I40" s="98"/>
      <c r="J40" s="99"/>
      <c r="K40" s="167"/>
    </row>
    <row r="41" spans="1:11" ht="26.25" thickBot="1" x14ac:dyDescent="0.25">
      <c r="A41" s="230"/>
      <c r="B41" s="231"/>
      <c r="C41" s="232"/>
      <c r="D41" s="179"/>
      <c r="E41" s="181"/>
      <c r="F41" s="185"/>
      <c r="G41" s="102"/>
      <c r="H41" s="103"/>
      <c r="I41" s="104"/>
      <c r="J41" s="111"/>
      <c r="K41" s="168"/>
    </row>
    <row r="42" spans="1:11" ht="26.25" customHeight="1" x14ac:dyDescent="0.2">
      <c r="A42" s="172" t="s">
        <v>18</v>
      </c>
      <c r="B42" s="194">
        <v>3821</v>
      </c>
      <c r="C42" s="176" t="s">
        <v>26</v>
      </c>
      <c r="D42" s="178" t="s">
        <v>80</v>
      </c>
      <c r="E42" s="180" t="s">
        <v>81</v>
      </c>
      <c r="F42" s="184" t="str">
        <f>IFERROR(IF(SUM('UMME QUERÉTARO:SAN PEDRO MÁRTIR'!F42)=0," ",SUM('UMME QUERÉTARO:SAN PEDRO MÁRTIR'!F42))," ")</f>
        <v xml:space="preserve"> </v>
      </c>
      <c r="G42" s="106" t="str">
        <f>IF(F42=0," ",F42)</f>
        <v xml:space="preserve"> </v>
      </c>
      <c r="H42" s="107" t="str">
        <f>IF(F42=0," ",F42)</f>
        <v xml:space="preserve"> </v>
      </c>
      <c r="I42" s="98"/>
      <c r="J42" s="99"/>
      <c r="K42" s="167"/>
    </row>
    <row r="43" spans="1:11" ht="26.25" thickBot="1" x14ac:dyDescent="0.25">
      <c r="A43" s="173"/>
      <c r="B43" s="195"/>
      <c r="C43" s="177"/>
      <c r="D43" s="179"/>
      <c r="E43" s="181"/>
      <c r="F43" s="185"/>
      <c r="G43" s="102"/>
      <c r="H43" s="103"/>
      <c r="I43" s="104"/>
      <c r="J43" s="115"/>
      <c r="K43" s="168"/>
    </row>
    <row r="44" spans="1:11" ht="25.5" x14ac:dyDescent="0.2">
      <c r="A44" s="172" t="s">
        <v>151</v>
      </c>
      <c r="B44" s="194">
        <v>6317</v>
      </c>
      <c r="C44" s="176" t="s">
        <v>35</v>
      </c>
      <c r="D44" s="178" t="s">
        <v>80</v>
      </c>
      <c r="E44" s="180" t="s">
        <v>78</v>
      </c>
      <c r="F44" s="184" t="str">
        <f>IFERROR(IF(SUM('UMME QUERÉTARO:SAN PEDRO MÁRTIR'!F44)=0," ",SUM('UMME QUERÉTARO:SAN PEDRO MÁRTIR'!F44))," ")</f>
        <v xml:space="preserve"> </v>
      </c>
      <c r="G44" s="106" t="str">
        <f>IF(F44=0," ",F44)</f>
        <v xml:space="preserve"> </v>
      </c>
      <c r="H44" s="107" t="str">
        <f>IF(F44=0," ",F44)</f>
        <v xml:space="preserve"> </v>
      </c>
      <c r="I44" s="98"/>
      <c r="J44" s="99"/>
      <c r="K44" s="192"/>
    </row>
    <row r="45" spans="1:11" ht="26.25" thickBot="1" x14ac:dyDescent="0.25">
      <c r="A45" s="173"/>
      <c r="B45" s="195"/>
      <c r="C45" s="177"/>
      <c r="D45" s="179"/>
      <c r="E45" s="181"/>
      <c r="F45" s="185"/>
      <c r="G45" s="102"/>
      <c r="H45" s="103"/>
      <c r="I45" s="104"/>
      <c r="J45" s="115"/>
      <c r="K45" s="193"/>
    </row>
    <row r="46" spans="1:11" ht="26.25" customHeight="1" x14ac:dyDescent="0.2">
      <c r="A46" s="172" t="s">
        <v>30</v>
      </c>
      <c r="B46" s="194">
        <v>3832</v>
      </c>
      <c r="C46" s="176" t="s">
        <v>34</v>
      </c>
      <c r="D46" s="178" t="s">
        <v>77</v>
      </c>
      <c r="E46" s="180" t="s">
        <v>78</v>
      </c>
      <c r="F46" s="184" t="str">
        <f>IFERROR(IF(SUM('UMME QUERÉTARO:SAN PEDRO MÁRTIR'!F46)=0," ",SUM('UMME QUERÉTARO:SAN PEDRO MÁRTIR'!F46))," ")</f>
        <v xml:space="preserve"> </v>
      </c>
      <c r="G46" s="107" t="str">
        <f>IF(F46=0," ",F46)</f>
        <v xml:space="preserve"> </v>
      </c>
      <c r="H46" s="107" t="str">
        <f>IF(F46=0," ",F46)</f>
        <v xml:space="preserve"> </v>
      </c>
      <c r="I46" s="98"/>
      <c r="J46" s="99"/>
      <c r="K46" s="167"/>
    </row>
    <row r="47" spans="1:11" ht="26.25" thickBot="1" x14ac:dyDescent="0.25">
      <c r="A47" s="173"/>
      <c r="B47" s="195"/>
      <c r="C47" s="177"/>
      <c r="D47" s="179"/>
      <c r="E47" s="181"/>
      <c r="F47" s="185"/>
      <c r="G47" s="103"/>
      <c r="H47" s="103"/>
      <c r="I47" s="104"/>
      <c r="J47" s="115"/>
      <c r="K47" s="168"/>
    </row>
    <row r="48" spans="1:11" ht="25.5" x14ac:dyDescent="0.2">
      <c r="A48" s="172" t="s">
        <v>158</v>
      </c>
      <c r="B48" s="194">
        <v>6501</v>
      </c>
      <c r="C48" s="176" t="s">
        <v>10</v>
      </c>
      <c r="D48" s="178" t="s">
        <v>77</v>
      </c>
      <c r="E48" s="180" t="s">
        <v>78</v>
      </c>
      <c r="F48" s="184" t="str">
        <f>IFERROR(IF(SUM('UMME QUERÉTARO:SAN PEDRO MÁRTIR'!F48)=0," ",SUM('UMME QUERÉTARO:SAN PEDRO MÁRTIR'!F48))," ")</f>
        <v xml:space="preserve"> </v>
      </c>
      <c r="G48" s="107" t="str">
        <f>IF(F48=0," ",F48)</f>
        <v xml:space="preserve"> </v>
      </c>
      <c r="H48" s="107" t="str">
        <f>IF(F48=0," ",F48)</f>
        <v xml:space="preserve"> </v>
      </c>
      <c r="I48" s="98"/>
      <c r="J48" s="99"/>
      <c r="K48" s="192"/>
    </row>
    <row r="49" spans="1:13" ht="26.25" thickBot="1" x14ac:dyDescent="0.25">
      <c r="A49" s="173"/>
      <c r="B49" s="195"/>
      <c r="C49" s="177"/>
      <c r="D49" s="179"/>
      <c r="E49" s="181"/>
      <c r="F49" s="185"/>
      <c r="G49" s="103"/>
      <c r="H49" s="103"/>
      <c r="I49" s="104"/>
      <c r="J49" s="115"/>
      <c r="K49" s="193"/>
    </row>
    <row r="50" spans="1:13" ht="25.5" x14ac:dyDescent="0.2">
      <c r="A50" s="172" t="s">
        <v>20</v>
      </c>
      <c r="B50" s="186">
        <v>2</v>
      </c>
      <c r="C50" s="176" t="s">
        <v>28</v>
      </c>
      <c r="D50" s="178" t="s">
        <v>77</v>
      </c>
      <c r="E50" s="180" t="s">
        <v>83</v>
      </c>
      <c r="F50" s="184" t="str">
        <f>IFERROR(IF(SUM('UMME QUERÉTARO:SAN PEDRO MÁRTIR'!F50)=0," ",SUM('UMME QUERÉTARO:SAN PEDRO MÁRTIR'!F50))," ")</f>
        <v xml:space="preserve"> </v>
      </c>
      <c r="G50" s="107" t="str">
        <f>IF(F50=0," ",F50)</f>
        <v xml:space="preserve"> </v>
      </c>
      <c r="H50" s="107" t="str">
        <f>IF(F50=0," ",F50)</f>
        <v xml:space="preserve"> </v>
      </c>
      <c r="I50" s="98"/>
      <c r="J50" s="99"/>
      <c r="K50" s="167"/>
    </row>
    <row r="51" spans="1:13" ht="26.25" thickBot="1" x14ac:dyDescent="0.25">
      <c r="A51" s="173"/>
      <c r="B51" s="187"/>
      <c r="C51" s="177"/>
      <c r="D51" s="179"/>
      <c r="E51" s="181"/>
      <c r="F51" s="185"/>
      <c r="G51" s="103"/>
      <c r="H51" s="103"/>
      <c r="I51" s="115"/>
      <c r="J51" s="115"/>
      <c r="K51" s="168"/>
    </row>
    <row r="52" spans="1:13" ht="25.5" x14ac:dyDescent="0.2">
      <c r="A52" s="172" t="s">
        <v>162</v>
      </c>
      <c r="B52" s="174">
        <v>6509</v>
      </c>
      <c r="C52" s="176" t="s">
        <v>163</v>
      </c>
      <c r="D52" s="178" t="s">
        <v>77</v>
      </c>
      <c r="E52" s="180" t="s">
        <v>78</v>
      </c>
      <c r="F52" s="184" t="str">
        <f>IFERROR(IF(SUM('UMME QUERÉTARO:SAN PEDRO MÁRTIR'!F52)=0," ",SUM('UMME QUERÉTARO:SAN PEDRO MÁRTIR'!F52))," ")</f>
        <v xml:space="preserve"> </v>
      </c>
      <c r="G52" s="107" t="str">
        <f>IF(F52=0," ",F52)</f>
        <v xml:space="preserve"> </v>
      </c>
      <c r="H52" s="107" t="str">
        <f>IF(F52=0," ",F52)</f>
        <v xml:space="preserve"> </v>
      </c>
      <c r="I52" s="98"/>
      <c r="J52" s="99"/>
      <c r="K52" s="167"/>
    </row>
    <row r="53" spans="1:13" ht="26.25" thickBot="1" x14ac:dyDescent="0.25">
      <c r="A53" s="173"/>
      <c r="B53" s="175"/>
      <c r="C53" s="177"/>
      <c r="D53" s="179"/>
      <c r="E53" s="181"/>
      <c r="F53" s="185"/>
      <c r="G53" s="103"/>
      <c r="H53" s="103"/>
      <c r="I53" s="115"/>
      <c r="J53" s="111"/>
      <c r="K53" s="168"/>
    </row>
    <row r="54" spans="1:13" s="118" customFormat="1" ht="25.5" customHeight="1" x14ac:dyDescent="0.2">
      <c r="A54" s="116"/>
      <c r="B54" s="169" t="s">
        <v>148</v>
      </c>
      <c r="C54" s="169"/>
      <c r="D54" s="169"/>
      <c r="E54" s="169"/>
      <c r="F54" s="169"/>
      <c r="G54" s="169"/>
      <c r="H54" s="169"/>
      <c r="I54" s="169"/>
      <c r="J54" s="169"/>
      <c r="K54" s="117"/>
    </row>
    <row r="55" spans="1:13" s="87" customFormat="1" ht="25.5" customHeight="1" x14ac:dyDescent="0.2">
      <c r="A55" s="119"/>
      <c r="B55" s="120"/>
      <c r="C55" s="121"/>
      <c r="D55" s="122"/>
      <c r="E55" s="122"/>
      <c r="F55" s="122"/>
      <c r="G55" s="123"/>
      <c r="H55" s="123"/>
      <c r="I55" s="124"/>
      <c r="J55" s="125"/>
      <c r="K55" s="126"/>
    </row>
    <row r="56" spans="1:13" s="87" customFormat="1" ht="25.5" customHeight="1" thickBot="1" x14ac:dyDescent="0.25">
      <c r="A56" s="119"/>
      <c r="C56" s="127" t="s">
        <v>68</v>
      </c>
      <c r="D56" s="128"/>
      <c r="E56" s="124"/>
      <c r="F56" s="122"/>
      <c r="G56" s="170" t="s">
        <v>69</v>
      </c>
      <c r="H56" s="170"/>
      <c r="I56" s="129"/>
      <c r="J56" s="125"/>
      <c r="K56" s="126"/>
    </row>
    <row r="57" spans="1:13" s="87" customFormat="1" ht="25.5" customHeight="1" x14ac:dyDescent="0.2">
      <c r="A57" s="119"/>
      <c r="B57" s="120"/>
      <c r="C57" s="121"/>
      <c r="D57" s="122"/>
      <c r="E57" s="122"/>
      <c r="F57" s="122"/>
      <c r="G57" s="123"/>
      <c r="H57" s="123"/>
      <c r="I57" s="124"/>
      <c r="J57" s="125"/>
      <c r="K57" s="126"/>
    </row>
    <row r="58" spans="1:13" s="87" customFormat="1" ht="30" customHeight="1" x14ac:dyDescent="0.2">
      <c r="A58" s="171" t="s">
        <v>11</v>
      </c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M58" s="87" t="s">
        <v>0</v>
      </c>
    </row>
    <row r="59" spans="1:13" s="87" customFormat="1" ht="30" customHeight="1" x14ac:dyDescent="0.2">
      <c r="A59" s="130"/>
      <c r="B59" s="164"/>
      <c r="C59" s="164"/>
      <c r="D59" s="164"/>
      <c r="E59" s="164"/>
      <c r="F59" s="164"/>
      <c r="G59" s="164"/>
      <c r="H59" s="164"/>
      <c r="I59" s="164"/>
      <c r="J59" s="164"/>
      <c r="K59" s="131"/>
    </row>
    <row r="60" spans="1:13" s="87" customFormat="1" ht="30" customHeight="1" x14ac:dyDescent="0.2">
      <c r="A60" s="130"/>
      <c r="B60" s="164"/>
      <c r="C60" s="164"/>
      <c r="D60" s="164"/>
      <c r="E60" s="164"/>
      <c r="F60" s="164"/>
      <c r="G60" s="164"/>
      <c r="H60" s="164"/>
      <c r="I60" s="164"/>
      <c r="J60" s="164"/>
      <c r="K60" s="130"/>
      <c r="L60" s="130"/>
    </row>
    <row r="61" spans="1:13" s="87" customFormat="1" ht="30" customHeight="1" x14ac:dyDescent="0.2">
      <c r="A61" s="130"/>
      <c r="B61" s="164"/>
      <c r="C61" s="164"/>
      <c r="D61" s="164"/>
      <c r="E61" s="164"/>
      <c r="F61" s="164"/>
      <c r="G61" s="164"/>
      <c r="H61" s="164"/>
      <c r="I61" s="164"/>
      <c r="J61" s="164"/>
      <c r="K61" s="130"/>
      <c r="L61" s="121"/>
    </row>
    <row r="62" spans="1:13" s="87" customFormat="1" ht="30" customHeight="1" x14ac:dyDescent="0.2">
      <c r="A62" s="132"/>
      <c r="B62" s="133"/>
      <c r="C62" s="134"/>
      <c r="D62" s="134"/>
      <c r="E62" s="134"/>
      <c r="F62" s="133"/>
      <c r="G62" s="133"/>
      <c r="H62" s="133"/>
      <c r="I62" s="134"/>
      <c r="J62" s="134"/>
      <c r="K62" s="134"/>
    </row>
    <row r="63" spans="1:13" s="87" customFormat="1" ht="30" customHeight="1" x14ac:dyDescent="0.2">
      <c r="A63" s="132"/>
      <c r="B63" s="133"/>
      <c r="C63" s="134"/>
      <c r="D63" s="134"/>
      <c r="E63" s="134"/>
      <c r="F63" s="133"/>
      <c r="H63" s="133"/>
      <c r="I63" s="133"/>
    </row>
    <row r="64" spans="1:13" s="87" customFormat="1" ht="30" customHeight="1" x14ac:dyDescent="0.2">
      <c r="A64" s="135"/>
      <c r="B64" s="136"/>
      <c r="C64" s="137"/>
      <c r="D64" s="137"/>
      <c r="E64" s="137"/>
      <c r="F64" s="136"/>
      <c r="G64" s="138"/>
      <c r="H64" s="136"/>
      <c r="I64" s="136"/>
      <c r="J64" s="138"/>
      <c r="K64" s="138"/>
    </row>
    <row r="65" spans="1:12" s="86" customFormat="1" ht="19.5" customHeight="1" x14ac:dyDescent="0.2">
      <c r="A65" s="160" t="s">
        <v>149</v>
      </c>
      <c r="B65" s="160"/>
      <c r="C65" s="160"/>
      <c r="D65" s="139"/>
      <c r="E65" s="139"/>
      <c r="F65" s="140"/>
      <c r="G65" s="141"/>
      <c r="H65" s="165" t="s">
        <v>57</v>
      </c>
      <c r="I65" s="165"/>
      <c r="J65" s="165"/>
      <c r="K65" s="165"/>
      <c r="L65" s="142"/>
    </row>
    <row r="66" spans="1:12" s="86" customFormat="1" ht="20.100000000000001" customHeight="1" x14ac:dyDescent="0.2">
      <c r="A66" s="161" t="s">
        <v>71</v>
      </c>
      <c r="B66" s="161"/>
      <c r="C66" s="161"/>
      <c r="D66" s="140"/>
      <c r="E66" s="140"/>
      <c r="F66" s="140"/>
      <c r="G66" s="141"/>
      <c r="H66" s="161" t="s">
        <v>38</v>
      </c>
      <c r="I66" s="161"/>
      <c r="J66" s="161"/>
      <c r="K66" s="161"/>
    </row>
    <row r="67" spans="1:12" s="86" customFormat="1" ht="30" customHeight="1" x14ac:dyDescent="0.2">
      <c r="A67" s="140"/>
      <c r="B67" s="140"/>
      <c r="C67" s="140"/>
      <c r="D67" s="140"/>
      <c r="E67" s="140"/>
      <c r="F67" s="140"/>
      <c r="G67" s="141"/>
      <c r="H67" s="140"/>
      <c r="I67" s="140"/>
      <c r="J67" s="140"/>
      <c r="K67" s="140"/>
    </row>
    <row r="68" spans="1:12" s="86" customFormat="1" ht="30" customHeight="1" x14ac:dyDescent="0.2">
      <c r="A68" s="140"/>
      <c r="B68" s="140"/>
      <c r="C68" s="140"/>
      <c r="D68" s="140"/>
      <c r="E68" s="140"/>
      <c r="F68" s="140"/>
      <c r="G68" s="141"/>
      <c r="H68" s="140"/>
      <c r="I68" s="140"/>
      <c r="J68" s="140"/>
      <c r="K68" s="140"/>
    </row>
    <row r="69" spans="1:12" s="86" customFormat="1" ht="30" customHeight="1" x14ac:dyDescent="0.2">
      <c r="A69" s="140"/>
      <c r="B69" s="140"/>
      <c r="C69" s="140"/>
      <c r="D69" s="140"/>
      <c r="E69" s="140"/>
      <c r="F69" s="140"/>
      <c r="G69" s="141"/>
      <c r="H69" s="140"/>
      <c r="I69" s="140"/>
      <c r="J69" s="140"/>
      <c r="K69" s="140"/>
    </row>
    <row r="70" spans="1:12" s="86" customFormat="1" ht="30" customHeight="1" x14ac:dyDescent="0.2">
      <c r="A70" s="140"/>
      <c r="B70" s="140"/>
      <c r="C70" s="141"/>
      <c r="D70" s="141"/>
      <c r="E70" s="141"/>
      <c r="F70" s="140"/>
      <c r="G70" s="141"/>
      <c r="H70" s="140"/>
      <c r="I70" s="140"/>
      <c r="J70" s="141"/>
      <c r="K70" s="141"/>
    </row>
    <row r="71" spans="1:12" s="87" customFormat="1" ht="30" customHeight="1" x14ac:dyDescent="0.2">
      <c r="A71" s="166"/>
      <c r="B71" s="166"/>
      <c r="C71" s="166"/>
      <c r="D71" s="143"/>
      <c r="E71" s="143"/>
      <c r="F71" s="144"/>
      <c r="G71" s="145"/>
      <c r="H71" s="166"/>
      <c r="I71" s="166"/>
      <c r="J71" s="166"/>
      <c r="K71" s="166"/>
      <c r="L71" s="146"/>
    </row>
    <row r="72" spans="1:12" s="87" customFormat="1" ht="18.75" customHeight="1" x14ac:dyDescent="0.2">
      <c r="A72" s="305" t="s">
        <v>110</v>
      </c>
      <c r="B72" s="305"/>
      <c r="C72" s="305"/>
      <c r="D72" s="143"/>
      <c r="E72" s="143"/>
      <c r="F72" s="144"/>
      <c r="G72" s="145"/>
      <c r="H72" s="161" t="s">
        <v>150</v>
      </c>
      <c r="I72" s="161"/>
      <c r="J72" s="161"/>
      <c r="K72" s="161"/>
    </row>
    <row r="73" spans="1:12" s="87" customFormat="1" ht="30" customHeight="1" x14ac:dyDescent="0.2">
      <c r="A73" s="161" t="s">
        <v>72</v>
      </c>
      <c r="B73" s="161"/>
      <c r="C73" s="161"/>
      <c r="D73" s="140"/>
      <c r="E73" s="140"/>
      <c r="F73" s="139"/>
      <c r="G73" s="143"/>
      <c r="H73" s="304" t="s">
        <v>73</v>
      </c>
      <c r="I73" s="304"/>
      <c r="J73" s="304"/>
      <c r="K73" s="304"/>
      <c r="L73" s="146"/>
    </row>
    <row r="74" spans="1:12" s="79" customFormat="1" ht="20.25" customHeight="1" x14ac:dyDescent="0.2">
      <c r="A74" s="162"/>
      <c r="B74" s="162"/>
      <c r="C74" s="162"/>
      <c r="D74" s="136"/>
      <c r="E74" s="136"/>
      <c r="F74" s="147"/>
      <c r="G74" s="148"/>
      <c r="H74" s="148"/>
      <c r="I74" s="148"/>
      <c r="J74" s="148"/>
      <c r="K74" s="149"/>
      <c r="L74" s="150"/>
    </row>
    <row r="75" spans="1:12" s="79" customFormat="1" ht="30" customHeight="1" x14ac:dyDescent="0.2">
      <c r="B75" s="163"/>
      <c r="C75" s="163"/>
      <c r="D75" s="151"/>
      <c r="E75" s="151"/>
      <c r="G75" s="152"/>
      <c r="H75" s="152"/>
      <c r="I75" s="152"/>
      <c r="J75" s="152"/>
    </row>
    <row r="76" spans="1:12" s="79" customFormat="1" ht="30" customHeight="1" x14ac:dyDescent="0.2">
      <c r="G76" s="152"/>
      <c r="H76" s="152"/>
      <c r="I76" s="152"/>
      <c r="J76" s="152"/>
    </row>
    <row r="77" spans="1:12" s="79" customFormat="1" ht="30" customHeight="1" x14ac:dyDescent="0.2">
      <c r="G77" s="152"/>
      <c r="H77" s="152"/>
      <c r="I77" s="152"/>
      <c r="J77" s="152"/>
    </row>
    <row r="78" spans="1:12" s="79" customFormat="1" ht="30" customHeight="1" x14ac:dyDescent="0.2">
      <c r="G78" s="152"/>
      <c r="H78" s="152"/>
      <c r="I78" s="152"/>
      <c r="J78" s="152"/>
    </row>
    <row r="79" spans="1:12" s="79" customFormat="1" ht="30" customHeight="1" x14ac:dyDescent="0.2">
      <c r="G79" s="152"/>
      <c r="H79" s="152"/>
      <c r="I79" s="152"/>
      <c r="J79" s="152"/>
    </row>
    <row r="80" spans="1:12" s="79" customFormat="1" ht="30" customHeight="1" x14ac:dyDescent="0.2">
      <c r="G80" s="152"/>
      <c r="H80" s="152"/>
      <c r="I80" s="152"/>
      <c r="J80" s="152"/>
    </row>
    <row r="81" spans="7:10" s="79" customFormat="1" ht="30" customHeight="1" x14ac:dyDescent="0.2">
      <c r="G81" s="152"/>
      <c r="H81" s="152"/>
      <c r="I81" s="152"/>
      <c r="J81" s="152"/>
    </row>
    <row r="82" spans="7:10" s="79" customFormat="1" ht="30" customHeight="1" x14ac:dyDescent="0.2">
      <c r="G82" s="152"/>
      <c r="H82" s="152"/>
      <c r="I82" s="152"/>
      <c r="J82" s="152"/>
    </row>
    <row r="83" spans="7:10" s="79" customFormat="1" ht="30" customHeight="1" x14ac:dyDescent="0.2">
      <c r="G83" s="152"/>
      <c r="H83" s="152"/>
      <c r="I83" s="152"/>
      <c r="J83" s="152"/>
    </row>
    <row r="84" spans="7:10" s="79" customFormat="1" ht="30" customHeight="1" x14ac:dyDescent="0.2">
      <c r="G84" s="152"/>
      <c r="H84" s="152"/>
      <c r="I84" s="152"/>
      <c r="J84" s="152"/>
    </row>
    <row r="85" spans="7:10" s="79" customFormat="1" ht="30" customHeight="1" x14ac:dyDescent="0.2">
      <c r="G85" s="152"/>
      <c r="H85" s="152"/>
      <c r="I85" s="152"/>
      <c r="J85" s="152"/>
    </row>
    <row r="86" spans="7:10" s="79" customFormat="1" ht="30" customHeight="1" x14ac:dyDescent="0.2">
      <c r="G86" s="152"/>
      <c r="H86" s="152"/>
      <c r="I86" s="152"/>
      <c r="J86" s="152"/>
    </row>
    <row r="87" spans="7:10" s="79" customFormat="1" ht="30" customHeight="1" x14ac:dyDescent="0.2">
      <c r="H87" s="153"/>
    </row>
  </sheetData>
  <mergeCells count="177">
    <mergeCell ref="A73:C73"/>
    <mergeCell ref="A74:C74"/>
    <mergeCell ref="B75:C75"/>
    <mergeCell ref="B61:J61"/>
    <mergeCell ref="A65:C65"/>
    <mergeCell ref="H65:K65"/>
    <mergeCell ref="A66:C66"/>
    <mergeCell ref="H66:K66"/>
    <mergeCell ref="A71:C71"/>
    <mergeCell ref="H71:K71"/>
    <mergeCell ref="H73:K73"/>
    <mergeCell ref="H72:K72"/>
    <mergeCell ref="A72:C72"/>
    <mergeCell ref="K50:K51"/>
    <mergeCell ref="B54:J54"/>
    <mergeCell ref="G56:H56"/>
    <mergeCell ref="A58:K58"/>
    <mergeCell ref="B59:J59"/>
    <mergeCell ref="B60:J60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K52:K5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F7:G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28" fitToWidth="2" orientation="portrait" horizontalDpi="1200" verticalDpi="1200" r:id="rId1"/>
  <colBreaks count="1" manualBreakCount="1">
    <brk id="11" max="8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38</vt:i4>
      </vt:variant>
    </vt:vector>
  </HeadingPairs>
  <TitlesOfParts>
    <vt:vector size="76" baseType="lpstr">
      <vt:lpstr>UMME QUERÉTARO</vt:lpstr>
      <vt:lpstr>JURICA</vt:lpstr>
      <vt:lpstr>MENCHACA</vt:lpstr>
      <vt:lpstr>SAN ANTONIO DE LA PUNTA</vt:lpstr>
      <vt:lpstr>SAN PABLO</vt:lpstr>
      <vt:lpstr>CARRILLO</vt:lpstr>
      <vt:lpstr>LOMA BONITA</vt:lpstr>
      <vt:lpstr>PEDRO ESCOBEDO</vt:lpstr>
      <vt:lpstr>JOFRITO</vt:lpstr>
      <vt:lpstr>MONTENEGRO</vt:lpstr>
      <vt:lpstr>PIE DE GALLO</vt:lpstr>
      <vt:lpstr>SAN JOSÉ BUENAVISTA</vt:lpstr>
      <vt:lpstr>SAN MIGUELITO</vt:lpstr>
      <vt:lpstr>SANTA MARÍA MAGDALENA</vt:lpstr>
      <vt:lpstr>LA SOLANA</vt:lpstr>
      <vt:lpstr>TINAJA</vt:lpstr>
      <vt:lpstr>TLACOTE </vt:lpstr>
      <vt:lpstr>LÁZARO C.</vt:lpstr>
      <vt:lpstr>PEÑUELAS</vt:lpstr>
      <vt:lpstr>MENCHACA NORTE</vt:lpstr>
      <vt:lpstr>C. LA BARRETA</vt:lpstr>
      <vt:lpstr>UMME CERRO DE LA CRUZ</vt:lpstr>
      <vt:lpstr>UMME LA LUZ</vt:lpstr>
      <vt:lpstr>UMME SAN PEDRITO</vt:lpstr>
      <vt:lpstr>UMME RANCHO LARGO</vt:lpstr>
      <vt:lpstr>LA GOTERA</vt:lpstr>
      <vt:lpstr>SAN JOSÉ EL ALTO</vt:lpstr>
      <vt:lpstr>FAM BUENAVISTA</vt:lpstr>
      <vt:lpstr>FAM PEDRO E.</vt:lpstr>
      <vt:lpstr>FAM PALO ALTO</vt:lpstr>
      <vt:lpstr>C. MF1</vt:lpstr>
      <vt:lpstr>C. AMB1</vt:lpstr>
      <vt:lpstr>C. UMD</vt:lpstr>
      <vt:lpstr>SANTA ROSA</vt:lpstr>
      <vt:lpstr>SATÉLITE</vt:lpstr>
      <vt:lpstr>LOMAS DE CASABLANCA</vt:lpstr>
      <vt:lpstr>SAN PEDRO MÁRTIR</vt:lpstr>
      <vt:lpstr>GENERAL</vt:lpstr>
      <vt:lpstr>'C. AMB1'!Área_de_impresión</vt:lpstr>
      <vt:lpstr>'C. LA BARRETA'!Área_de_impresión</vt:lpstr>
      <vt:lpstr>'C. MF1'!Área_de_impresión</vt:lpstr>
      <vt:lpstr>'C. UMD'!Área_de_impresión</vt:lpstr>
      <vt:lpstr>CARRILLO!Área_de_impresión</vt:lpstr>
      <vt:lpstr>'FAM BUENAVISTA'!Área_de_impresión</vt:lpstr>
      <vt:lpstr>'FAM PALO ALTO'!Área_de_impresión</vt:lpstr>
      <vt:lpstr>'FAM PEDRO E.'!Área_de_impresión</vt:lpstr>
      <vt:lpstr>GENERAL!Área_de_impresión</vt:lpstr>
      <vt:lpstr>JOFRITO!Área_de_impresión</vt:lpstr>
      <vt:lpstr>JURICA!Área_de_impresión</vt:lpstr>
      <vt:lpstr>'LA GOTERA'!Área_de_impresión</vt:lpstr>
      <vt:lpstr>'LA SOLANA'!Área_de_impresión</vt:lpstr>
      <vt:lpstr>'LÁZARO C.'!Área_de_impresión</vt:lpstr>
      <vt:lpstr>'LOMA BONITA'!Área_de_impresión</vt:lpstr>
      <vt:lpstr>'LOMAS DE CASABLANCA'!Área_de_impresión</vt:lpstr>
      <vt:lpstr>MENCHACA!Área_de_impresión</vt:lpstr>
      <vt:lpstr>'MENCHACA NORTE'!Área_de_impresión</vt:lpstr>
      <vt:lpstr>MONTENEGRO!Área_de_impresión</vt:lpstr>
      <vt:lpstr>'PEDRO ESCOBEDO'!Área_de_impresión</vt:lpstr>
      <vt:lpstr>PEÑUELAS!Área_de_impresión</vt:lpstr>
      <vt:lpstr>'PIE DE GALLO'!Área_de_impresión</vt:lpstr>
      <vt:lpstr>'SAN ANTONIO DE LA PUNTA'!Área_de_impresión</vt:lpstr>
      <vt:lpstr>'SAN JOSÉ BUENAVISTA'!Área_de_impresión</vt:lpstr>
      <vt:lpstr>'SAN JOSÉ EL ALTO'!Área_de_impresión</vt:lpstr>
      <vt:lpstr>'SAN MIGUELITO'!Área_de_impresión</vt:lpstr>
      <vt:lpstr>'SAN PABLO'!Área_de_impresión</vt:lpstr>
      <vt:lpstr>'SAN PEDRO MÁRTIR'!Área_de_impresión</vt:lpstr>
      <vt:lpstr>'SANTA MARÍA MAGDALENA'!Área_de_impresión</vt:lpstr>
      <vt:lpstr>'SANTA ROSA'!Área_de_impresión</vt:lpstr>
      <vt:lpstr>SATÉLITE!Área_de_impresión</vt:lpstr>
      <vt:lpstr>TINAJA!Área_de_impresión</vt:lpstr>
      <vt:lpstr>'TLACOTE '!Área_de_impresión</vt:lpstr>
      <vt:lpstr>'UMME CERRO DE LA CRUZ'!Área_de_impresión</vt:lpstr>
      <vt:lpstr>'UMME LA LUZ'!Área_de_impresión</vt:lpstr>
      <vt:lpstr>'UMME QUERÉTARO'!Área_de_impresión</vt:lpstr>
      <vt:lpstr>'UMME RANCHO LARGO'!Área_de_impresión</vt:lpstr>
      <vt:lpstr>'UMME SAN PEDRITO'!Área_de_impresión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Carlos Becerra</cp:lastModifiedBy>
  <cp:lastPrinted>2025-11-21T18:03:48Z</cp:lastPrinted>
  <dcterms:created xsi:type="dcterms:W3CDTF">2013-03-21T18:12:10Z</dcterms:created>
  <dcterms:modified xsi:type="dcterms:W3CDTF">2026-09-30T16:32:42Z</dcterms:modified>
</cp:coreProperties>
</file>