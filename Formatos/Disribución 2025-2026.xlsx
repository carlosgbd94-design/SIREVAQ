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rlos B\Desktop\Influenza\Influenza 2025-2026\"/>
    </mc:Choice>
  </mc:AlternateContent>
  <xr:revisionPtr revIDLastSave="0" documentId="13_ncr:1_{77C12EDD-8704-4FE2-9EA0-A2934412AA5D}" xr6:coauthVersionLast="47" xr6:coauthVersionMax="47" xr10:uidLastSave="{00000000-0000-0000-0000-000000000000}"/>
  <bookViews>
    <workbookView xWindow="-120" yWindow="-120" windowWidth="24240" windowHeight="13020" activeTab="1" xr2:uid="{AE8AD76A-CCFE-43A9-A196-9CDA70B030F1}"/>
  </bookViews>
  <sheets>
    <sheet name="Hoja1" sheetId="1" r:id="rId1"/>
    <sheet name="Hoja2" sheetId="2" r:id="rId2"/>
    <sheet name="Distribución 2021" sheetId="3" r:id="rId3"/>
  </sheets>
  <definedNames>
    <definedName name="_xlnm.Print_Area" localSheetId="2">'Distribución 2021'!$A$1:$P$8</definedName>
    <definedName name="_xlnm.Print_Area" localSheetId="1">Hoja2!$A$1:$AP$16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7" i="2" l="1"/>
  <c r="AS5" i="2"/>
  <c r="AP9" i="2"/>
  <c r="AP5" i="2"/>
  <c r="AP3" i="2" l="1"/>
  <c r="AP4" i="2"/>
  <c r="Y10" i="2"/>
  <c r="Z10" i="2"/>
  <c r="AP15" i="2"/>
  <c r="AO14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20" i="2"/>
  <c r="AV19" i="2"/>
  <c r="AV18" i="2"/>
  <c r="AP6" i="2" l="1"/>
  <c r="AP8" i="2"/>
  <c r="F13" i="2" l="1"/>
  <c r="F14" i="2" s="1"/>
  <c r="L13" i="2"/>
  <c r="L14" i="2" s="1"/>
  <c r="R13" i="2"/>
  <c r="R14" i="2" s="1"/>
  <c r="X13" i="2"/>
  <c r="X14" i="2" s="1"/>
  <c r="AD13" i="2"/>
  <c r="AD14" i="2" s="1"/>
  <c r="AJ13" i="2"/>
  <c r="AJ14" i="2" s="1"/>
  <c r="G13" i="2"/>
  <c r="G14" i="2" s="1"/>
  <c r="M13" i="2"/>
  <c r="M14" i="2" s="1"/>
  <c r="S13" i="2"/>
  <c r="S14" i="2" s="1"/>
  <c r="Y13" i="2"/>
  <c r="Y14" i="2" s="1"/>
  <c r="AE13" i="2"/>
  <c r="AE14" i="2" s="1"/>
  <c r="AK13" i="2"/>
  <c r="AK14" i="2" s="1"/>
  <c r="H13" i="2"/>
  <c r="H14" i="2" s="1"/>
  <c r="N13" i="2"/>
  <c r="N14" i="2" s="1"/>
  <c r="T13" i="2"/>
  <c r="T14" i="2" s="1"/>
  <c r="Z13" i="2"/>
  <c r="Z14" i="2" s="1"/>
  <c r="AF13" i="2"/>
  <c r="AF14" i="2" s="1"/>
  <c r="AL13" i="2"/>
  <c r="AL14" i="2" s="1"/>
  <c r="C13" i="2"/>
  <c r="C14" i="2" s="1"/>
  <c r="I13" i="2"/>
  <c r="I14" i="2" s="1"/>
  <c r="O13" i="2"/>
  <c r="O14" i="2" s="1"/>
  <c r="U13" i="2"/>
  <c r="U14" i="2" s="1"/>
  <c r="AA13" i="2"/>
  <c r="AA14" i="2" s="1"/>
  <c r="AG13" i="2"/>
  <c r="AG14" i="2" s="1"/>
  <c r="AM13" i="2"/>
  <c r="AM14" i="2" s="1"/>
  <c r="D13" i="2"/>
  <c r="D14" i="2" s="1"/>
  <c r="J13" i="2"/>
  <c r="J14" i="2" s="1"/>
  <c r="P13" i="2"/>
  <c r="P14" i="2" s="1"/>
  <c r="V13" i="2"/>
  <c r="V14" i="2" s="1"/>
  <c r="AB13" i="2"/>
  <c r="AB14" i="2" s="1"/>
  <c r="AH13" i="2"/>
  <c r="AH14" i="2" s="1"/>
  <c r="AN13" i="2"/>
  <c r="AN14" i="2" s="1"/>
  <c r="E13" i="2"/>
  <c r="E14" i="2" s="1"/>
  <c r="K13" i="2"/>
  <c r="K14" i="2" s="1"/>
  <c r="Q13" i="2"/>
  <c r="Q14" i="2" s="1"/>
  <c r="W13" i="2"/>
  <c r="W14" i="2" s="1"/>
  <c r="AC13" i="2"/>
  <c r="AC14" i="2" s="1"/>
  <c r="AI13" i="2"/>
  <c r="AI14" i="2" s="1"/>
  <c r="B13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B10" i="2"/>
  <c r="B14" i="2" l="1"/>
  <c r="AP14" i="2" s="1"/>
  <c r="AP13" i="2"/>
  <c r="C10" i="2"/>
  <c r="AP10" i="2" l="1"/>
  <c r="N8" i="3"/>
  <c r="I17" i="3"/>
  <c r="O17" i="3"/>
  <c r="O19" i="3"/>
  <c r="O21" i="3" s="1"/>
  <c r="N20" i="3"/>
  <c r="M8" i="3"/>
  <c r="O8" i="3"/>
  <c r="P14" i="3"/>
  <c r="P13" i="3"/>
  <c r="P12" i="3"/>
  <c r="P11" i="3"/>
  <c r="P10" i="3"/>
  <c r="L8" i="3"/>
  <c r="K8" i="3"/>
  <c r="J8" i="3"/>
  <c r="I8" i="3"/>
  <c r="H8" i="3"/>
  <c r="G8" i="3"/>
  <c r="F8" i="3"/>
  <c r="E8" i="3"/>
  <c r="D8" i="3"/>
  <c r="C8" i="3"/>
  <c r="B8" i="3"/>
  <c r="P7" i="3"/>
  <c r="P6" i="3"/>
  <c r="P5" i="3"/>
  <c r="P4" i="3"/>
  <c r="P3" i="3"/>
  <c r="V39" i="3" s="1"/>
  <c r="W39" i="3" s="1"/>
  <c r="V17" i="3" l="1"/>
  <c r="W17" i="3" s="1"/>
  <c r="V20" i="3"/>
  <c r="W20" i="3" s="1"/>
  <c r="P8" i="3"/>
  <c r="V19" i="3"/>
  <c r="W19" i="3" s="1"/>
  <c r="V22" i="3"/>
  <c r="W22" i="3" s="1"/>
  <c r="V24" i="3"/>
  <c r="W24" i="3" s="1"/>
  <c r="V26" i="3"/>
  <c r="W26" i="3" s="1"/>
  <c r="V28" i="3"/>
  <c r="W28" i="3" s="1"/>
  <c r="V30" i="3"/>
  <c r="W30" i="3" s="1"/>
  <c r="V32" i="3"/>
  <c r="W32" i="3" s="1"/>
  <c r="V34" i="3"/>
  <c r="W34" i="3" s="1"/>
  <c r="V36" i="3"/>
  <c r="W36" i="3" s="1"/>
  <c r="V38" i="3"/>
  <c r="W38" i="3" s="1"/>
  <c r="V40" i="3"/>
  <c r="W40" i="3" s="1"/>
  <c r="V18" i="3"/>
  <c r="W18" i="3" s="1"/>
  <c r="V16" i="3"/>
  <c r="W16" i="3" s="1"/>
  <c r="V21" i="3"/>
  <c r="W21" i="3" s="1"/>
  <c r="V23" i="3"/>
  <c r="W23" i="3" s="1"/>
  <c r="V25" i="3"/>
  <c r="W25" i="3" s="1"/>
  <c r="V27" i="3"/>
  <c r="W27" i="3" s="1"/>
  <c r="V29" i="3"/>
  <c r="W29" i="3" s="1"/>
  <c r="V31" i="3"/>
  <c r="W31" i="3" s="1"/>
  <c r="V33" i="3"/>
  <c r="W33" i="3" s="1"/>
  <c r="V35" i="3"/>
  <c r="W35" i="3" s="1"/>
  <c r="V37" i="3"/>
  <c r="W37" i="3" s="1"/>
  <c r="W41" i="3" l="1"/>
  <c r="AW32" i="2" l="1"/>
  <c r="AL24" i="1"/>
  <c r="AN3" i="1"/>
  <c r="I8" i="1"/>
  <c r="AJ6" i="1"/>
  <c r="D8" i="1"/>
  <c r="E8" i="1"/>
  <c r="M8" i="1"/>
  <c r="N8" i="1"/>
  <c r="Y8" i="1"/>
  <c r="Z8" i="1"/>
  <c r="AD8" i="1"/>
  <c r="AH8" i="1"/>
  <c r="AJ8" i="1"/>
  <c r="AL8" i="1"/>
  <c r="C8" i="1"/>
  <c r="AK6" i="1"/>
  <c r="AK8" i="1" s="1"/>
  <c r="R6" i="1"/>
  <c r="R8" i="1" s="1"/>
  <c r="G6" i="1"/>
  <c r="G8" i="1" s="1"/>
  <c r="AB6" i="1"/>
  <c r="AB8" i="1" s="1"/>
  <c r="AA6" i="1"/>
  <c r="AA8" i="1" s="1"/>
  <c r="J6" i="1"/>
  <c r="J8" i="1" s="1"/>
  <c r="L6" i="1"/>
  <c r="L8" i="1" s="1"/>
  <c r="N6" i="1"/>
  <c r="Q6" i="1"/>
  <c r="Q8" i="1" s="1"/>
  <c r="D6" i="1"/>
  <c r="E6" i="1"/>
  <c r="F6" i="1"/>
  <c r="F8" i="1" s="1"/>
  <c r="H6" i="1"/>
  <c r="AN6" i="1" s="1"/>
  <c r="K6" i="1"/>
  <c r="K8" i="1" s="1"/>
  <c r="M6" i="1"/>
  <c r="O6" i="1"/>
  <c r="O8" i="1" s="1"/>
  <c r="P6" i="1"/>
  <c r="P8" i="1" s="1"/>
  <c r="S6" i="1"/>
  <c r="S8" i="1" s="1"/>
  <c r="T6" i="1"/>
  <c r="T8" i="1" s="1"/>
  <c r="U6" i="1"/>
  <c r="U8" i="1" s="1"/>
  <c r="V6" i="1"/>
  <c r="V8" i="1" s="1"/>
  <c r="W6" i="1"/>
  <c r="W8" i="1" s="1"/>
  <c r="X6" i="1"/>
  <c r="X8" i="1" s="1"/>
  <c r="Z6" i="1"/>
  <c r="AC6" i="1"/>
  <c r="AC8" i="1" s="1"/>
  <c r="AD6" i="1"/>
  <c r="AE6" i="1"/>
  <c r="AE8" i="1" s="1"/>
  <c r="AF6" i="1"/>
  <c r="AF8" i="1" s="1"/>
  <c r="AG6" i="1"/>
  <c r="AG8" i="1" s="1"/>
  <c r="AH6" i="1"/>
  <c r="AI6" i="1"/>
  <c r="AI8" i="1" s="1"/>
  <c r="AL6" i="1"/>
  <c r="AM6" i="1"/>
  <c r="AM8" i="1" s="1"/>
  <c r="AN11" i="1"/>
  <c r="AN12" i="1"/>
  <c r="AN13" i="1"/>
  <c r="AN14" i="1"/>
  <c r="B8" i="1"/>
  <c r="AN10" i="1"/>
  <c r="AN7" i="1"/>
  <c r="AN5" i="1"/>
  <c r="AN8" i="1" s="1"/>
  <c r="AN4" i="1"/>
  <c r="AW23" i="2" l="1"/>
  <c r="AW31" i="2"/>
  <c r="AW36" i="2"/>
  <c r="AW33" i="2"/>
  <c r="AW22" i="2"/>
  <c r="AW18" i="2"/>
  <c r="AW28" i="2"/>
  <c r="AW24" i="2"/>
  <c r="AW37" i="2"/>
  <c r="AW25" i="2"/>
  <c r="AW29" i="2"/>
  <c r="AW40" i="2"/>
  <c r="AW20" i="2"/>
  <c r="AW38" i="2"/>
  <c r="AW27" i="2"/>
  <c r="AW19" i="2"/>
  <c r="AW21" i="2"/>
  <c r="AW34" i="2"/>
  <c r="AW35" i="2"/>
  <c r="AW39" i="2"/>
  <c r="AW41" i="2"/>
  <c r="AW26" i="2"/>
  <c r="AW30" i="2"/>
  <c r="H8" i="1"/>
  <c r="AW42" i="2" l="1"/>
</calcChain>
</file>

<file path=xl/sharedStrings.xml><?xml version="1.0" encoding="utf-8"?>
<sst xmlns="http://schemas.openxmlformats.org/spreadsheetml/2006/main" count="239" uniqueCount="96">
  <si>
    <t>JURICA</t>
  </si>
  <si>
    <t>MENCHACA</t>
  </si>
  <si>
    <t>SAN ANTONIO DE LA PUNTA</t>
  </si>
  <si>
    <t>SAN PABLO</t>
  </si>
  <si>
    <t>FELIPE CARRILLO PUERTO</t>
  </si>
  <si>
    <t>LOMA BONITA</t>
  </si>
  <si>
    <t>PEDRO ESCOBEDO</t>
  </si>
  <si>
    <t>JOFRITO</t>
  </si>
  <si>
    <t>MONTENEGRO</t>
  </si>
  <si>
    <t>PIE DE GALLO</t>
  </si>
  <si>
    <t>SAN JOSÉ BUENAVISTA</t>
  </si>
  <si>
    <t>SAN MIGUELITO</t>
  </si>
  <si>
    <t>SANTA MARÍA MAGTDALENA</t>
  </si>
  <si>
    <t>LA SOLANA</t>
  </si>
  <si>
    <t>TINAJA DE LA ESTANCIA</t>
  </si>
  <si>
    <t>TLACOTE EL BAJO</t>
  </si>
  <si>
    <t>LÁZARO CÁRDENAS</t>
  </si>
  <si>
    <t>SAN PEDRITO PEÑUELAS</t>
  </si>
  <si>
    <t>MENCHACA NORTE</t>
  </si>
  <si>
    <t>C. LA BARRETA</t>
  </si>
  <si>
    <t>C. CERRO DE LA CRUZ</t>
  </si>
  <si>
    <t>C. LA LUZ</t>
  </si>
  <si>
    <t>RANCHO LARGO</t>
  </si>
  <si>
    <t>LA GOTERA</t>
  </si>
  <si>
    <t>SAN JOSÉ EL ALTO</t>
  </si>
  <si>
    <t>C. SAN JOSÉ BUENAVISTA</t>
  </si>
  <si>
    <t>C. PEDRO ESCOBEDO</t>
  </si>
  <si>
    <t>PALO ALTO</t>
  </si>
  <si>
    <t>MF1</t>
  </si>
  <si>
    <t>AMB1</t>
  </si>
  <si>
    <t>SANTA ROSA</t>
  </si>
  <si>
    <t>SATÉLITE</t>
  </si>
  <si>
    <t>SAN PEDRO MARTIR</t>
  </si>
  <si>
    <t xml:space="preserve">LOMAS DE CASABLANCA  </t>
  </si>
  <si>
    <t>TOTAL</t>
  </si>
  <si>
    <t>1er entrega</t>
  </si>
  <si>
    <t>2da entrega</t>
  </si>
  <si>
    <t>3er entrega</t>
  </si>
  <si>
    <t>META</t>
  </si>
  <si>
    <t xml:space="preserve">PRESTAMOS </t>
  </si>
  <si>
    <t>TOTAL ENTREGADO</t>
  </si>
  <si>
    <t xml:space="preserve">F. Prestados </t>
  </si>
  <si>
    <t>H.G.</t>
  </si>
  <si>
    <t>Primer préstamo</t>
  </si>
  <si>
    <t xml:space="preserve">Hospital oncologico </t>
  </si>
  <si>
    <t>Brigada</t>
  </si>
  <si>
    <t>henm</t>
  </si>
  <si>
    <t>HENM</t>
  </si>
  <si>
    <t>4ta entrega</t>
  </si>
  <si>
    <t>HG</t>
  </si>
  <si>
    <t xml:space="preserve">SAN ANTONIO </t>
  </si>
  <si>
    <t>Loma Bonita</t>
  </si>
  <si>
    <t>San Pedrito Peñuelas</t>
  </si>
  <si>
    <t>San José El Alto</t>
  </si>
  <si>
    <t>santa rosa</t>
  </si>
  <si>
    <t>satelite</t>
  </si>
  <si>
    <t>lomas de casa blanca</t>
  </si>
  <si>
    <t xml:space="preserve">MONTENEGRO </t>
  </si>
  <si>
    <t xml:space="preserve">PIE DE GALLO </t>
  </si>
  <si>
    <t>SANTA MARÍA MAGDALENA</t>
  </si>
  <si>
    <t xml:space="preserve">LA SOLANA </t>
  </si>
  <si>
    <t xml:space="preserve">TLACOTE EL BAJO </t>
  </si>
  <si>
    <t>Lázaro Cardenas</t>
  </si>
  <si>
    <t>Menchaca Norte</t>
  </si>
  <si>
    <t>CENTRO DE SALUD</t>
  </si>
  <si>
    <t>FRASCOS</t>
  </si>
  <si>
    <t>NHGQ</t>
  </si>
  <si>
    <t>Entrega real</t>
  </si>
  <si>
    <t>5ta entrega</t>
  </si>
  <si>
    <t>UMME UMQ</t>
  </si>
  <si>
    <t>UMME LA BARRETA</t>
  </si>
  <si>
    <t>UMME CERRO DE LA CRUZ</t>
  </si>
  <si>
    <t>UMME LA LUZ</t>
  </si>
  <si>
    <t>UMME RANCHO LARGO</t>
  </si>
  <si>
    <t>FAM SAN JOSÉ BUENAVISTA</t>
  </si>
  <si>
    <t>FAM PEDRO ESCOBEDO</t>
  </si>
  <si>
    <t>FAM PALO ALTO</t>
  </si>
  <si>
    <t>UMME MF1</t>
  </si>
  <si>
    <t>UMME AMB2</t>
  </si>
  <si>
    <t>UMME SAN PEDRITO</t>
  </si>
  <si>
    <t>UMME
SAN PEDRITO</t>
  </si>
  <si>
    <t>UMME UMD</t>
  </si>
  <si>
    <t>UMME QUERETARO</t>
  </si>
  <si>
    <t>FAM SAN JOSE BUENAVISTA</t>
  </si>
  <si>
    <t>UMME MEDICO DENTAL</t>
  </si>
  <si>
    <t>SANTA ROSA JAUREGUI</t>
  </si>
  <si>
    <t xml:space="preserve">SATELITE </t>
  </si>
  <si>
    <t>UMME AMBULANCIA 3</t>
  </si>
  <si>
    <t>LOMAS DE CASA BLANCA</t>
  </si>
  <si>
    <t>ENTEGA</t>
  </si>
  <si>
    <t>Distribución</t>
  </si>
  <si>
    <t>Porcentaje</t>
  </si>
  <si>
    <t>Equivalencia</t>
  </si>
  <si>
    <t>Frascos</t>
  </si>
  <si>
    <t>HOSPITALES</t>
  </si>
  <si>
    <t>UMME AMB1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</si>
</sst>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Calibri"/>
      <family val="2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Arial Nova"/>
      <family val="2"/>
    </font>
    <font>
      <b/>
      <sz val="12"/>
      <color theme="1"/>
      <name val="Arial Nova"/>
      <family val="2"/>
    </font>
    <font>
      <sz val="12"/>
      <color theme="1"/>
      <name val="Arial Nova"/>
      <family val="2"/>
    </font>
    <font>
      <b/>
      <sz val="12"/>
      <name val="Arial Nova"/>
      <family val="2"/>
    </font>
    <font>
      <b/>
      <i/>
      <sz val="12"/>
      <color theme="1"/>
      <name val="Arial Nova"/>
      <family val="2"/>
    </font>
    <font>
      <sz val="11"/>
      <color theme="1"/>
      <name val="Calibri"/>
      <family val="2"/>
      <scheme val="minor"/>
    </font>
    <font>
      <b/>
      <sz val="11"/>
      <color theme="0"/>
      <name val="Arial Nova"/>
      <family val="2"/>
    </font>
    <font>
      <b/>
      <sz val="12"/>
      <color theme="0"/>
      <name val="Arial Nova"/>
      <family val="2"/>
    </font>
    <font>
      <b/>
      <sz val="11"/>
      <color theme="1"/>
      <name val="Arial Nova"/>
      <family val="2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rgb="FF000000"/>
      </patternFill>
    </fill>
    <fill>
      <patternFill patternType="solid">
        <fgColor rgb="FFFF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C3C3"/>
        <bgColor indexed="64"/>
      </patternFill>
    </fill>
    <fill>
      <patternFill patternType="solid">
        <fgColor rgb="FF90E7F8"/>
        <bgColor indexed="64"/>
      </patternFill>
    </fill>
    <fill>
      <patternFill patternType="solid">
        <fgColor rgb="FFFCF2F2"/>
        <bgColor indexed="64"/>
      </patternFill>
    </fill>
    <fill>
      <patternFill patternType="solid">
        <fgColor rgb="FF633E55"/>
        <bgColor indexed="64"/>
      </patternFill>
    </fill>
    <fill>
      <patternFill patternType="solid">
        <fgColor rgb="FF633E55"/>
        <bgColor rgb="FF000000"/>
      </patternFill>
    </fill>
    <fill>
      <patternFill patternType="solid">
        <fgColor rgb="FFB88EA8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11" fillId="0" borderId="0" applyFont="0" applyFill="0" applyBorder="0" applyAlignment="0" applyProtection="0"/>
  </cellStyleXfs>
  <cellXfs count="129">
    <xf numFmtId="0" fontId="0" fillId="0" borderId="0" xfId="0"/>
    <xf numFmtId="0" fontId="3" fillId="3" borderId="4" xfId="0" applyFont="1" applyFill="1" applyBorder="1"/>
    <xf numFmtId="0" fontId="3" fillId="3" borderId="5" xfId="0" applyFont="1" applyFill="1" applyBorder="1"/>
    <xf numFmtId="0" fontId="2" fillId="2" borderId="2" xfId="1" applyFont="1" applyFill="1" applyBorder="1" applyAlignment="1">
      <alignment horizontal="center" vertical="center" textRotation="90" wrapText="1"/>
    </xf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3" borderId="9" xfId="0" applyFont="1" applyFill="1" applyBorder="1"/>
    <xf numFmtId="0" fontId="0" fillId="4" borderId="1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4" fillId="5" borderId="0" xfId="0" applyFont="1" applyFill="1"/>
    <xf numFmtId="0" fontId="0" fillId="5" borderId="0" xfId="0" applyFill="1"/>
    <xf numFmtId="0" fontId="0" fillId="6" borderId="21" xfId="0" applyFill="1" applyBorder="1"/>
    <xf numFmtId="0" fontId="0" fillId="6" borderId="22" xfId="0" applyFill="1" applyBorder="1"/>
    <xf numFmtId="0" fontId="0" fillId="6" borderId="23" xfId="0" applyFill="1" applyBorder="1"/>
    <xf numFmtId="0" fontId="0" fillId="7" borderId="0" xfId="0" applyFill="1"/>
    <xf numFmtId="0" fontId="3" fillId="8" borderId="0" xfId="0" applyFont="1" applyFill="1" applyAlignment="1">
      <alignment vertical="center"/>
    </xf>
    <xf numFmtId="0" fontId="0" fillId="8" borderId="1" xfId="0" applyFill="1" applyBorder="1"/>
    <xf numFmtId="0" fontId="3" fillId="3" borderId="1" xfId="0" applyFont="1" applyFill="1" applyBorder="1"/>
    <xf numFmtId="0" fontId="0" fillId="9" borderId="22" xfId="0" applyFill="1" applyBorder="1"/>
    <xf numFmtId="0" fontId="0" fillId="3" borderId="18" xfId="0" applyFill="1" applyBorder="1"/>
    <xf numFmtId="0" fontId="0" fillId="3" borderId="19" xfId="0" applyFill="1" applyBorder="1"/>
    <xf numFmtId="0" fontId="3" fillId="3" borderId="26" xfId="0" applyFont="1" applyFill="1" applyBorder="1"/>
    <xf numFmtId="0" fontId="0" fillId="4" borderId="27" xfId="0" applyFill="1" applyBorder="1"/>
    <xf numFmtId="0" fontId="0" fillId="3" borderId="3" xfId="0" applyFill="1" applyBorder="1"/>
    <xf numFmtId="0" fontId="0" fillId="10" borderId="3" xfId="0" applyFill="1" applyBorder="1"/>
    <xf numFmtId="0" fontId="0" fillId="3" borderId="8" xfId="0" applyFill="1" applyBorder="1"/>
    <xf numFmtId="0" fontId="0" fillId="11" borderId="0" xfId="0" applyFill="1"/>
    <xf numFmtId="0" fontId="0" fillId="10" borderId="7" xfId="0" applyFill="1" applyBorder="1"/>
    <xf numFmtId="0" fontId="0" fillId="10" borderId="19" xfId="0" applyFill="1" applyBorder="1"/>
    <xf numFmtId="0" fontId="0" fillId="10" borderId="14" xfId="0" applyFill="1" applyBorder="1"/>
    <xf numFmtId="0" fontId="0" fillId="10" borderId="16" xfId="0" applyFill="1" applyBorder="1"/>
    <xf numFmtId="0" fontId="0" fillId="10" borderId="17" xfId="0" applyFill="1" applyBorder="1"/>
    <xf numFmtId="0" fontId="0" fillId="10" borderId="15" xfId="0" applyFill="1" applyBorder="1"/>
    <xf numFmtId="0" fontId="2" fillId="12" borderId="2" xfId="1" applyFont="1" applyFill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/>
    <xf numFmtId="0" fontId="5" fillId="13" borderId="3" xfId="0" applyFont="1" applyFill="1" applyBorder="1"/>
    <xf numFmtId="0" fontId="5" fillId="14" borderId="3" xfId="0" applyFont="1" applyFill="1" applyBorder="1"/>
    <xf numFmtId="0" fontId="6" fillId="0" borderId="0" xfId="0" applyFont="1"/>
    <xf numFmtId="0" fontId="7" fillId="3" borderId="4" xfId="0" applyFont="1" applyFill="1" applyBorder="1"/>
    <xf numFmtId="0" fontId="7" fillId="3" borderId="5" xfId="0" applyFont="1" applyFill="1" applyBorder="1"/>
    <xf numFmtId="0" fontId="7" fillId="3" borderId="26" xfId="0" applyFont="1" applyFill="1" applyBorder="1"/>
    <xf numFmtId="0" fontId="7" fillId="3" borderId="9" xfId="0" applyFont="1" applyFill="1" applyBorder="1"/>
    <xf numFmtId="0" fontId="7" fillId="3" borderId="1" xfId="0" applyFont="1" applyFill="1" applyBorder="1"/>
    <xf numFmtId="0" fontId="8" fillId="0" borderId="0" xfId="0" applyFont="1"/>
    <xf numFmtId="0" fontId="9" fillId="2" borderId="2" xfId="1" applyFont="1" applyFill="1" applyBorder="1" applyAlignment="1">
      <alignment horizontal="center" vertical="center" textRotation="90" wrapText="1"/>
    </xf>
    <xf numFmtId="0" fontId="10" fillId="15" borderId="7" xfId="0" applyFont="1" applyFill="1" applyBorder="1"/>
    <xf numFmtId="0" fontId="8" fillId="4" borderId="10" xfId="0" applyFont="1" applyFill="1" applyBorder="1"/>
    <xf numFmtId="0" fontId="10" fillId="15" borderId="3" xfId="0" applyFont="1" applyFill="1" applyBorder="1"/>
    <xf numFmtId="0" fontId="8" fillId="4" borderId="11" xfId="0" applyFont="1" applyFill="1" applyBorder="1"/>
    <xf numFmtId="0" fontId="8" fillId="4" borderId="12" xfId="0" applyFont="1" applyFill="1" applyBorder="1"/>
    <xf numFmtId="0" fontId="10" fillId="15" borderId="19" xfId="0" applyFont="1" applyFill="1" applyBorder="1"/>
    <xf numFmtId="0" fontId="8" fillId="4" borderId="27" xfId="0" applyFont="1" applyFill="1" applyBorder="1"/>
    <xf numFmtId="0" fontId="8" fillId="4" borderId="14" xfId="0" applyFont="1" applyFill="1" applyBorder="1"/>
    <xf numFmtId="0" fontId="10" fillId="4" borderId="14" xfId="0" applyFont="1" applyFill="1" applyBorder="1"/>
    <xf numFmtId="0" fontId="8" fillId="4" borderId="1" xfId="0" applyFont="1" applyFill="1" applyBorder="1"/>
    <xf numFmtId="0" fontId="10" fillId="0" borderId="0" xfId="0" applyFont="1"/>
    <xf numFmtId="0" fontId="8" fillId="0" borderId="28" xfId="0" applyFont="1" applyBorder="1"/>
    <xf numFmtId="0" fontId="7" fillId="16" borderId="7" xfId="0" applyFont="1" applyFill="1" applyBorder="1"/>
    <xf numFmtId="0" fontId="7" fillId="16" borderId="3" xfId="0" applyFont="1" applyFill="1" applyBorder="1"/>
    <xf numFmtId="0" fontId="7" fillId="16" borderId="19" xfId="0" applyFont="1" applyFill="1" applyBorder="1"/>
    <xf numFmtId="0" fontId="7" fillId="4" borderId="14" xfId="0" applyFont="1" applyFill="1" applyBorder="1"/>
    <xf numFmtId="0" fontId="8" fillId="4" borderId="25" xfId="0" applyFont="1" applyFill="1" applyBorder="1"/>
    <xf numFmtId="0" fontId="8" fillId="15" borderId="19" xfId="0" applyFont="1" applyFill="1" applyBorder="1"/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8" fillId="4" borderId="32" xfId="0" applyFont="1" applyFill="1" applyBorder="1"/>
    <xf numFmtId="0" fontId="8" fillId="4" borderId="33" xfId="0" applyFont="1" applyFill="1" applyBorder="1"/>
    <xf numFmtId="0" fontId="8" fillId="4" borderId="34" xfId="0" applyFont="1" applyFill="1" applyBorder="1"/>
    <xf numFmtId="0" fontId="7" fillId="15" borderId="4" xfId="0" applyFont="1" applyFill="1" applyBorder="1"/>
    <xf numFmtId="0" fontId="7" fillId="15" borderId="5" xfId="0" applyFont="1" applyFill="1" applyBorder="1"/>
    <xf numFmtId="0" fontId="7" fillId="15" borderId="26" xfId="0" applyFont="1" applyFill="1" applyBorder="1"/>
    <xf numFmtId="0" fontId="7" fillId="15" borderId="9" xfId="0" applyFont="1" applyFill="1" applyBorder="1"/>
    <xf numFmtId="0" fontId="7" fillId="15" borderId="1" xfId="0" applyFont="1" applyFill="1" applyBorder="1"/>
    <xf numFmtId="0" fontId="8" fillId="17" borderId="7" xfId="0" applyFont="1" applyFill="1" applyBorder="1"/>
    <xf numFmtId="0" fontId="8" fillId="17" borderId="3" xfId="0" applyFont="1" applyFill="1" applyBorder="1"/>
    <xf numFmtId="0" fontId="8" fillId="17" borderId="19" xfId="0" applyFont="1" applyFill="1" applyBorder="1"/>
    <xf numFmtId="0" fontId="8" fillId="15" borderId="32" xfId="0" applyFont="1" applyFill="1" applyBorder="1"/>
    <xf numFmtId="0" fontId="8" fillId="15" borderId="33" xfId="0" applyFont="1" applyFill="1" applyBorder="1"/>
    <xf numFmtId="0" fontId="8" fillId="15" borderId="34" xfId="0" applyFont="1" applyFill="1" applyBorder="1"/>
    <xf numFmtId="0" fontId="8" fillId="15" borderId="25" xfId="0" applyFont="1" applyFill="1" applyBorder="1"/>
    <xf numFmtId="0" fontId="12" fillId="18" borderId="1" xfId="0" applyFont="1" applyFill="1" applyBorder="1" applyAlignment="1">
      <alignment horizontal="center" vertical="center" textRotation="90"/>
    </xf>
    <xf numFmtId="0" fontId="12" fillId="18" borderId="0" xfId="0" applyFont="1" applyFill="1" applyAlignment="1">
      <alignment horizontal="center" vertical="center" textRotation="90"/>
    </xf>
    <xf numFmtId="0" fontId="13" fillId="18" borderId="1" xfId="0" applyFont="1" applyFill="1" applyBorder="1" applyAlignment="1">
      <alignment horizontal="center" vertical="center"/>
    </xf>
    <xf numFmtId="0" fontId="12" fillId="18" borderId="0" xfId="0" applyFont="1" applyFill="1"/>
    <xf numFmtId="0" fontId="7" fillId="3" borderId="1" xfId="0" applyFont="1" applyFill="1" applyBorder="1" applyAlignment="1">
      <alignment vertical="center"/>
    </xf>
    <xf numFmtId="10" fontId="6" fillId="17" borderId="22" xfId="2" applyNumberFormat="1" applyFont="1" applyFill="1" applyBorder="1"/>
    <xf numFmtId="0" fontId="6" fillId="17" borderId="22" xfId="0" applyFont="1" applyFill="1" applyBorder="1"/>
    <xf numFmtId="2" fontId="6" fillId="17" borderId="15" xfId="0" applyNumberFormat="1" applyFont="1" applyFill="1" applyBorder="1"/>
    <xf numFmtId="0" fontId="6" fillId="17" borderId="23" xfId="0" applyFont="1" applyFill="1" applyBorder="1"/>
    <xf numFmtId="0" fontId="14" fillId="17" borderId="22" xfId="0" applyFont="1" applyFill="1" applyBorder="1"/>
    <xf numFmtId="0" fontId="14" fillId="17" borderId="23" xfId="0" applyFont="1" applyFill="1" applyBorder="1"/>
    <xf numFmtId="0" fontId="13" fillId="19" borderId="2" xfId="1" applyFont="1" applyFill="1" applyBorder="1" applyAlignment="1">
      <alignment horizontal="center" vertical="center" textRotation="90" wrapText="1"/>
    </xf>
    <xf numFmtId="0" fontId="8" fillId="20" borderId="7" xfId="0" applyFont="1" applyFill="1" applyBorder="1"/>
    <xf numFmtId="0" fontId="8" fillId="20" borderId="3" xfId="0" applyFont="1" applyFill="1" applyBorder="1"/>
    <xf numFmtId="0" fontId="8" fillId="20" borderId="19" xfId="0" applyFont="1" applyFill="1" applyBorder="1"/>
    <xf numFmtId="0" fontId="10" fillId="20" borderId="7" xfId="0" applyFont="1" applyFill="1" applyBorder="1"/>
    <xf numFmtId="0" fontId="10" fillId="20" borderId="3" xfId="0" applyFont="1" applyFill="1" applyBorder="1"/>
    <xf numFmtId="0" fontId="8" fillId="20" borderId="6" xfId="0" applyFont="1" applyFill="1" applyBorder="1"/>
    <xf numFmtId="0" fontId="8" fillId="20" borderId="8" xfId="0" applyFont="1" applyFill="1" applyBorder="1"/>
    <xf numFmtId="0" fontId="8" fillId="20" borderId="18" xfId="0" applyFont="1" applyFill="1" applyBorder="1"/>
    <xf numFmtId="0" fontId="8" fillId="17" borderId="7" xfId="0" applyFont="1" applyFill="1" applyBorder="1" applyAlignment="1">
      <alignment horizontal="right"/>
    </xf>
    <xf numFmtId="0" fontId="13" fillId="19" borderId="1" xfId="1" applyFont="1" applyFill="1" applyBorder="1" applyAlignment="1">
      <alignment horizontal="center" vertical="center" textRotation="90" wrapText="1"/>
    </xf>
    <xf numFmtId="0" fontId="8" fillId="17" borderId="32" xfId="0" applyFont="1" applyFill="1" applyBorder="1"/>
    <xf numFmtId="0" fontId="8" fillId="17" borderId="33" xfId="0" applyFont="1" applyFill="1" applyBorder="1"/>
    <xf numFmtId="0" fontId="8" fillId="17" borderId="34" xfId="0" applyFont="1" applyFill="1" applyBorder="1"/>
    <xf numFmtId="0" fontId="8" fillId="17" borderId="25" xfId="0" applyFont="1" applyFill="1" applyBorder="1"/>
    <xf numFmtId="0" fontId="8" fillId="16" borderId="7" xfId="0" applyFont="1" applyFill="1" applyBorder="1"/>
    <xf numFmtId="0" fontId="8" fillId="16" borderId="3" xfId="0" applyFont="1" applyFill="1" applyBorder="1"/>
    <xf numFmtId="0" fontId="8" fillId="16" borderId="19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textRotation="90" wrapText="1"/>
    </xf>
    <xf numFmtId="0" fontId="0" fillId="0" borderId="3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6" xfId="0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</cellXfs>
  <cellStyles count="3">
    <cellStyle name="Normal" xfId="0" builtinId="0"/>
    <cellStyle name="Normal_PALOTEO" xfId="1" xr:uid="{8B388A19-48D6-44DD-99F4-467D2B26382D}"/>
    <cellStyle name="Porcentaje" xfId="2" builtinId="5"/>
  </cellStyles>
  <dxfs count="2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90E7F8"/>
      <color rgb="FFFCF2F2"/>
      <color rgb="FFB88EA8"/>
      <color rgb="FF633E55"/>
      <color rgb="FFABC5DD"/>
      <color rgb="FF335A7F"/>
      <color rgb="FFF3C3C3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6A381-98C3-4A4B-935B-170DFA32C011}">
  <sheetPr codeName="Hoja1">
    <pageSetUpPr fitToPage="1"/>
  </sheetPr>
  <dimension ref="A1:AO24"/>
  <sheetViews>
    <sheetView zoomScale="80" zoomScaleNormal="80" workbookViewId="0">
      <selection sqref="A1:XFD1048576"/>
    </sheetView>
  </sheetViews>
  <sheetFormatPr baseColWidth="10" defaultRowHeight="15" x14ac:dyDescent="0.25"/>
  <cols>
    <col min="1" max="1" width="20" customWidth="1"/>
    <col min="2" max="4" width="5.42578125" customWidth="1"/>
    <col min="5" max="5" width="5.5703125" customWidth="1"/>
    <col min="6" max="39" width="5.42578125" customWidth="1"/>
    <col min="40" max="40" width="6" bestFit="1" customWidth="1"/>
    <col min="41" max="41" width="31.42578125" customWidth="1"/>
  </cols>
  <sheetData>
    <row r="1" spans="1:41" ht="15.75" thickBot="1" x14ac:dyDescent="0.3"/>
    <row r="2" spans="1:41" ht="96" customHeight="1" thickBot="1" x14ac:dyDescent="0.3">
      <c r="B2" s="3" t="s">
        <v>49</v>
      </c>
      <c r="C2" s="3" t="s">
        <v>0</v>
      </c>
      <c r="D2" s="39" t="s">
        <v>1</v>
      </c>
      <c r="E2" s="3" t="s">
        <v>2</v>
      </c>
      <c r="F2" s="3" t="s">
        <v>3</v>
      </c>
      <c r="G2" s="3" t="s">
        <v>4</v>
      </c>
      <c r="H2" s="39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9" t="s">
        <v>16</v>
      </c>
      <c r="T2" s="39" t="s">
        <v>17</v>
      </c>
      <c r="U2" s="39" t="s">
        <v>18</v>
      </c>
      <c r="V2" s="3" t="s">
        <v>19</v>
      </c>
      <c r="W2" s="3" t="s">
        <v>20</v>
      </c>
      <c r="X2" s="3" t="s">
        <v>21</v>
      </c>
      <c r="Y2" s="3" t="s">
        <v>47</v>
      </c>
      <c r="Z2" s="3" t="s">
        <v>22</v>
      </c>
      <c r="AA2" s="3" t="s">
        <v>23</v>
      </c>
      <c r="AB2" s="39" t="s">
        <v>24</v>
      </c>
      <c r="AC2" s="3" t="s">
        <v>25</v>
      </c>
      <c r="AD2" s="3" t="s">
        <v>26</v>
      </c>
      <c r="AE2" s="3" t="s">
        <v>27</v>
      </c>
      <c r="AF2" s="3" t="s">
        <v>28</v>
      </c>
      <c r="AG2" s="3" t="s">
        <v>29</v>
      </c>
      <c r="AH2" s="3" t="s">
        <v>47</v>
      </c>
      <c r="AI2" s="3" t="s">
        <v>42</v>
      </c>
      <c r="AJ2" s="39" t="s">
        <v>30</v>
      </c>
      <c r="AK2" s="39" t="s">
        <v>31</v>
      </c>
      <c r="AL2" s="3" t="s">
        <v>32</v>
      </c>
      <c r="AM2" s="3" t="s">
        <v>33</v>
      </c>
      <c r="AN2" s="3" t="s">
        <v>34</v>
      </c>
    </row>
    <row r="3" spans="1:41" ht="15.75" x14ac:dyDescent="0.25">
      <c r="A3" s="1" t="s">
        <v>35</v>
      </c>
      <c r="B3" s="5"/>
      <c r="C3" s="33">
        <v>50</v>
      </c>
      <c r="D3" s="33">
        <v>40</v>
      </c>
      <c r="E3" s="33">
        <v>40</v>
      </c>
      <c r="F3" s="33">
        <v>40</v>
      </c>
      <c r="G3" s="6">
        <v>30</v>
      </c>
      <c r="H3" s="33">
        <v>30</v>
      </c>
      <c r="I3" s="6">
        <v>1922</v>
      </c>
      <c r="J3" s="33">
        <v>30</v>
      </c>
      <c r="K3" s="33">
        <v>30</v>
      </c>
      <c r="L3" s="33">
        <v>30</v>
      </c>
      <c r="M3" s="33">
        <v>50</v>
      </c>
      <c r="N3" s="33">
        <v>40</v>
      </c>
      <c r="O3" s="33">
        <v>60</v>
      </c>
      <c r="P3" s="33">
        <v>40</v>
      </c>
      <c r="Q3" s="33">
        <v>14</v>
      </c>
      <c r="R3" s="33">
        <v>60</v>
      </c>
      <c r="S3" s="33">
        <v>200</v>
      </c>
      <c r="T3" s="33">
        <v>200</v>
      </c>
      <c r="U3" s="33">
        <v>70</v>
      </c>
      <c r="V3" s="6"/>
      <c r="W3" s="6"/>
      <c r="X3" s="6"/>
      <c r="Y3" s="6"/>
      <c r="Z3" s="6"/>
      <c r="AA3" s="33">
        <v>50</v>
      </c>
      <c r="AB3" s="33">
        <v>150</v>
      </c>
      <c r="AC3" s="6"/>
      <c r="AD3" s="6"/>
      <c r="AE3" s="6"/>
      <c r="AF3" s="6"/>
      <c r="AG3" s="6"/>
      <c r="AH3" s="6"/>
      <c r="AI3" s="6"/>
      <c r="AJ3" s="33">
        <v>100</v>
      </c>
      <c r="AK3" s="33">
        <v>270</v>
      </c>
      <c r="AL3" s="33">
        <v>50</v>
      </c>
      <c r="AM3" s="36">
        <v>200</v>
      </c>
      <c r="AN3" s="10">
        <f>SUM(B3:AM3)</f>
        <v>3796</v>
      </c>
      <c r="AO3">
        <v>2374</v>
      </c>
    </row>
    <row r="4" spans="1:41" ht="15.75" x14ac:dyDescent="0.25">
      <c r="A4" s="2" t="s">
        <v>36</v>
      </c>
      <c r="B4" s="7"/>
      <c r="C4" s="30">
        <v>40</v>
      </c>
      <c r="D4" s="30">
        <v>40</v>
      </c>
      <c r="E4" s="30">
        <v>40</v>
      </c>
      <c r="F4" s="30">
        <v>50</v>
      </c>
      <c r="G4" s="4">
        <v>60</v>
      </c>
      <c r="H4" s="30">
        <v>45</v>
      </c>
      <c r="I4" s="4">
        <v>1239</v>
      </c>
      <c r="J4" s="30">
        <v>15</v>
      </c>
      <c r="K4" s="30">
        <v>20</v>
      </c>
      <c r="L4" s="30">
        <v>40</v>
      </c>
      <c r="M4" s="30">
        <v>30</v>
      </c>
      <c r="N4" s="30">
        <v>40</v>
      </c>
      <c r="O4" s="30">
        <v>40</v>
      </c>
      <c r="P4" s="30">
        <v>40</v>
      </c>
      <c r="Q4" s="30">
        <v>10</v>
      </c>
      <c r="R4" s="30">
        <v>40</v>
      </c>
      <c r="S4" s="30">
        <v>76</v>
      </c>
      <c r="T4" s="30">
        <v>201</v>
      </c>
      <c r="U4" s="30">
        <v>50</v>
      </c>
      <c r="V4" s="4"/>
      <c r="W4" s="4"/>
      <c r="X4" s="4"/>
      <c r="Y4" s="4"/>
      <c r="Z4" s="4"/>
      <c r="AA4" s="30">
        <v>40</v>
      </c>
      <c r="AB4" s="30">
        <v>180</v>
      </c>
      <c r="AC4" s="4"/>
      <c r="AD4" s="4"/>
      <c r="AE4" s="4"/>
      <c r="AF4" s="4"/>
      <c r="AG4" s="4"/>
      <c r="AH4" s="4"/>
      <c r="AI4" s="4"/>
      <c r="AJ4" s="30">
        <v>150</v>
      </c>
      <c r="AK4" s="30">
        <v>250</v>
      </c>
      <c r="AL4" s="30">
        <v>100</v>
      </c>
      <c r="AM4" s="37">
        <v>150</v>
      </c>
      <c r="AN4" s="11">
        <f>SUM(B4:AM4)</f>
        <v>2986</v>
      </c>
      <c r="AO4">
        <v>2986</v>
      </c>
    </row>
    <row r="5" spans="1:41" ht="16.5" thickBot="1" x14ac:dyDescent="0.3">
      <c r="A5" s="2" t="s">
        <v>37</v>
      </c>
      <c r="B5" s="31"/>
      <c r="C5" s="30">
        <v>47</v>
      </c>
      <c r="D5" s="30">
        <v>38</v>
      </c>
      <c r="E5" s="30">
        <v>45</v>
      </c>
      <c r="F5" s="30">
        <v>100</v>
      </c>
      <c r="G5" s="29">
        <v>119</v>
      </c>
      <c r="H5" s="30"/>
      <c r="I5" s="29">
        <v>1123</v>
      </c>
      <c r="J5" s="30">
        <v>25</v>
      </c>
      <c r="K5" s="30">
        <v>50</v>
      </c>
      <c r="L5" s="30">
        <v>49</v>
      </c>
      <c r="M5" s="30">
        <v>13</v>
      </c>
      <c r="N5" s="30">
        <v>28</v>
      </c>
      <c r="O5" s="30">
        <v>15</v>
      </c>
      <c r="P5" s="30">
        <v>21</v>
      </c>
      <c r="Q5" s="30">
        <v>11</v>
      </c>
      <c r="R5" s="30">
        <v>9</v>
      </c>
      <c r="S5" s="30">
        <v>1</v>
      </c>
      <c r="T5" s="30">
        <v>1</v>
      </c>
      <c r="U5" s="30">
        <v>40</v>
      </c>
      <c r="V5" s="29"/>
      <c r="W5" s="29"/>
      <c r="X5" s="29"/>
      <c r="Y5" s="29"/>
      <c r="Z5" s="29"/>
      <c r="AA5" s="30">
        <v>30</v>
      </c>
      <c r="AB5" s="30">
        <v>7</v>
      </c>
      <c r="AC5" s="29"/>
      <c r="AD5" s="29"/>
      <c r="AE5" s="29"/>
      <c r="AF5" s="29"/>
      <c r="AG5" s="29"/>
      <c r="AH5" s="29"/>
      <c r="AI5" s="29"/>
      <c r="AJ5" s="30">
        <v>32</v>
      </c>
      <c r="AK5" s="30">
        <v>76</v>
      </c>
      <c r="AL5" s="30">
        <v>63</v>
      </c>
      <c r="AM5" s="37">
        <v>2</v>
      </c>
      <c r="AN5" s="12">
        <f>SUM(B5:AM5)</f>
        <v>1945</v>
      </c>
      <c r="AO5">
        <v>1945</v>
      </c>
    </row>
    <row r="6" spans="1:41" ht="16.5" thickBot="1" x14ac:dyDescent="0.3">
      <c r="A6" s="27" t="s">
        <v>48</v>
      </c>
      <c r="B6" s="25"/>
      <c r="C6" s="34">
        <v>1</v>
      </c>
      <c r="D6" s="34">
        <f t="shared" ref="D6:AM6" si="0">((D7-(SUM(D3:D5))))</f>
        <v>0</v>
      </c>
      <c r="E6" s="34">
        <f t="shared" si="0"/>
        <v>0</v>
      </c>
      <c r="F6" s="34">
        <f t="shared" si="0"/>
        <v>19</v>
      </c>
      <c r="G6" s="26">
        <f t="shared" si="0"/>
        <v>0</v>
      </c>
      <c r="H6" s="34">
        <f t="shared" si="0"/>
        <v>0</v>
      </c>
      <c r="I6" s="26">
        <v>1017</v>
      </c>
      <c r="J6" s="34">
        <f t="shared" si="0"/>
        <v>8</v>
      </c>
      <c r="K6" s="34">
        <f t="shared" si="0"/>
        <v>11</v>
      </c>
      <c r="L6" s="34">
        <f t="shared" si="0"/>
        <v>1</v>
      </c>
      <c r="M6" s="34">
        <f t="shared" si="0"/>
        <v>0</v>
      </c>
      <c r="N6" s="34">
        <f t="shared" si="0"/>
        <v>1</v>
      </c>
      <c r="O6" s="34">
        <f t="shared" si="0"/>
        <v>0</v>
      </c>
      <c r="P6" s="34">
        <f t="shared" si="0"/>
        <v>0</v>
      </c>
      <c r="Q6" s="34">
        <f t="shared" si="0"/>
        <v>1</v>
      </c>
      <c r="R6" s="34">
        <f t="shared" si="0"/>
        <v>1</v>
      </c>
      <c r="S6" s="34">
        <f t="shared" si="0"/>
        <v>0</v>
      </c>
      <c r="T6" s="34">
        <f t="shared" si="0"/>
        <v>0</v>
      </c>
      <c r="U6" s="34">
        <f t="shared" si="0"/>
        <v>42</v>
      </c>
      <c r="V6" s="26">
        <f t="shared" si="0"/>
        <v>0</v>
      </c>
      <c r="W6" s="26">
        <f t="shared" si="0"/>
        <v>0</v>
      </c>
      <c r="X6" s="26">
        <f t="shared" si="0"/>
        <v>0</v>
      </c>
      <c r="Y6" s="26">
        <v>0</v>
      </c>
      <c r="Z6" s="26">
        <f t="shared" si="0"/>
        <v>0</v>
      </c>
      <c r="AA6" s="34">
        <f t="shared" si="0"/>
        <v>10</v>
      </c>
      <c r="AB6" s="34">
        <f t="shared" si="0"/>
        <v>1</v>
      </c>
      <c r="AC6" s="26">
        <f t="shared" si="0"/>
        <v>0</v>
      </c>
      <c r="AD6" s="26">
        <f t="shared" si="0"/>
        <v>0</v>
      </c>
      <c r="AE6" s="26">
        <f t="shared" si="0"/>
        <v>0</v>
      </c>
      <c r="AF6" s="26">
        <f t="shared" si="0"/>
        <v>0</v>
      </c>
      <c r="AG6" s="26">
        <f t="shared" si="0"/>
        <v>0</v>
      </c>
      <c r="AH6" s="26">
        <f t="shared" si="0"/>
        <v>0</v>
      </c>
      <c r="AI6" s="26">
        <f t="shared" si="0"/>
        <v>0</v>
      </c>
      <c r="AJ6" s="34">
        <f t="shared" si="0"/>
        <v>0</v>
      </c>
      <c r="AK6" s="34">
        <f t="shared" si="0"/>
        <v>1</v>
      </c>
      <c r="AL6" s="34">
        <f t="shared" si="0"/>
        <v>0</v>
      </c>
      <c r="AM6" s="34">
        <f t="shared" si="0"/>
        <v>0</v>
      </c>
      <c r="AN6" s="28">
        <f>SUM(B6:AM6)</f>
        <v>1114</v>
      </c>
      <c r="AO6">
        <v>1255</v>
      </c>
    </row>
    <row r="7" spans="1:41" ht="16.5" thickBot="1" x14ac:dyDescent="0.3">
      <c r="A7" s="8" t="s">
        <v>38</v>
      </c>
      <c r="B7" s="13">
        <v>120</v>
      </c>
      <c r="C7" s="35">
        <v>138</v>
      </c>
      <c r="D7" s="35">
        <v>118</v>
      </c>
      <c r="E7" s="35">
        <v>125</v>
      </c>
      <c r="F7" s="35">
        <v>209</v>
      </c>
      <c r="G7" s="14">
        <v>209</v>
      </c>
      <c r="H7" s="35">
        <v>75</v>
      </c>
      <c r="I7" s="14">
        <v>5307</v>
      </c>
      <c r="J7" s="35">
        <v>78</v>
      </c>
      <c r="K7" s="35">
        <v>111</v>
      </c>
      <c r="L7" s="35">
        <v>120</v>
      </c>
      <c r="M7" s="35">
        <v>93</v>
      </c>
      <c r="N7" s="35">
        <v>109</v>
      </c>
      <c r="O7" s="35">
        <v>115</v>
      </c>
      <c r="P7" s="35">
        <v>101</v>
      </c>
      <c r="Q7" s="35">
        <v>36</v>
      </c>
      <c r="R7" s="35">
        <v>110</v>
      </c>
      <c r="S7" s="35">
        <v>277</v>
      </c>
      <c r="T7" s="35">
        <v>402</v>
      </c>
      <c r="U7" s="35">
        <v>202</v>
      </c>
      <c r="V7" s="14"/>
      <c r="W7" s="14"/>
      <c r="X7" s="14"/>
      <c r="Y7" s="14">
        <v>100</v>
      </c>
      <c r="Z7" s="14"/>
      <c r="AA7" s="35">
        <v>130</v>
      </c>
      <c r="AB7" s="35">
        <v>338</v>
      </c>
      <c r="AC7" s="14"/>
      <c r="AD7" s="14"/>
      <c r="AE7" s="14"/>
      <c r="AF7" s="14"/>
      <c r="AG7" s="14"/>
      <c r="AH7" s="14"/>
      <c r="AI7" s="14"/>
      <c r="AJ7" s="35">
        <v>282</v>
      </c>
      <c r="AK7" s="35">
        <v>597</v>
      </c>
      <c r="AL7" s="35">
        <v>213</v>
      </c>
      <c r="AM7" s="38">
        <v>352</v>
      </c>
      <c r="AN7" s="9">
        <f>SUM(B7:AM7)</f>
        <v>10067</v>
      </c>
    </row>
    <row r="8" spans="1:41" ht="16.5" thickBot="1" x14ac:dyDescent="0.3">
      <c r="A8" s="23" t="s">
        <v>40</v>
      </c>
      <c r="B8" t="str">
        <f>IF(SUM(B3:B5)=0,"-",SUM(B3:B5))</f>
        <v>-</v>
      </c>
      <c r="C8" s="32">
        <f>IF(SUM(C3:C6)=0,"-",SUM(C3:C6))</f>
        <v>138</v>
      </c>
      <c r="D8">
        <f t="shared" ref="D8:AM8" si="1">IF(SUM(D3:D6)=0,"-",SUM(D3:D6))</f>
        <v>118</v>
      </c>
      <c r="E8">
        <f t="shared" si="1"/>
        <v>125</v>
      </c>
      <c r="F8">
        <f t="shared" si="1"/>
        <v>209</v>
      </c>
      <c r="G8" s="32">
        <f t="shared" si="1"/>
        <v>209</v>
      </c>
      <c r="H8" s="32">
        <f t="shared" si="1"/>
        <v>75</v>
      </c>
      <c r="I8">
        <f>IF(SUM(I3:I6)=0,"-",SUM(I3:I6))</f>
        <v>5301</v>
      </c>
      <c r="J8">
        <f t="shared" si="1"/>
        <v>78</v>
      </c>
      <c r="K8">
        <f t="shared" si="1"/>
        <v>111</v>
      </c>
      <c r="L8" s="32">
        <f t="shared" si="1"/>
        <v>120</v>
      </c>
      <c r="M8" s="32">
        <f t="shared" si="1"/>
        <v>93</v>
      </c>
      <c r="N8" s="32">
        <f t="shared" si="1"/>
        <v>109</v>
      </c>
      <c r="O8" s="32">
        <f t="shared" si="1"/>
        <v>115</v>
      </c>
      <c r="P8" s="32">
        <f t="shared" si="1"/>
        <v>101</v>
      </c>
      <c r="Q8" s="32">
        <f t="shared" si="1"/>
        <v>36</v>
      </c>
      <c r="R8" s="32">
        <f t="shared" si="1"/>
        <v>110</v>
      </c>
      <c r="S8" s="32">
        <f t="shared" si="1"/>
        <v>277</v>
      </c>
      <c r="T8" s="32">
        <f t="shared" si="1"/>
        <v>402</v>
      </c>
      <c r="U8">
        <f t="shared" si="1"/>
        <v>202</v>
      </c>
      <c r="V8" t="str">
        <f t="shared" si="1"/>
        <v>-</v>
      </c>
      <c r="W8" t="str">
        <f t="shared" si="1"/>
        <v>-</v>
      </c>
      <c r="X8" t="str">
        <f t="shared" si="1"/>
        <v>-</v>
      </c>
      <c r="Y8" t="str">
        <f t="shared" si="1"/>
        <v>-</v>
      </c>
      <c r="Z8" t="str">
        <f t="shared" si="1"/>
        <v>-</v>
      </c>
      <c r="AA8">
        <f t="shared" si="1"/>
        <v>130</v>
      </c>
      <c r="AB8" s="32">
        <f t="shared" si="1"/>
        <v>338</v>
      </c>
      <c r="AC8" t="str">
        <f t="shared" si="1"/>
        <v>-</v>
      </c>
      <c r="AD8" t="str">
        <f t="shared" si="1"/>
        <v>-</v>
      </c>
      <c r="AE8" t="str">
        <f t="shared" si="1"/>
        <v>-</v>
      </c>
      <c r="AF8" t="str">
        <f t="shared" si="1"/>
        <v>-</v>
      </c>
      <c r="AG8" t="str">
        <f t="shared" si="1"/>
        <v>-</v>
      </c>
      <c r="AH8" t="str">
        <f t="shared" si="1"/>
        <v>-</v>
      </c>
      <c r="AI8" t="str">
        <f t="shared" si="1"/>
        <v>-</v>
      </c>
      <c r="AJ8" s="32">
        <f t="shared" si="1"/>
        <v>282</v>
      </c>
      <c r="AK8" s="32">
        <f t="shared" si="1"/>
        <v>597</v>
      </c>
      <c r="AL8" s="32">
        <f t="shared" si="1"/>
        <v>213</v>
      </c>
      <c r="AM8" s="32">
        <f t="shared" si="1"/>
        <v>352</v>
      </c>
      <c r="AN8">
        <f>IF(SUM(AN3:AN5)=0,"-",SUM(AN3:AN5))</f>
        <v>8727</v>
      </c>
    </row>
    <row r="9" spans="1:41" ht="16.5" customHeight="1" thickBot="1" x14ac:dyDescent="0.3"/>
    <row r="10" spans="1:41" ht="16.5" customHeight="1" thickBot="1" x14ac:dyDescent="0.3">
      <c r="A10" s="117" t="s">
        <v>41</v>
      </c>
      <c r="B10" s="17"/>
      <c r="C10" s="18"/>
      <c r="D10" s="18">
        <v>2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24">
        <v>60</v>
      </c>
      <c r="T10" s="18"/>
      <c r="U10" s="24">
        <v>40</v>
      </c>
      <c r="V10" s="18"/>
      <c r="W10" s="18"/>
      <c r="X10" s="18"/>
      <c r="Y10" s="18"/>
      <c r="Z10" s="18"/>
      <c r="AA10" s="18"/>
      <c r="AB10" s="24">
        <v>50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9">
        <f>SUM(B10:AM10)</f>
        <v>152</v>
      </c>
      <c r="AO10" s="22" t="s">
        <v>45</v>
      </c>
    </row>
    <row r="11" spans="1:41" ht="16.5" customHeight="1" thickBot="1" x14ac:dyDescent="0.3">
      <c r="A11" s="118"/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>
        <v>10</v>
      </c>
      <c r="M11" s="18"/>
      <c r="N11" s="18"/>
      <c r="O11" s="18">
        <v>10</v>
      </c>
      <c r="P11" s="18">
        <v>20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>
        <v>14</v>
      </c>
      <c r="AM11" s="18"/>
      <c r="AN11" s="19">
        <f>SUM(B11:AM11)</f>
        <v>54</v>
      </c>
      <c r="AO11" s="22" t="s">
        <v>44</v>
      </c>
    </row>
    <row r="12" spans="1:41" ht="16.5" customHeight="1" thickBot="1" x14ac:dyDescent="0.3">
      <c r="A12" s="118"/>
      <c r="B12" s="17"/>
      <c r="C12" s="18"/>
      <c r="D12" s="18">
        <v>7</v>
      </c>
      <c r="E12" s="18"/>
      <c r="F12" s="18"/>
      <c r="G12" s="18"/>
      <c r="H12" s="18"/>
      <c r="I12" s="18"/>
      <c r="J12" s="18">
        <v>10</v>
      </c>
      <c r="K12" s="18"/>
      <c r="L12" s="18"/>
      <c r="M12" s="18"/>
      <c r="N12" s="18">
        <v>20</v>
      </c>
      <c r="O12" s="18">
        <v>22</v>
      </c>
      <c r="P12" s="18">
        <v>10</v>
      </c>
      <c r="Q12" s="18"/>
      <c r="R12" s="18">
        <v>20</v>
      </c>
      <c r="S12" s="18"/>
      <c r="T12" s="18"/>
      <c r="U12" s="18"/>
      <c r="V12" s="18"/>
      <c r="W12" s="18"/>
      <c r="X12" s="18"/>
      <c r="Y12" s="18"/>
      <c r="Z12" s="18"/>
      <c r="AA12" s="18">
        <v>11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9">
        <f>SUM(B12:AM12)</f>
        <v>100</v>
      </c>
    </row>
    <row r="13" spans="1:41" ht="16.5" customHeight="1" thickBot="1" x14ac:dyDescent="0.3">
      <c r="A13" s="118"/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9">
        <f>SUM(B13:AM13)</f>
        <v>0</v>
      </c>
    </row>
    <row r="14" spans="1:41" ht="16.5" customHeight="1" thickBot="1" x14ac:dyDescent="0.3">
      <c r="A14" s="119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9">
        <f>SUM(B14:AM14)</f>
        <v>0</v>
      </c>
    </row>
    <row r="15" spans="1:41" ht="16.5" customHeight="1" thickBot="1" x14ac:dyDescent="0.3">
      <c r="A15" s="21" t="s">
        <v>43</v>
      </c>
      <c r="C15">
        <v>30</v>
      </c>
      <c r="F15">
        <v>50</v>
      </c>
      <c r="I15" s="16">
        <v>165</v>
      </c>
      <c r="M15" s="20"/>
      <c r="S15" s="20"/>
      <c r="T15" s="20"/>
      <c r="AB15" s="20"/>
      <c r="AI15">
        <v>85</v>
      </c>
      <c r="AM15" s="20">
        <v>50</v>
      </c>
    </row>
    <row r="16" spans="1:41" x14ac:dyDescent="0.25">
      <c r="A16" s="15" t="s">
        <v>39</v>
      </c>
      <c r="B16" s="126"/>
      <c r="C16" s="120"/>
      <c r="D16" s="120"/>
      <c r="E16" s="120"/>
      <c r="F16" s="120" t="s">
        <v>46</v>
      </c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3"/>
    </row>
    <row r="17" spans="2:39" x14ac:dyDescent="0.25">
      <c r="B17" s="127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4"/>
    </row>
    <row r="18" spans="2:39" x14ac:dyDescent="0.25">
      <c r="B18" s="127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4"/>
    </row>
    <row r="19" spans="2:39" x14ac:dyDescent="0.25">
      <c r="B19" s="127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4"/>
    </row>
    <row r="20" spans="2:39" x14ac:dyDescent="0.25">
      <c r="B20" s="127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4"/>
    </row>
    <row r="21" spans="2:39" x14ac:dyDescent="0.25">
      <c r="B21" s="127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4"/>
    </row>
    <row r="22" spans="2:39" ht="15.75" thickBot="1" x14ac:dyDescent="0.3">
      <c r="B22" s="128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5"/>
    </row>
    <row r="24" spans="2:39" x14ac:dyDescent="0.25">
      <c r="D24">
        <v>20</v>
      </c>
      <c r="F24">
        <v>150</v>
      </c>
      <c r="H24">
        <v>15</v>
      </c>
      <c r="I24">
        <v>500</v>
      </c>
      <c r="S24">
        <v>100</v>
      </c>
      <c r="T24">
        <v>100</v>
      </c>
      <c r="U24">
        <v>35</v>
      </c>
      <c r="AB24">
        <v>75</v>
      </c>
      <c r="AJ24">
        <v>50</v>
      </c>
      <c r="AK24">
        <v>100</v>
      </c>
      <c r="AL24">
        <f>SUM(B24:AK24)</f>
        <v>1145</v>
      </c>
    </row>
  </sheetData>
  <mergeCells count="39">
    <mergeCell ref="L16:L22"/>
    <mergeCell ref="M16:M22"/>
    <mergeCell ref="N16:N22"/>
    <mergeCell ref="G16:G22"/>
    <mergeCell ref="H16:H22"/>
    <mergeCell ref="I16:I22"/>
    <mergeCell ref="J16:J22"/>
    <mergeCell ref="K16:K22"/>
    <mergeCell ref="B16:B22"/>
    <mergeCell ref="C16:C22"/>
    <mergeCell ref="D16:D22"/>
    <mergeCell ref="E16:E22"/>
    <mergeCell ref="F16:F22"/>
    <mergeCell ref="Y16:Y22"/>
    <mergeCell ref="Z16:Z22"/>
    <mergeCell ref="AA16:AA22"/>
    <mergeCell ref="P16:P22"/>
    <mergeCell ref="AB16:AB22"/>
    <mergeCell ref="T16:T22"/>
    <mergeCell ref="U16:U22"/>
    <mergeCell ref="V16:V22"/>
    <mergeCell ref="W16:W22"/>
    <mergeCell ref="X16:X22"/>
    <mergeCell ref="A10:A14"/>
    <mergeCell ref="AJ16:AJ22"/>
    <mergeCell ref="AK16:AK22"/>
    <mergeCell ref="AL16:AL22"/>
    <mergeCell ref="AM16:AM22"/>
    <mergeCell ref="AD16:AD22"/>
    <mergeCell ref="AE16:AE22"/>
    <mergeCell ref="AF16:AF22"/>
    <mergeCell ref="AG16:AG22"/>
    <mergeCell ref="AH16:AH22"/>
    <mergeCell ref="AI16:AI22"/>
    <mergeCell ref="O16:O22"/>
    <mergeCell ref="AC16:AC22"/>
    <mergeCell ref="Q16:Q22"/>
    <mergeCell ref="R16:R22"/>
    <mergeCell ref="S16:S22"/>
  </mergeCells>
  <conditionalFormatting sqref="D8:D9">
    <cfRule type="cellIs" dxfId="21" priority="11" operator="equal">
      <formula>$D$7</formula>
    </cfRule>
    <cfRule type="cellIs" dxfId="20" priority="12" operator="greaterThan">
      <formula>$D$7</formula>
    </cfRule>
  </conditionalFormatting>
  <conditionalFormatting sqref="E8:E9">
    <cfRule type="cellIs" dxfId="19" priority="3" operator="greaterThan">
      <formula>$E$7</formula>
    </cfRule>
    <cfRule type="cellIs" dxfId="18" priority="4" operator="equal">
      <formula>$E$7</formula>
    </cfRule>
  </conditionalFormatting>
  <conditionalFormatting sqref="F8:F9">
    <cfRule type="cellIs" dxfId="17" priority="1" operator="equal">
      <formula>$F$7</formula>
    </cfRule>
    <cfRule type="cellIs" dxfId="16" priority="2" operator="greaterThan">
      <formula>$F$7</formula>
    </cfRule>
  </conditionalFormatting>
  <printOptions horizontalCentered="1" verticalCentered="1"/>
  <pageMargins left="0.11811023622047245" right="0.11811023622047245" top="0.74803149606299213" bottom="0.74803149606299213" header="0.31496062992125984" footer="0.31496062992125984"/>
  <pageSetup scale="51" orientation="landscape" horizontalDpi="1200" verticalDpi="1200" r:id="rId1"/>
  <ignoredErrors>
    <ignoredError sqref="AN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B5E70-CB88-41D4-B913-B47FAC916BAD}">
  <sheetPr codeName="Hoja2">
    <pageSetUpPr fitToPage="1"/>
  </sheetPr>
  <dimension ref="A1:AW56"/>
  <sheetViews>
    <sheetView tabSelected="1" topLeftCell="O1" zoomScale="90" zoomScaleNormal="90" zoomScaleSheetLayoutView="100" workbookViewId="0">
      <selection activeCell="A2" sqref="A2:AP10"/>
    </sheetView>
  </sheetViews>
  <sheetFormatPr baseColWidth="10" defaultRowHeight="15" x14ac:dyDescent="0.25"/>
  <cols>
    <col min="1" max="1" width="23.85546875" bestFit="1" customWidth="1"/>
    <col min="2" max="4" width="7.140625" bestFit="1" customWidth="1"/>
    <col min="5" max="5" width="7.7109375" bestFit="1" customWidth="1"/>
    <col min="6" max="6" width="7.140625" bestFit="1" customWidth="1"/>
    <col min="7" max="7" width="10.7109375" bestFit="1" customWidth="1"/>
    <col min="8" max="8" width="7.140625" bestFit="1" customWidth="1"/>
    <col min="9" max="9" width="9.42578125" bestFit="1" customWidth="1"/>
    <col min="10" max="12" width="7.140625" bestFit="1" customWidth="1"/>
    <col min="13" max="15" width="7.7109375" bestFit="1" customWidth="1"/>
    <col min="16" max="16" width="7.140625" bestFit="1" customWidth="1"/>
    <col min="17" max="23" width="7.7109375" bestFit="1" customWidth="1"/>
    <col min="24" max="24" width="7.140625" bestFit="1" customWidth="1"/>
    <col min="25" max="25" width="7.7109375" bestFit="1" customWidth="1"/>
    <col min="26" max="26" width="10.7109375" bestFit="1" customWidth="1"/>
    <col min="27" max="27" width="7.140625" bestFit="1" customWidth="1"/>
    <col min="28" max="31" width="7.7109375" bestFit="1" customWidth="1"/>
    <col min="32" max="33" width="7.140625" bestFit="1" customWidth="1"/>
    <col min="34" max="34" width="4.140625" hidden="1" customWidth="1"/>
    <col min="35" max="36" width="7.140625" bestFit="1" customWidth="1"/>
    <col min="37" max="38" width="7.7109375" bestFit="1" customWidth="1"/>
    <col min="39" max="39" width="7.140625" bestFit="1" customWidth="1"/>
    <col min="40" max="40" width="7" bestFit="1" customWidth="1"/>
    <col min="41" max="41" width="5.7109375" hidden="1" customWidth="1"/>
    <col min="42" max="42" width="10.28515625" bestFit="1" customWidth="1"/>
    <col min="43" max="43" width="10.28515625" customWidth="1"/>
    <col min="47" max="47" width="33.7109375" bestFit="1" customWidth="1"/>
    <col min="49" max="49" width="14.7109375" bestFit="1" customWidth="1"/>
  </cols>
  <sheetData>
    <row r="1" spans="1:45" ht="16.5" thickBot="1" x14ac:dyDescent="0.3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</row>
    <row r="2" spans="1:45" ht="96" customHeight="1" thickBot="1" x14ac:dyDescent="0.3">
      <c r="A2" s="50"/>
      <c r="B2" s="99" t="s">
        <v>69</v>
      </c>
      <c r="C2" s="99" t="s">
        <v>0</v>
      </c>
      <c r="D2" s="99" t="s">
        <v>1</v>
      </c>
      <c r="E2" s="99" t="s">
        <v>2</v>
      </c>
      <c r="F2" s="99" t="s">
        <v>3</v>
      </c>
      <c r="G2" s="99" t="s">
        <v>4</v>
      </c>
      <c r="H2" s="99" t="s">
        <v>5</v>
      </c>
      <c r="I2" s="99" t="s">
        <v>6</v>
      </c>
      <c r="J2" s="99" t="s">
        <v>7</v>
      </c>
      <c r="K2" s="99" t="s">
        <v>8</v>
      </c>
      <c r="L2" s="99" t="s">
        <v>9</v>
      </c>
      <c r="M2" s="99" t="s">
        <v>10</v>
      </c>
      <c r="N2" s="99" t="s">
        <v>11</v>
      </c>
      <c r="O2" s="99" t="s">
        <v>12</v>
      </c>
      <c r="P2" s="99" t="s">
        <v>13</v>
      </c>
      <c r="Q2" s="99" t="s">
        <v>14</v>
      </c>
      <c r="R2" s="99" t="s">
        <v>15</v>
      </c>
      <c r="S2" s="99" t="s">
        <v>16</v>
      </c>
      <c r="T2" s="99" t="s">
        <v>17</v>
      </c>
      <c r="U2" s="99" t="s">
        <v>18</v>
      </c>
      <c r="V2" s="99" t="s">
        <v>95</v>
      </c>
      <c r="W2" s="99" t="s">
        <v>71</v>
      </c>
      <c r="X2" s="99" t="s">
        <v>72</v>
      </c>
      <c r="Y2" s="99" t="s">
        <v>80</v>
      </c>
      <c r="Z2" s="99" t="s">
        <v>73</v>
      </c>
      <c r="AA2" s="99" t="s">
        <v>23</v>
      </c>
      <c r="AB2" s="99" t="s">
        <v>24</v>
      </c>
      <c r="AC2" s="99" t="s">
        <v>74</v>
      </c>
      <c r="AD2" s="99" t="s">
        <v>75</v>
      </c>
      <c r="AE2" s="99" t="s">
        <v>76</v>
      </c>
      <c r="AF2" s="99" t="s">
        <v>77</v>
      </c>
      <c r="AG2" s="99" t="s">
        <v>81</v>
      </c>
      <c r="AH2" s="99" t="s">
        <v>78</v>
      </c>
      <c r="AI2" s="99" t="s">
        <v>30</v>
      </c>
      <c r="AJ2" s="99" t="s">
        <v>31</v>
      </c>
      <c r="AK2" s="99" t="s">
        <v>32</v>
      </c>
      <c r="AL2" s="99" t="s">
        <v>33</v>
      </c>
      <c r="AM2" s="99" t="s">
        <v>47</v>
      </c>
      <c r="AN2" s="99" t="s">
        <v>66</v>
      </c>
      <c r="AO2" s="99" t="s">
        <v>42</v>
      </c>
      <c r="AP2" s="99" t="s">
        <v>34</v>
      </c>
      <c r="AQ2" s="99" t="s">
        <v>89</v>
      </c>
      <c r="AR2" s="109" t="s">
        <v>94</v>
      </c>
    </row>
    <row r="3" spans="1:45" ht="15.75" x14ac:dyDescent="0.25">
      <c r="A3" s="76" t="s">
        <v>35</v>
      </c>
      <c r="B3" s="105">
        <v>5</v>
      </c>
      <c r="C3" s="81">
        <v>15</v>
      </c>
      <c r="D3" s="81">
        <v>10</v>
      </c>
      <c r="E3" s="81">
        <v>10</v>
      </c>
      <c r="F3" s="81">
        <v>20</v>
      </c>
      <c r="G3" s="81">
        <v>20</v>
      </c>
      <c r="H3" s="81">
        <v>25</v>
      </c>
      <c r="I3" s="108">
        <v>500</v>
      </c>
      <c r="J3" s="52">
        <v>10</v>
      </c>
      <c r="K3" s="52">
        <v>10</v>
      </c>
      <c r="L3" s="52">
        <v>10</v>
      </c>
      <c r="M3" s="52">
        <v>10</v>
      </c>
      <c r="N3" s="52">
        <v>10</v>
      </c>
      <c r="O3" s="81">
        <v>15</v>
      </c>
      <c r="P3" s="52">
        <v>10</v>
      </c>
      <c r="Q3" s="52">
        <v>5</v>
      </c>
      <c r="R3" s="81">
        <v>10</v>
      </c>
      <c r="S3" s="81">
        <v>35</v>
      </c>
      <c r="T3" s="81">
        <v>35</v>
      </c>
      <c r="U3" s="81">
        <v>35</v>
      </c>
      <c r="V3" s="100">
        <v>5</v>
      </c>
      <c r="W3" s="100">
        <v>5</v>
      </c>
      <c r="X3" s="100">
        <v>5</v>
      </c>
      <c r="Y3" s="100">
        <v>5</v>
      </c>
      <c r="Z3" s="100">
        <v>5</v>
      </c>
      <c r="AA3" s="52">
        <v>15</v>
      </c>
      <c r="AB3" s="81">
        <v>30</v>
      </c>
      <c r="AC3" s="103">
        <v>5</v>
      </c>
      <c r="AD3" s="103">
        <v>5</v>
      </c>
      <c r="AE3" s="103">
        <v>5</v>
      </c>
      <c r="AF3" s="100">
        <v>5</v>
      </c>
      <c r="AG3" s="100"/>
      <c r="AH3" s="81">
        <v>0</v>
      </c>
      <c r="AI3" s="81">
        <v>30</v>
      </c>
      <c r="AJ3" s="81">
        <v>50</v>
      </c>
      <c r="AK3" s="81"/>
      <c r="AL3" s="81">
        <v>50</v>
      </c>
      <c r="AM3" s="114"/>
      <c r="AN3" s="114"/>
      <c r="AO3" s="70"/>
      <c r="AP3" s="73">
        <f>SUM(B3:AL3)</f>
        <v>1020</v>
      </c>
      <c r="AQ3" s="84">
        <v>3338</v>
      </c>
      <c r="AR3" s="110"/>
    </row>
    <row r="4" spans="1:45" ht="15.75" x14ac:dyDescent="0.25">
      <c r="A4" s="77" t="s">
        <v>36</v>
      </c>
      <c r="B4" s="106">
        <v>10</v>
      </c>
      <c r="C4" s="82">
        <v>60</v>
      </c>
      <c r="D4" s="82">
        <v>24</v>
      </c>
      <c r="E4" s="82">
        <v>30</v>
      </c>
      <c r="F4" s="82">
        <v>40</v>
      </c>
      <c r="G4" s="82">
        <v>40</v>
      </c>
      <c r="H4" s="82">
        <v>50</v>
      </c>
      <c r="I4" s="82">
        <v>925</v>
      </c>
      <c r="J4" s="54">
        <v>20</v>
      </c>
      <c r="K4" s="54">
        <v>40</v>
      </c>
      <c r="L4" s="54">
        <v>30</v>
      </c>
      <c r="M4" s="54">
        <v>25</v>
      </c>
      <c r="N4" s="54">
        <v>30</v>
      </c>
      <c r="O4" s="82">
        <v>35</v>
      </c>
      <c r="P4" s="54">
        <v>35</v>
      </c>
      <c r="Q4" s="54">
        <v>11</v>
      </c>
      <c r="R4" s="82">
        <v>40</v>
      </c>
      <c r="S4" s="82">
        <v>70</v>
      </c>
      <c r="T4" s="82">
        <v>70</v>
      </c>
      <c r="U4" s="82">
        <v>50</v>
      </c>
      <c r="V4" s="101">
        <v>10</v>
      </c>
      <c r="W4" s="101">
        <v>10</v>
      </c>
      <c r="X4" s="101">
        <v>10</v>
      </c>
      <c r="Y4" s="101">
        <v>10</v>
      </c>
      <c r="Z4" s="101">
        <v>10</v>
      </c>
      <c r="AA4" s="54">
        <v>35</v>
      </c>
      <c r="AB4" s="82">
        <v>200</v>
      </c>
      <c r="AC4" s="104">
        <v>20</v>
      </c>
      <c r="AD4" s="104">
        <v>20</v>
      </c>
      <c r="AE4" s="104">
        <v>20</v>
      </c>
      <c r="AF4" s="101">
        <v>10</v>
      </c>
      <c r="AG4" s="101"/>
      <c r="AH4" s="82">
        <v>0</v>
      </c>
      <c r="AI4" s="82">
        <v>50</v>
      </c>
      <c r="AJ4" s="82">
        <v>100</v>
      </c>
      <c r="AK4" s="82"/>
      <c r="AL4" s="82">
        <v>100</v>
      </c>
      <c r="AM4" s="115"/>
      <c r="AN4" s="115"/>
      <c r="AO4" s="71"/>
      <c r="AP4" s="74">
        <f>SUM(B4:AL4)</f>
        <v>2240</v>
      </c>
      <c r="AQ4" s="85"/>
      <c r="AR4" s="111"/>
    </row>
    <row r="5" spans="1:45" ht="15.75" x14ac:dyDescent="0.25">
      <c r="A5" s="77" t="s">
        <v>37</v>
      </c>
      <c r="B5" s="106">
        <v>5</v>
      </c>
      <c r="C5" s="82">
        <v>17</v>
      </c>
      <c r="D5" s="82">
        <v>10</v>
      </c>
      <c r="E5" s="82">
        <v>10</v>
      </c>
      <c r="F5" s="82">
        <v>23</v>
      </c>
      <c r="G5" s="82">
        <v>15</v>
      </c>
      <c r="H5" s="82">
        <v>20</v>
      </c>
      <c r="I5" s="82">
        <v>600</v>
      </c>
      <c r="J5" s="54">
        <v>10</v>
      </c>
      <c r="K5" s="54">
        <v>15</v>
      </c>
      <c r="L5" s="54">
        <v>10</v>
      </c>
      <c r="M5" s="54">
        <v>10</v>
      </c>
      <c r="N5" s="54">
        <v>10</v>
      </c>
      <c r="O5" s="82">
        <v>10</v>
      </c>
      <c r="P5" s="54">
        <v>10</v>
      </c>
      <c r="Q5" s="54">
        <v>5</v>
      </c>
      <c r="R5" s="82">
        <v>15</v>
      </c>
      <c r="S5" s="82">
        <v>30</v>
      </c>
      <c r="T5" s="82">
        <v>35</v>
      </c>
      <c r="U5" s="82">
        <v>20</v>
      </c>
      <c r="V5" s="101">
        <v>5</v>
      </c>
      <c r="W5" s="101">
        <v>5</v>
      </c>
      <c r="X5" s="101">
        <v>5</v>
      </c>
      <c r="Y5" s="101">
        <v>5</v>
      </c>
      <c r="Z5" s="101">
        <v>5</v>
      </c>
      <c r="AA5" s="54">
        <v>10</v>
      </c>
      <c r="AB5" s="82">
        <v>35</v>
      </c>
      <c r="AC5" s="104">
        <v>10</v>
      </c>
      <c r="AD5" s="104">
        <v>10</v>
      </c>
      <c r="AE5" s="104">
        <v>10</v>
      </c>
      <c r="AF5" s="101">
        <v>5</v>
      </c>
      <c r="AG5" s="101"/>
      <c r="AH5" s="82">
        <v>0</v>
      </c>
      <c r="AI5" s="82">
        <v>35</v>
      </c>
      <c r="AJ5" s="82">
        <v>50</v>
      </c>
      <c r="AK5" s="82">
        <v>100</v>
      </c>
      <c r="AL5" s="82">
        <v>50</v>
      </c>
      <c r="AM5" s="115"/>
      <c r="AN5" s="115"/>
      <c r="AO5" s="71"/>
      <c r="AP5" s="74">
        <f>SUM(B5:AO5)</f>
        <v>1220</v>
      </c>
      <c r="AQ5" s="85"/>
      <c r="AR5" s="111"/>
      <c r="AS5">
        <f>AQ3-I6</f>
        <v>1918</v>
      </c>
    </row>
    <row r="6" spans="1:45" ht="15.75" x14ac:dyDescent="0.25">
      <c r="A6" s="78" t="s">
        <v>48</v>
      </c>
      <c r="B6" s="106"/>
      <c r="C6" s="82">
        <v>40</v>
      </c>
      <c r="D6" s="82">
        <v>20</v>
      </c>
      <c r="E6" s="82">
        <v>29</v>
      </c>
      <c r="F6" s="82">
        <v>20</v>
      </c>
      <c r="G6" s="82">
        <v>25</v>
      </c>
      <c r="H6" s="82">
        <v>30</v>
      </c>
      <c r="I6" s="82">
        <v>1420</v>
      </c>
      <c r="J6" s="54">
        <v>16</v>
      </c>
      <c r="K6" s="54">
        <v>23</v>
      </c>
      <c r="L6" s="54">
        <v>20</v>
      </c>
      <c r="M6" s="54">
        <v>23</v>
      </c>
      <c r="N6" s="54">
        <v>21</v>
      </c>
      <c r="O6" s="82">
        <v>29</v>
      </c>
      <c r="P6" s="54">
        <v>17</v>
      </c>
      <c r="Q6" s="54">
        <v>14</v>
      </c>
      <c r="R6" s="82">
        <v>31</v>
      </c>
      <c r="S6" s="82">
        <v>85</v>
      </c>
      <c r="T6" s="82">
        <v>90</v>
      </c>
      <c r="U6" s="82">
        <v>55</v>
      </c>
      <c r="V6" s="101">
        <v>17</v>
      </c>
      <c r="W6" s="101">
        <v>17</v>
      </c>
      <c r="X6" s="101">
        <v>17</v>
      </c>
      <c r="Y6" s="101">
        <v>17</v>
      </c>
      <c r="Z6" s="101">
        <v>18</v>
      </c>
      <c r="AA6" s="54">
        <v>25</v>
      </c>
      <c r="AB6" s="82">
        <v>40</v>
      </c>
      <c r="AC6" s="104">
        <v>20</v>
      </c>
      <c r="AD6" s="104">
        <v>20</v>
      </c>
      <c r="AE6" s="104">
        <v>21</v>
      </c>
      <c r="AF6" s="101">
        <v>17</v>
      </c>
      <c r="AG6" s="101">
        <v>0</v>
      </c>
      <c r="AH6" s="82">
        <v>0</v>
      </c>
      <c r="AI6" s="82">
        <v>80</v>
      </c>
      <c r="AJ6" s="82">
        <v>150</v>
      </c>
      <c r="AK6" s="82">
        <v>103</v>
      </c>
      <c r="AL6" s="82">
        <v>150</v>
      </c>
      <c r="AM6" s="115">
        <v>0</v>
      </c>
      <c r="AN6" s="115">
        <v>0</v>
      </c>
      <c r="AO6" s="71"/>
      <c r="AP6" s="74">
        <f t="shared" ref="AP6:AP8" si="0">SUM(B6:AO6)</f>
        <v>2720</v>
      </c>
      <c r="AQ6" s="85"/>
      <c r="AR6" s="111"/>
    </row>
    <row r="7" spans="1:45" ht="15.75" x14ac:dyDescent="0.25">
      <c r="A7" s="78" t="s">
        <v>67</v>
      </c>
      <c r="B7" s="106"/>
      <c r="C7" s="82"/>
      <c r="D7" s="82"/>
      <c r="E7" s="82"/>
      <c r="F7" s="82"/>
      <c r="G7" s="82"/>
      <c r="H7" s="82"/>
      <c r="I7" s="82">
        <v>3069</v>
      </c>
      <c r="J7" s="54"/>
      <c r="K7" s="54"/>
      <c r="L7" s="54"/>
      <c r="M7" s="54"/>
      <c r="N7" s="54"/>
      <c r="O7" s="82"/>
      <c r="P7" s="54"/>
      <c r="Q7" s="54"/>
      <c r="R7" s="82"/>
      <c r="S7" s="82"/>
      <c r="T7" s="82">
        <v>50</v>
      </c>
      <c r="U7" s="82"/>
      <c r="V7" s="101"/>
      <c r="W7" s="101"/>
      <c r="X7" s="101"/>
      <c r="Y7" s="101"/>
      <c r="Z7" s="101"/>
      <c r="AA7" s="54"/>
      <c r="AB7" s="82"/>
      <c r="AC7" s="104"/>
      <c r="AD7" s="104"/>
      <c r="AE7" s="104"/>
      <c r="AF7" s="101"/>
      <c r="AG7" s="101"/>
      <c r="AH7" s="82"/>
      <c r="AI7" s="82"/>
      <c r="AJ7" s="82">
        <v>109</v>
      </c>
      <c r="AK7" s="82"/>
      <c r="AL7" s="82">
        <v>110</v>
      </c>
      <c r="AM7" s="115"/>
      <c r="AN7" s="115"/>
      <c r="AO7" s="71"/>
      <c r="AP7" s="74">
        <f t="shared" si="0"/>
        <v>3338</v>
      </c>
      <c r="AQ7" s="85"/>
      <c r="AR7" s="111"/>
    </row>
    <row r="8" spans="1:45" ht="16.5" thickBot="1" x14ac:dyDescent="0.3">
      <c r="A8" s="78" t="s">
        <v>68</v>
      </c>
      <c r="B8" s="107"/>
      <c r="C8" s="83"/>
      <c r="D8" s="83"/>
      <c r="E8" s="83"/>
      <c r="F8" s="83"/>
      <c r="G8" s="83"/>
      <c r="H8" s="83"/>
      <c r="I8" s="83"/>
      <c r="J8" s="69"/>
      <c r="K8" s="69"/>
      <c r="L8" s="69"/>
      <c r="M8" s="69"/>
      <c r="N8" s="69"/>
      <c r="O8" s="83"/>
      <c r="P8" s="69"/>
      <c r="Q8" s="69"/>
      <c r="R8" s="83"/>
      <c r="S8" s="83"/>
      <c r="T8" s="83"/>
      <c r="U8" s="83"/>
      <c r="V8" s="102"/>
      <c r="W8" s="102"/>
      <c r="X8" s="102"/>
      <c r="Y8" s="102"/>
      <c r="Z8" s="102"/>
      <c r="AA8" s="69"/>
      <c r="AB8" s="83"/>
      <c r="AC8" s="102"/>
      <c r="AD8" s="102"/>
      <c r="AE8" s="102"/>
      <c r="AF8" s="102"/>
      <c r="AG8" s="102"/>
      <c r="AH8" s="83"/>
      <c r="AI8" s="83"/>
      <c r="AJ8" s="83"/>
      <c r="AK8" s="83"/>
      <c r="AL8" s="83"/>
      <c r="AM8" s="116"/>
      <c r="AN8" s="116"/>
      <c r="AO8" s="72"/>
      <c r="AP8" s="75">
        <f t="shared" si="0"/>
        <v>0</v>
      </c>
      <c r="AQ8" s="86"/>
      <c r="AR8" s="112"/>
    </row>
    <row r="9" spans="1:45" ht="16.5" thickBot="1" x14ac:dyDescent="0.3">
      <c r="A9" s="79" t="s">
        <v>38</v>
      </c>
      <c r="B9" s="59">
        <v>20</v>
      </c>
      <c r="C9" s="59">
        <v>132</v>
      </c>
      <c r="D9" s="59">
        <v>64</v>
      </c>
      <c r="E9" s="59">
        <v>79</v>
      </c>
      <c r="F9" s="59">
        <v>103</v>
      </c>
      <c r="G9" s="59">
        <v>100</v>
      </c>
      <c r="H9" s="59">
        <v>125</v>
      </c>
      <c r="I9" s="59">
        <v>6068.1</v>
      </c>
      <c r="J9" s="60">
        <v>56</v>
      </c>
      <c r="K9" s="60">
        <v>88</v>
      </c>
      <c r="L9" s="60">
        <v>70</v>
      </c>
      <c r="M9" s="60">
        <v>68</v>
      </c>
      <c r="N9" s="60">
        <v>71</v>
      </c>
      <c r="O9" s="59">
        <v>89</v>
      </c>
      <c r="P9" s="60">
        <v>72</v>
      </c>
      <c r="Q9" s="60">
        <v>35</v>
      </c>
      <c r="R9" s="59">
        <v>96</v>
      </c>
      <c r="S9" s="59">
        <v>220</v>
      </c>
      <c r="T9" s="59">
        <v>280</v>
      </c>
      <c r="U9" s="59">
        <v>160</v>
      </c>
      <c r="V9" s="59">
        <v>37</v>
      </c>
      <c r="W9" s="59">
        <v>37</v>
      </c>
      <c r="X9" s="59">
        <v>37</v>
      </c>
      <c r="Y9" s="59">
        <v>37</v>
      </c>
      <c r="Z9" s="59">
        <v>38</v>
      </c>
      <c r="AA9" s="60">
        <v>85</v>
      </c>
      <c r="AB9" s="59">
        <v>305</v>
      </c>
      <c r="AC9" s="60">
        <v>55</v>
      </c>
      <c r="AD9" s="60">
        <v>55</v>
      </c>
      <c r="AE9" s="60">
        <v>56</v>
      </c>
      <c r="AF9" s="59">
        <v>37</v>
      </c>
      <c r="AG9" s="59"/>
      <c r="AH9" s="59"/>
      <c r="AI9" s="59">
        <v>195</v>
      </c>
      <c r="AJ9" s="59">
        <v>459</v>
      </c>
      <c r="AK9" s="59">
        <v>203</v>
      </c>
      <c r="AL9" s="59">
        <v>460</v>
      </c>
      <c r="AM9" s="59"/>
      <c r="AN9" s="59"/>
      <c r="AO9" s="59"/>
      <c r="AP9" s="68">
        <f>SUM(B9:AN9)</f>
        <v>10092.1</v>
      </c>
      <c r="AQ9" s="87">
        <v>7095.3</v>
      </c>
      <c r="AR9" s="113"/>
    </row>
    <row r="10" spans="1:45" ht="16.5" thickBot="1" x14ac:dyDescent="0.3">
      <c r="A10" s="80" t="s">
        <v>40</v>
      </c>
      <c r="B10" s="50">
        <f>IF(SUM(B3:B8)=0,"-",SUM(B3:B8))</f>
        <v>20</v>
      </c>
      <c r="C10" s="50">
        <f>IF(SUM(C3:C8)=0,"-",SUM(C3:C8))</f>
        <v>132</v>
      </c>
      <c r="D10" s="50">
        <f t="shared" ref="D10:AP10" si="1">IF(SUM(D3:D8)=0,"-",SUM(D3:D8))</f>
        <v>64</v>
      </c>
      <c r="E10" s="50">
        <f t="shared" si="1"/>
        <v>79</v>
      </c>
      <c r="F10" s="50">
        <f t="shared" si="1"/>
        <v>103</v>
      </c>
      <c r="G10" s="50">
        <f t="shared" si="1"/>
        <v>100</v>
      </c>
      <c r="H10" s="50">
        <f t="shared" si="1"/>
        <v>125</v>
      </c>
      <c r="I10" s="50">
        <f t="shared" si="1"/>
        <v>6514</v>
      </c>
      <c r="J10" s="50">
        <f t="shared" si="1"/>
        <v>56</v>
      </c>
      <c r="K10" s="50">
        <f t="shared" si="1"/>
        <v>88</v>
      </c>
      <c r="L10" s="50">
        <f t="shared" si="1"/>
        <v>70</v>
      </c>
      <c r="M10" s="50">
        <f t="shared" si="1"/>
        <v>68</v>
      </c>
      <c r="N10" s="50">
        <f t="shared" si="1"/>
        <v>71</v>
      </c>
      <c r="O10" s="50">
        <f t="shared" si="1"/>
        <v>89</v>
      </c>
      <c r="P10" s="50">
        <f t="shared" si="1"/>
        <v>72</v>
      </c>
      <c r="Q10" s="50">
        <f t="shared" si="1"/>
        <v>35</v>
      </c>
      <c r="R10" s="50">
        <f t="shared" si="1"/>
        <v>96</v>
      </c>
      <c r="S10" s="50">
        <f t="shared" si="1"/>
        <v>220</v>
      </c>
      <c r="T10" s="50">
        <f t="shared" si="1"/>
        <v>280</v>
      </c>
      <c r="U10" s="50">
        <f t="shared" si="1"/>
        <v>160</v>
      </c>
      <c r="V10" s="50">
        <f t="shared" si="1"/>
        <v>37</v>
      </c>
      <c r="W10" s="50">
        <f t="shared" si="1"/>
        <v>37</v>
      </c>
      <c r="X10" s="50">
        <f t="shared" si="1"/>
        <v>37</v>
      </c>
      <c r="Y10" s="50">
        <f t="shared" si="1"/>
        <v>37</v>
      </c>
      <c r="Z10" s="50">
        <f t="shared" si="1"/>
        <v>38</v>
      </c>
      <c r="AA10" s="50">
        <f t="shared" si="1"/>
        <v>85</v>
      </c>
      <c r="AB10" s="50">
        <f t="shared" si="1"/>
        <v>305</v>
      </c>
      <c r="AC10" s="50">
        <f t="shared" si="1"/>
        <v>55</v>
      </c>
      <c r="AD10" s="50">
        <f t="shared" si="1"/>
        <v>55</v>
      </c>
      <c r="AE10" s="50">
        <f t="shared" si="1"/>
        <v>56</v>
      </c>
      <c r="AF10" s="50">
        <f t="shared" si="1"/>
        <v>37</v>
      </c>
      <c r="AG10" s="50" t="str">
        <f t="shared" si="1"/>
        <v>-</v>
      </c>
      <c r="AH10" s="50" t="str">
        <f t="shared" si="1"/>
        <v>-</v>
      </c>
      <c r="AI10" s="50">
        <f t="shared" si="1"/>
        <v>195</v>
      </c>
      <c r="AJ10" s="50">
        <f t="shared" si="1"/>
        <v>459</v>
      </c>
      <c r="AK10" s="50">
        <f t="shared" si="1"/>
        <v>203</v>
      </c>
      <c r="AL10" s="50">
        <f t="shared" si="1"/>
        <v>460</v>
      </c>
      <c r="AM10" s="50" t="str">
        <f t="shared" si="1"/>
        <v>-</v>
      </c>
      <c r="AN10" s="50" t="str">
        <f t="shared" si="1"/>
        <v>-</v>
      </c>
      <c r="AO10" s="50" t="str">
        <f t="shared" si="1"/>
        <v>-</v>
      </c>
      <c r="AP10" s="50">
        <f t="shared" si="1"/>
        <v>10538</v>
      </c>
    </row>
    <row r="11" spans="1:45" ht="16.5" customHeight="1" thickBot="1" x14ac:dyDescent="0.3"/>
    <row r="12" spans="1:45" ht="171" thickBot="1" x14ac:dyDescent="0.3">
      <c r="A12" s="90" t="s">
        <v>90</v>
      </c>
      <c r="B12" s="88" t="s">
        <v>69</v>
      </c>
      <c r="C12" s="88" t="s">
        <v>0</v>
      </c>
      <c r="D12" s="88" t="s">
        <v>1</v>
      </c>
      <c r="E12" s="88" t="s">
        <v>2</v>
      </c>
      <c r="F12" s="88" t="s">
        <v>3</v>
      </c>
      <c r="G12" s="88" t="s">
        <v>4</v>
      </c>
      <c r="H12" s="88" t="s">
        <v>5</v>
      </c>
      <c r="I12" s="88" t="s">
        <v>6</v>
      </c>
      <c r="J12" s="88" t="s">
        <v>7</v>
      </c>
      <c r="K12" s="88" t="s">
        <v>8</v>
      </c>
      <c r="L12" s="88" t="s">
        <v>9</v>
      </c>
      <c r="M12" s="88" t="s">
        <v>10</v>
      </c>
      <c r="N12" s="88" t="s">
        <v>11</v>
      </c>
      <c r="O12" s="88" t="s">
        <v>12</v>
      </c>
      <c r="P12" s="88" t="s">
        <v>13</v>
      </c>
      <c r="Q12" s="88" t="s">
        <v>14</v>
      </c>
      <c r="R12" s="88" t="s">
        <v>15</v>
      </c>
      <c r="S12" s="88" t="s">
        <v>16</v>
      </c>
      <c r="T12" s="88" t="s">
        <v>17</v>
      </c>
      <c r="U12" s="88" t="s">
        <v>18</v>
      </c>
      <c r="V12" s="88" t="s">
        <v>70</v>
      </c>
      <c r="W12" s="88" t="s">
        <v>71</v>
      </c>
      <c r="X12" s="88" t="s">
        <v>72</v>
      </c>
      <c r="Y12" s="88" t="s">
        <v>79</v>
      </c>
      <c r="Z12" s="88" t="s">
        <v>73</v>
      </c>
      <c r="AA12" s="88" t="s">
        <v>23</v>
      </c>
      <c r="AB12" s="88" t="s">
        <v>24</v>
      </c>
      <c r="AC12" s="88" t="s">
        <v>74</v>
      </c>
      <c r="AD12" s="88" t="s">
        <v>75</v>
      </c>
      <c r="AE12" s="88" t="s">
        <v>76</v>
      </c>
      <c r="AF12" s="88" t="s">
        <v>77</v>
      </c>
      <c r="AG12" s="88" t="s">
        <v>81</v>
      </c>
      <c r="AH12" s="89" t="s">
        <v>78</v>
      </c>
      <c r="AI12" s="88" t="s">
        <v>30</v>
      </c>
      <c r="AJ12" s="88" t="s">
        <v>31</v>
      </c>
      <c r="AK12" s="88" t="s">
        <v>32</v>
      </c>
      <c r="AL12" s="88" t="s">
        <v>33</v>
      </c>
      <c r="AM12" s="88" t="s">
        <v>47</v>
      </c>
      <c r="AN12" s="88" t="s">
        <v>66</v>
      </c>
      <c r="AO12" s="91"/>
      <c r="AP12" s="88" t="s">
        <v>34</v>
      </c>
    </row>
    <row r="13" spans="1:45" ht="16.5" customHeight="1" thickBot="1" x14ac:dyDescent="0.3">
      <c r="A13" s="92" t="s">
        <v>91</v>
      </c>
      <c r="B13" s="93">
        <f>B9/$AP$9</f>
        <v>1.9817480999990093E-3</v>
      </c>
      <c r="C13" s="93">
        <f t="shared" ref="C13:AN13" si="2">C9/$AP$9</f>
        <v>1.307953745999346E-2</v>
      </c>
      <c r="D13" s="93">
        <f t="shared" si="2"/>
        <v>6.3415939199968291E-3</v>
      </c>
      <c r="E13" s="93">
        <f t="shared" si="2"/>
        <v>7.8279049949960856E-3</v>
      </c>
      <c r="F13" s="93">
        <f t="shared" si="2"/>
        <v>1.0206002714994897E-2</v>
      </c>
      <c r="G13" s="93">
        <f t="shared" si="2"/>
        <v>9.9087404999950446E-3</v>
      </c>
      <c r="H13" s="93">
        <f t="shared" si="2"/>
        <v>1.2385925624993806E-2</v>
      </c>
      <c r="I13" s="93">
        <f t="shared" si="2"/>
        <v>0.60127228228019935</v>
      </c>
      <c r="J13" s="93">
        <f t="shared" si="2"/>
        <v>5.5488946799972256E-3</v>
      </c>
      <c r="K13" s="93">
        <f t="shared" si="2"/>
        <v>8.7196916399956397E-3</v>
      </c>
      <c r="L13" s="93">
        <f t="shared" si="2"/>
        <v>6.9361183499965316E-3</v>
      </c>
      <c r="M13" s="93">
        <f t="shared" si="2"/>
        <v>6.7379435399966305E-3</v>
      </c>
      <c r="N13" s="93">
        <f t="shared" si="2"/>
        <v>7.0352057549964821E-3</v>
      </c>
      <c r="O13" s="93">
        <f t="shared" si="2"/>
        <v>8.8187790449955911E-3</v>
      </c>
      <c r="P13" s="93">
        <f t="shared" si="2"/>
        <v>7.1342931599964327E-3</v>
      </c>
      <c r="Q13" s="93">
        <f t="shared" si="2"/>
        <v>3.4680591749982658E-3</v>
      </c>
      <c r="R13" s="93">
        <f t="shared" si="2"/>
        <v>9.5123908799952441E-3</v>
      </c>
      <c r="S13" s="93">
        <f t="shared" si="2"/>
        <v>2.17992290999891E-2</v>
      </c>
      <c r="T13" s="93">
        <f t="shared" si="2"/>
        <v>2.7744473399986126E-2</v>
      </c>
      <c r="U13" s="93">
        <f t="shared" si="2"/>
        <v>1.5853984799992074E-2</v>
      </c>
      <c r="V13" s="93">
        <f t="shared" si="2"/>
        <v>3.6662339849981669E-3</v>
      </c>
      <c r="W13" s="93">
        <f t="shared" si="2"/>
        <v>3.6662339849981669E-3</v>
      </c>
      <c r="X13" s="93">
        <f t="shared" si="2"/>
        <v>3.6662339849981669E-3</v>
      </c>
      <c r="Y13" s="93">
        <f t="shared" si="2"/>
        <v>3.6662339849981669E-3</v>
      </c>
      <c r="Z13" s="93">
        <f t="shared" si="2"/>
        <v>3.765321389998117E-3</v>
      </c>
      <c r="AA13" s="93">
        <f t="shared" si="2"/>
        <v>8.4224294249957889E-3</v>
      </c>
      <c r="AB13" s="93">
        <f t="shared" si="2"/>
        <v>3.0221658524984887E-2</v>
      </c>
      <c r="AC13" s="93">
        <f t="shared" si="2"/>
        <v>5.449807274997275E-3</v>
      </c>
      <c r="AD13" s="93">
        <f t="shared" si="2"/>
        <v>5.449807274997275E-3</v>
      </c>
      <c r="AE13" s="93">
        <f t="shared" si="2"/>
        <v>5.5488946799972256E-3</v>
      </c>
      <c r="AF13" s="93">
        <f t="shared" si="2"/>
        <v>3.6662339849981669E-3</v>
      </c>
      <c r="AG13" s="93">
        <f t="shared" si="2"/>
        <v>0</v>
      </c>
      <c r="AH13" s="93">
        <f t="shared" si="2"/>
        <v>0</v>
      </c>
      <c r="AI13" s="93">
        <f t="shared" si="2"/>
        <v>1.9322043974990339E-2</v>
      </c>
      <c r="AJ13" s="93">
        <f t="shared" si="2"/>
        <v>4.548111889497726E-2</v>
      </c>
      <c r="AK13" s="93">
        <f t="shared" si="2"/>
        <v>2.0114743214989943E-2</v>
      </c>
      <c r="AL13" s="93">
        <f t="shared" si="2"/>
        <v>4.5580206299977208E-2</v>
      </c>
      <c r="AM13" s="93">
        <f t="shared" si="2"/>
        <v>0</v>
      </c>
      <c r="AN13" s="93">
        <f t="shared" si="2"/>
        <v>0</v>
      </c>
      <c r="AO13" s="94"/>
      <c r="AP13" s="95">
        <f>SUM(B13:AO13)</f>
        <v>1.0000000000000002</v>
      </c>
    </row>
    <row r="14" spans="1:45" ht="16.5" customHeight="1" thickBot="1" x14ac:dyDescent="0.3">
      <c r="A14" s="92" t="s">
        <v>92</v>
      </c>
      <c r="B14" s="94">
        <f>ROUND($AQ$3*B13,0)</f>
        <v>7</v>
      </c>
      <c r="C14" s="94">
        <f t="shared" ref="C14:AO14" si="3">ROUND($AQ$3*C13,0)</f>
        <v>44</v>
      </c>
      <c r="D14" s="94">
        <f t="shared" si="3"/>
        <v>21</v>
      </c>
      <c r="E14" s="94">
        <f t="shared" si="3"/>
        <v>26</v>
      </c>
      <c r="F14" s="94">
        <f t="shared" si="3"/>
        <v>34</v>
      </c>
      <c r="G14" s="94">
        <f t="shared" si="3"/>
        <v>33</v>
      </c>
      <c r="H14" s="94">
        <f t="shared" si="3"/>
        <v>41</v>
      </c>
      <c r="I14" s="94">
        <f t="shared" si="3"/>
        <v>2007</v>
      </c>
      <c r="J14" s="94">
        <f t="shared" si="3"/>
        <v>19</v>
      </c>
      <c r="K14" s="94">
        <f t="shared" si="3"/>
        <v>29</v>
      </c>
      <c r="L14" s="94">
        <f t="shared" si="3"/>
        <v>23</v>
      </c>
      <c r="M14" s="94">
        <f t="shared" si="3"/>
        <v>22</v>
      </c>
      <c r="N14" s="94">
        <f t="shared" si="3"/>
        <v>23</v>
      </c>
      <c r="O14" s="94">
        <f t="shared" si="3"/>
        <v>29</v>
      </c>
      <c r="P14" s="94">
        <f t="shared" si="3"/>
        <v>24</v>
      </c>
      <c r="Q14" s="94">
        <f t="shared" si="3"/>
        <v>12</v>
      </c>
      <c r="R14" s="94">
        <f t="shared" si="3"/>
        <v>32</v>
      </c>
      <c r="S14" s="94">
        <f t="shared" si="3"/>
        <v>73</v>
      </c>
      <c r="T14" s="94">
        <f t="shared" si="3"/>
        <v>93</v>
      </c>
      <c r="U14" s="94">
        <f t="shared" si="3"/>
        <v>53</v>
      </c>
      <c r="V14" s="94">
        <f t="shared" si="3"/>
        <v>12</v>
      </c>
      <c r="W14" s="94">
        <f t="shared" si="3"/>
        <v>12</v>
      </c>
      <c r="X14" s="94">
        <f t="shared" si="3"/>
        <v>12</v>
      </c>
      <c r="Y14" s="94">
        <f t="shared" si="3"/>
        <v>12</v>
      </c>
      <c r="Z14" s="94">
        <f t="shared" si="3"/>
        <v>13</v>
      </c>
      <c r="AA14" s="94">
        <f t="shared" si="3"/>
        <v>28</v>
      </c>
      <c r="AB14" s="94">
        <f t="shared" si="3"/>
        <v>101</v>
      </c>
      <c r="AC14" s="94">
        <f t="shared" si="3"/>
        <v>18</v>
      </c>
      <c r="AD14" s="94">
        <f t="shared" si="3"/>
        <v>18</v>
      </c>
      <c r="AE14" s="94">
        <f t="shared" si="3"/>
        <v>19</v>
      </c>
      <c r="AF14" s="94">
        <f t="shared" si="3"/>
        <v>12</v>
      </c>
      <c r="AG14" s="94">
        <f t="shared" si="3"/>
        <v>0</v>
      </c>
      <c r="AH14" s="94">
        <f t="shared" si="3"/>
        <v>0</v>
      </c>
      <c r="AI14" s="94">
        <f t="shared" si="3"/>
        <v>64</v>
      </c>
      <c r="AJ14" s="94">
        <f t="shared" si="3"/>
        <v>152</v>
      </c>
      <c r="AK14" s="94">
        <f t="shared" si="3"/>
        <v>67</v>
      </c>
      <c r="AL14" s="94">
        <f t="shared" si="3"/>
        <v>152</v>
      </c>
      <c r="AM14" s="94">
        <f t="shared" si="3"/>
        <v>0</v>
      </c>
      <c r="AN14" s="94">
        <f t="shared" si="3"/>
        <v>0</v>
      </c>
      <c r="AO14" s="94">
        <f t="shared" si="3"/>
        <v>0</v>
      </c>
      <c r="AP14" s="96">
        <f>SUM(B14:AO14)</f>
        <v>3337</v>
      </c>
    </row>
    <row r="15" spans="1:45" ht="16.5" customHeight="1" thickBot="1" x14ac:dyDescent="0.3">
      <c r="A15" s="92" t="s">
        <v>93</v>
      </c>
      <c r="B15" s="97">
        <v>7</v>
      </c>
      <c r="C15" s="97">
        <v>32</v>
      </c>
      <c r="D15" s="97">
        <v>16</v>
      </c>
      <c r="E15" s="97">
        <v>17</v>
      </c>
      <c r="F15" s="97">
        <v>30</v>
      </c>
      <c r="G15" s="97">
        <v>28</v>
      </c>
      <c r="H15" s="97">
        <v>18</v>
      </c>
      <c r="I15" s="97">
        <v>1415</v>
      </c>
      <c r="J15" s="97">
        <v>16</v>
      </c>
      <c r="K15" s="97">
        <v>26</v>
      </c>
      <c r="L15" s="97">
        <v>18</v>
      </c>
      <c r="M15" s="97">
        <v>19</v>
      </c>
      <c r="N15" s="97">
        <v>16</v>
      </c>
      <c r="O15" s="97">
        <v>21</v>
      </c>
      <c r="P15" s="97">
        <v>19</v>
      </c>
      <c r="Q15" s="97">
        <v>8</v>
      </c>
      <c r="R15" s="97">
        <v>7</v>
      </c>
      <c r="S15" s="97">
        <v>77</v>
      </c>
      <c r="T15" s="97">
        <v>84</v>
      </c>
      <c r="U15" s="97">
        <v>24</v>
      </c>
      <c r="V15" s="97">
        <v>3</v>
      </c>
      <c r="W15" s="97">
        <v>3</v>
      </c>
      <c r="X15" s="97">
        <v>3</v>
      </c>
      <c r="Y15" s="97">
        <v>1</v>
      </c>
      <c r="Z15" s="97">
        <v>3</v>
      </c>
      <c r="AA15" s="97">
        <v>20</v>
      </c>
      <c r="AB15" s="97">
        <v>31</v>
      </c>
      <c r="AC15" s="97">
        <v>7</v>
      </c>
      <c r="AD15" s="97">
        <v>7</v>
      </c>
      <c r="AE15" s="97">
        <v>7</v>
      </c>
      <c r="AF15" s="97">
        <v>2</v>
      </c>
      <c r="AG15" s="97">
        <v>3</v>
      </c>
      <c r="AH15" s="97">
        <v>0</v>
      </c>
      <c r="AI15" s="97">
        <v>42</v>
      </c>
      <c r="AJ15" s="97">
        <v>157</v>
      </c>
      <c r="AK15" s="97">
        <v>41</v>
      </c>
      <c r="AL15" s="97">
        <v>145</v>
      </c>
      <c r="AM15" s="97">
        <v>45</v>
      </c>
      <c r="AN15" s="97">
        <v>56</v>
      </c>
      <c r="AO15" s="97"/>
      <c r="AP15" s="98">
        <f>SUM(B15:AO15)</f>
        <v>2474</v>
      </c>
    </row>
    <row r="16" spans="1:45" ht="16.5" customHeight="1" thickBot="1" x14ac:dyDescent="0.3">
      <c r="A16" s="92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6"/>
    </row>
    <row r="17" spans="47:49" ht="16.5" customHeight="1" x14ac:dyDescent="0.3">
      <c r="AU17" s="40" t="s">
        <v>64</v>
      </c>
      <c r="AV17" s="41"/>
      <c r="AW17" s="40" t="s">
        <v>65</v>
      </c>
    </row>
    <row r="18" spans="47:49" ht="18.75" x14ac:dyDescent="0.3">
      <c r="AU18" s="41" t="s">
        <v>82</v>
      </c>
      <c r="AV18" s="41">
        <f>B$9*100/$AQ$3</f>
        <v>0.59916117435590177</v>
      </c>
      <c r="AW18" s="41">
        <f>AV18*AV6/100</f>
        <v>0</v>
      </c>
    </row>
    <row r="19" spans="47:49" ht="18.75" x14ac:dyDescent="0.3">
      <c r="AU19" s="42" t="s">
        <v>0</v>
      </c>
      <c r="AV19" s="41">
        <f>C$9*100/$AQ$3</f>
        <v>3.9544637507489515</v>
      </c>
      <c r="AW19" s="41">
        <f>AV19*AV6/100</f>
        <v>0</v>
      </c>
    </row>
    <row r="20" spans="47:49" ht="18.75" x14ac:dyDescent="0.3">
      <c r="AU20" s="41" t="s">
        <v>1</v>
      </c>
      <c r="AV20" s="41">
        <f t="shared" ref="AV20:AV56" si="4">B$9*100/$AQ$3</f>
        <v>0.59916117435590177</v>
      </c>
      <c r="AW20" s="41">
        <f>AV20*AV6/100</f>
        <v>0</v>
      </c>
    </row>
    <row r="21" spans="47:49" ht="18.75" x14ac:dyDescent="0.3">
      <c r="AU21" s="41" t="s">
        <v>2</v>
      </c>
      <c r="AV21" s="41">
        <f t="shared" si="4"/>
        <v>0.59916117435590177</v>
      </c>
      <c r="AW21" s="41">
        <f>AV21*AV6/100</f>
        <v>0</v>
      </c>
    </row>
    <row r="22" spans="47:49" ht="18.75" x14ac:dyDescent="0.3">
      <c r="AU22" s="41" t="s">
        <v>3</v>
      </c>
      <c r="AV22" s="41">
        <f t="shared" si="4"/>
        <v>0.59916117435590177</v>
      </c>
      <c r="AW22" s="41">
        <f>AV22*AV6/100</f>
        <v>0</v>
      </c>
    </row>
    <row r="23" spans="47:49" ht="18.75" x14ac:dyDescent="0.3">
      <c r="AU23" s="42" t="s">
        <v>4</v>
      </c>
      <c r="AV23" s="41">
        <f t="shared" si="4"/>
        <v>0.59916117435590177</v>
      </c>
      <c r="AW23" s="41">
        <f>AV23*AV6/100</f>
        <v>0</v>
      </c>
    </row>
    <row r="24" spans="47:49" ht="18.75" x14ac:dyDescent="0.3">
      <c r="AU24" s="42" t="s">
        <v>5</v>
      </c>
      <c r="AV24" s="41">
        <f t="shared" si="4"/>
        <v>0.59916117435590177</v>
      </c>
      <c r="AW24" s="41">
        <f>AV24*AV6/100</f>
        <v>0</v>
      </c>
    </row>
    <row r="25" spans="47:49" ht="18.75" x14ac:dyDescent="0.3">
      <c r="AU25" s="41" t="s">
        <v>6</v>
      </c>
      <c r="AV25" s="41">
        <f t="shared" si="4"/>
        <v>0.59916117435590177</v>
      </c>
      <c r="AW25" s="41">
        <f>AV25*$AV$6/100</f>
        <v>0</v>
      </c>
    </row>
    <row r="26" spans="47:49" ht="18.75" x14ac:dyDescent="0.3">
      <c r="AU26" s="41" t="s">
        <v>7</v>
      </c>
      <c r="AV26" s="41">
        <f t="shared" si="4"/>
        <v>0.59916117435590177</v>
      </c>
      <c r="AW26" s="41">
        <f>AV26*$AV$6/100</f>
        <v>0</v>
      </c>
    </row>
    <row r="27" spans="47:49" ht="18.75" x14ac:dyDescent="0.3">
      <c r="AU27" s="41" t="s">
        <v>8</v>
      </c>
      <c r="AV27" s="41">
        <f t="shared" si="4"/>
        <v>0.59916117435590177</v>
      </c>
      <c r="AW27" s="41">
        <f>AV27*$AV$6/100</f>
        <v>0</v>
      </c>
    </row>
    <row r="28" spans="47:49" ht="18.75" x14ac:dyDescent="0.3">
      <c r="AU28" s="41" t="s">
        <v>9</v>
      </c>
      <c r="AV28" s="41">
        <f t="shared" si="4"/>
        <v>0.59916117435590177</v>
      </c>
      <c r="AW28" s="41">
        <f t="shared" ref="AW28:AW33" si="5">AV28*$AV$6/100</f>
        <v>0</v>
      </c>
    </row>
    <row r="29" spans="47:49" ht="18.75" x14ac:dyDescent="0.3">
      <c r="AU29" s="41" t="s">
        <v>10</v>
      </c>
      <c r="AV29" s="41">
        <f t="shared" si="4"/>
        <v>0.59916117435590177</v>
      </c>
      <c r="AW29" s="41">
        <f t="shared" si="5"/>
        <v>0</v>
      </c>
    </row>
    <row r="30" spans="47:49" ht="18.75" x14ac:dyDescent="0.3">
      <c r="AU30" s="41" t="s">
        <v>11</v>
      </c>
      <c r="AV30" s="41">
        <f t="shared" si="4"/>
        <v>0.59916117435590177</v>
      </c>
      <c r="AW30" s="41">
        <f t="shared" si="5"/>
        <v>0</v>
      </c>
    </row>
    <row r="31" spans="47:49" ht="18.75" x14ac:dyDescent="0.3">
      <c r="AU31" s="41" t="s">
        <v>59</v>
      </c>
      <c r="AV31" s="41">
        <f t="shared" si="4"/>
        <v>0.59916117435590177</v>
      </c>
      <c r="AW31" s="41">
        <f t="shared" si="5"/>
        <v>0</v>
      </c>
    </row>
    <row r="32" spans="47:49" ht="18.75" x14ac:dyDescent="0.3">
      <c r="AU32" s="41" t="s">
        <v>13</v>
      </c>
      <c r="AV32" s="41">
        <f t="shared" si="4"/>
        <v>0.59916117435590177</v>
      </c>
      <c r="AW32" s="41">
        <f t="shared" si="5"/>
        <v>0</v>
      </c>
    </row>
    <row r="33" spans="47:49" ht="18.75" x14ac:dyDescent="0.3">
      <c r="AU33" s="41" t="s">
        <v>14</v>
      </c>
      <c r="AV33" s="41">
        <f t="shared" si="4"/>
        <v>0.59916117435590177</v>
      </c>
      <c r="AW33" s="41">
        <f t="shared" si="5"/>
        <v>0</v>
      </c>
    </row>
    <row r="34" spans="47:49" ht="18.75" x14ac:dyDescent="0.3">
      <c r="AU34" s="42" t="s">
        <v>15</v>
      </c>
      <c r="AV34" s="41">
        <f t="shared" si="4"/>
        <v>0.59916117435590177</v>
      </c>
      <c r="AW34" s="41">
        <f>AV34*AV6/100</f>
        <v>0</v>
      </c>
    </row>
    <row r="35" spans="47:49" ht="18.75" x14ac:dyDescent="0.3">
      <c r="AU35" s="42" t="s">
        <v>16</v>
      </c>
      <c r="AV35" s="41">
        <f t="shared" si="4"/>
        <v>0.59916117435590177</v>
      </c>
      <c r="AW35" s="41">
        <f>AV35*AV6/100</f>
        <v>0</v>
      </c>
    </row>
    <row r="36" spans="47:49" ht="18.75" x14ac:dyDescent="0.3">
      <c r="AU36" s="42" t="s">
        <v>17</v>
      </c>
      <c r="AV36" s="41">
        <f t="shared" si="4"/>
        <v>0.59916117435590177</v>
      </c>
      <c r="AW36" s="41">
        <f>AV36*AV6/100</f>
        <v>0</v>
      </c>
    </row>
    <row r="37" spans="47:49" ht="18.75" x14ac:dyDescent="0.3">
      <c r="AU37" s="42" t="s">
        <v>18</v>
      </c>
      <c r="AV37" s="41">
        <f t="shared" si="4"/>
        <v>0.59916117435590177</v>
      </c>
      <c r="AW37" s="41">
        <f>AV37*AV6/100</f>
        <v>0</v>
      </c>
    </row>
    <row r="38" spans="47:49" ht="18.75" x14ac:dyDescent="0.3">
      <c r="AU38" s="42" t="s">
        <v>70</v>
      </c>
      <c r="AV38" s="41">
        <f t="shared" si="4"/>
        <v>0.59916117435590177</v>
      </c>
      <c r="AW38" s="41">
        <f>AV38*AV6/100</f>
        <v>0</v>
      </c>
    </row>
    <row r="39" spans="47:49" ht="18.75" x14ac:dyDescent="0.3">
      <c r="AU39" s="42" t="s">
        <v>71</v>
      </c>
      <c r="AV39" s="41">
        <f t="shared" si="4"/>
        <v>0.59916117435590177</v>
      </c>
      <c r="AW39" s="41">
        <f>AV39*AV6/100</f>
        <v>0</v>
      </c>
    </row>
    <row r="40" spans="47:49" ht="18.75" x14ac:dyDescent="0.3">
      <c r="AU40" s="43" t="s">
        <v>72</v>
      </c>
      <c r="AV40" s="41">
        <f t="shared" si="4"/>
        <v>0.59916117435590177</v>
      </c>
      <c r="AW40" s="41">
        <f>AV40*AV6/100</f>
        <v>0</v>
      </c>
    </row>
    <row r="41" spans="47:49" ht="18.75" x14ac:dyDescent="0.3">
      <c r="AU41" s="42" t="s">
        <v>79</v>
      </c>
      <c r="AV41" s="41">
        <f t="shared" si="4"/>
        <v>0.59916117435590177</v>
      </c>
      <c r="AW41" s="41">
        <f>AV41*AV6/100</f>
        <v>0</v>
      </c>
    </row>
    <row r="42" spans="47:49" ht="18.75" x14ac:dyDescent="0.3">
      <c r="AU42" s="43" t="s">
        <v>73</v>
      </c>
      <c r="AV42" s="41">
        <f t="shared" si="4"/>
        <v>0.59916117435590177</v>
      </c>
      <c r="AW42" s="41">
        <f>SUM(AW18:AW41)</f>
        <v>0</v>
      </c>
    </row>
    <row r="43" spans="47:49" ht="18.75" x14ac:dyDescent="0.3">
      <c r="AU43" s="43" t="s">
        <v>23</v>
      </c>
      <c r="AV43" s="41">
        <f t="shared" si="4"/>
        <v>0.59916117435590177</v>
      </c>
      <c r="AW43" s="41"/>
    </row>
    <row r="44" spans="47:49" ht="18.75" x14ac:dyDescent="0.3">
      <c r="AU44" s="43" t="s">
        <v>24</v>
      </c>
      <c r="AV44" s="41">
        <f t="shared" si="4"/>
        <v>0.59916117435590177</v>
      </c>
      <c r="AW44" s="41"/>
    </row>
    <row r="45" spans="47:49" ht="18.75" x14ac:dyDescent="0.3">
      <c r="AU45" s="43" t="s">
        <v>83</v>
      </c>
      <c r="AV45" s="41">
        <f t="shared" si="4"/>
        <v>0.59916117435590177</v>
      </c>
      <c r="AW45" s="41"/>
    </row>
    <row r="46" spans="47:49" ht="18.75" x14ac:dyDescent="0.3">
      <c r="AU46" s="43" t="s">
        <v>75</v>
      </c>
      <c r="AV46" s="41">
        <f t="shared" si="4"/>
        <v>0.59916117435590177</v>
      </c>
      <c r="AW46" s="41"/>
    </row>
    <row r="47" spans="47:49" ht="18.75" x14ac:dyDescent="0.3">
      <c r="AU47" s="43" t="s">
        <v>76</v>
      </c>
      <c r="AV47" s="41">
        <f t="shared" si="4"/>
        <v>0.59916117435590177</v>
      </c>
      <c r="AW47" s="41"/>
    </row>
    <row r="48" spans="47:49" ht="18.75" x14ac:dyDescent="0.3">
      <c r="AU48" s="43" t="s">
        <v>77</v>
      </c>
      <c r="AV48" s="41">
        <f t="shared" si="4"/>
        <v>0.59916117435590177</v>
      </c>
      <c r="AW48" s="41"/>
    </row>
    <row r="49" spans="47:49" ht="18.75" x14ac:dyDescent="0.3">
      <c r="AU49" s="43" t="s">
        <v>84</v>
      </c>
      <c r="AV49" s="41">
        <f t="shared" si="4"/>
        <v>0.59916117435590177</v>
      </c>
      <c r="AW49" s="41"/>
    </row>
    <row r="50" spans="47:49" ht="18.75" x14ac:dyDescent="0.3">
      <c r="AU50" s="43" t="s">
        <v>85</v>
      </c>
      <c r="AV50" s="41">
        <f t="shared" si="4"/>
        <v>0.59916117435590177</v>
      </c>
      <c r="AW50" s="41"/>
    </row>
    <row r="51" spans="47:49" ht="18.75" x14ac:dyDescent="0.3">
      <c r="AU51" s="43" t="s">
        <v>86</v>
      </c>
      <c r="AV51" s="41">
        <f t="shared" si="4"/>
        <v>0.59916117435590177</v>
      </c>
      <c r="AW51" s="41"/>
    </row>
    <row r="52" spans="47:49" ht="18.75" x14ac:dyDescent="0.3">
      <c r="AU52" s="43" t="s">
        <v>87</v>
      </c>
      <c r="AV52" s="41">
        <f t="shared" si="4"/>
        <v>0.59916117435590177</v>
      </c>
      <c r="AW52" s="41"/>
    </row>
    <row r="53" spans="47:49" ht="18.75" x14ac:dyDescent="0.3">
      <c r="AU53" s="43" t="s">
        <v>32</v>
      </c>
      <c r="AV53" s="41">
        <f t="shared" si="4"/>
        <v>0.59916117435590177</v>
      </c>
      <c r="AW53" s="41"/>
    </row>
    <row r="54" spans="47:49" ht="18.75" x14ac:dyDescent="0.3">
      <c r="AU54" s="43" t="s">
        <v>88</v>
      </c>
      <c r="AV54" s="41">
        <f t="shared" si="4"/>
        <v>0.59916117435590177</v>
      </c>
      <c r="AW54" s="41"/>
    </row>
    <row r="55" spans="47:49" ht="18.75" x14ac:dyDescent="0.3">
      <c r="AU55" s="43" t="s">
        <v>47</v>
      </c>
      <c r="AV55" s="41">
        <f t="shared" si="4"/>
        <v>0.59916117435590177</v>
      </c>
      <c r="AW55" s="41"/>
    </row>
    <row r="56" spans="47:49" ht="18.75" x14ac:dyDescent="0.3">
      <c r="AU56" s="43" t="s">
        <v>66</v>
      </c>
      <c r="AV56" s="41">
        <f t="shared" si="4"/>
        <v>0.59916117435590177</v>
      </c>
      <c r="AW56" s="41"/>
    </row>
  </sheetData>
  <conditionalFormatting sqref="B10:AP10">
    <cfRule type="expression" dxfId="15" priority="1">
      <formula>B10=B9</formula>
    </cfRule>
  </conditionalFormatting>
  <printOptions horizontalCentered="1" verticalCentered="1"/>
  <pageMargins left="0.11811023622047245" right="0.11811023622047245" top="0.74803149606299213" bottom="0.74803149606299213" header="0.31496062992125984" footer="0.31496062992125984"/>
  <pageSetup paperSize="4636" scale="51" orientation="landscape" horizont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01F7-3C6C-4DC7-ABF3-05587FABEA72}">
  <sheetPr codeName="Hoja3"/>
  <dimension ref="A1:W41"/>
  <sheetViews>
    <sheetView zoomScaleNormal="100" zoomScaleSheetLayoutView="100" workbookViewId="0">
      <selection activeCell="L3" sqref="L3"/>
    </sheetView>
  </sheetViews>
  <sheetFormatPr baseColWidth="10" defaultRowHeight="15" x14ac:dyDescent="0.25"/>
  <cols>
    <col min="1" max="1" width="23.85546875" bestFit="1" customWidth="1"/>
    <col min="2" max="4" width="4.7109375" bestFit="1" customWidth="1"/>
    <col min="5" max="6" width="7.140625" bestFit="1" customWidth="1"/>
    <col min="7" max="7" width="4.7109375" bestFit="1" customWidth="1"/>
    <col min="8" max="8" width="7.140625" bestFit="1" customWidth="1"/>
    <col min="9" max="9" width="4.7109375" bestFit="1" customWidth="1"/>
    <col min="10" max="11" width="7.140625" bestFit="1" customWidth="1"/>
    <col min="12" max="12" width="4.7109375" bestFit="1" customWidth="1"/>
    <col min="13" max="14" width="5.140625" bestFit="1" customWidth="1"/>
    <col min="15" max="15" width="7.5703125" customWidth="1"/>
    <col min="16" max="16" width="6.42578125" bestFit="1" customWidth="1"/>
    <col min="17" max="17" width="31.42578125" customWidth="1"/>
    <col min="21" max="21" width="33.7109375" bestFit="1" customWidth="1"/>
    <col min="23" max="23" width="14.7109375" bestFit="1" customWidth="1"/>
  </cols>
  <sheetData>
    <row r="1" spans="1:23" ht="16.5" thickBot="1" x14ac:dyDescent="0.3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spans="1:23" ht="96" customHeight="1" thickBot="1" x14ac:dyDescent="0.3">
      <c r="A2" s="50"/>
      <c r="B2" s="51" t="s">
        <v>7</v>
      </c>
      <c r="C2" s="51" t="s">
        <v>8</v>
      </c>
      <c r="D2" s="51" t="s">
        <v>9</v>
      </c>
      <c r="E2" s="51" t="s">
        <v>10</v>
      </c>
      <c r="F2" s="51" t="s">
        <v>11</v>
      </c>
      <c r="G2" s="51" t="s">
        <v>13</v>
      </c>
      <c r="H2" s="51" t="s">
        <v>14</v>
      </c>
      <c r="I2" s="51" t="s">
        <v>23</v>
      </c>
      <c r="J2" s="51" t="s">
        <v>25</v>
      </c>
      <c r="K2" s="51" t="s">
        <v>26</v>
      </c>
      <c r="L2" s="51" t="s">
        <v>27</v>
      </c>
      <c r="M2" s="51" t="s">
        <v>47</v>
      </c>
      <c r="N2" s="51" t="s">
        <v>66</v>
      </c>
      <c r="O2" s="51" t="s">
        <v>42</v>
      </c>
      <c r="P2" s="51" t="s">
        <v>34</v>
      </c>
    </row>
    <row r="3" spans="1:23" ht="15.75" x14ac:dyDescent="0.25">
      <c r="A3" s="45" t="s">
        <v>35</v>
      </c>
      <c r="B3" s="52">
        <v>30</v>
      </c>
      <c r="C3" s="52">
        <v>41</v>
      </c>
      <c r="D3" s="52">
        <v>25</v>
      </c>
      <c r="E3" s="52">
        <v>25</v>
      </c>
      <c r="F3" s="52">
        <v>30</v>
      </c>
      <c r="G3" s="52">
        <v>25</v>
      </c>
      <c r="H3" s="52">
        <v>14</v>
      </c>
      <c r="I3" s="52">
        <v>30</v>
      </c>
      <c r="J3" s="52">
        <v>14</v>
      </c>
      <c r="K3" s="52">
        <v>10</v>
      </c>
      <c r="L3" s="52">
        <v>15</v>
      </c>
      <c r="M3" s="64">
        <v>150</v>
      </c>
      <c r="N3" s="64">
        <v>130</v>
      </c>
      <c r="O3" s="64">
        <v>80</v>
      </c>
      <c r="P3" s="53">
        <f>SUM(B3:O3)</f>
        <v>619</v>
      </c>
      <c r="Q3" s="63">
        <v>619</v>
      </c>
    </row>
    <row r="4" spans="1:23" ht="15.75" x14ac:dyDescent="0.25">
      <c r="A4" s="46" t="s">
        <v>36</v>
      </c>
      <c r="B4" s="54">
        <v>17</v>
      </c>
      <c r="C4" s="54">
        <v>11</v>
      </c>
      <c r="D4" s="54">
        <v>30</v>
      </c>
      <c r="E4" s="54">
        <v>10</v>
      </c>
      <c r="F4" s="54">
        <v>15</v>
      </c>
      <c r="G4" s="54">
        <v>10</v>
      </c>
      <c r="H4" s="54">
        <v>7</v>
      </c>
      <c r="I4" s="54">
        <v>28</v>
      </c>
      <c r="J4" s="54">
        <v>5</v>
      </c>
      <c r="K4" s="54">
        <v>5</v>
      </c>
      <c r="L4" s="54">
        <v>5</v>
      </c>
      <c r="M4" s="65"/>
      <c r="N4" s="65"/>
      <c r="O4" s="65"/>
      <c r="P4" s="55">
        <f>SUM(B4:O4)</f>
        <v>143</v>
      </c>
      <c r="Q4" s="44">
        <v>143</v>
      </c>
    </row>
    <row r="5" spans="1:23" ht="16.5" thickBot="1" x14ac:dyDescent="0.3">
      <c r="A5" s="46" t="s">
        <v>37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65"/>
      <c r="N5" s="65"/>
      <c r="O5" s="65"/>
      <c r="P5" s="56">
        <f>SUM(B5:O5)</f>
        <v>0</v>
      </c>
    </row>
    <row r="6" spans="1:23" ht="16.5" thickBot="1" x14ac:dyDescent="0.3">
      <c r="A6" s="47" t="s">
        <v>48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66"/>
      <c r="N6" s="66"/>
      <c r="O6" s="66"/>
      <c r="P6" s="58">
        <f>SUM(B6:O6)</f>
        <v>0</v>
      </c>
      <c r="V6">
        <v>1509</v>
      </c>
    </row>
    <row r="7" spans="1:23" ht="16.5" thickBot="1" x14ac:dyDescent="0.3">
      <c r="A7" s="48" t="s">
        <v>38</v>
      </c>
      <c r="B7" s="60">
        <v>47</v>
      </c>
      <c r="C7" s="60">
        <v>77</v>
      </c>
      <c r="D7" s="60">
        <v>55</v>
      </c>
      <c r="E7" s="60">
        <v>59</v>
      </c>
      <c r="F7" s="60">
        <v>45</v>
      </c>
      <c r="G7" s="60">
        <v>59</v>
      </c>
      <c r="H7" s="60">
        <v>21</v>
      </c>
      <c r="I7" s="60">
        <v>66</v>
      </c>
      <c r="J7" s="60">
        <v>19</v>
      </c>
      <c r="K7" s="60">
        <v>15</v>
      </c>
      <c r="L7" s="60">
        <v>20</v>
      </c>
      <c r="M7" s="67">
        <v>150</v>
      </c>
      <c r="N7" s="67">
        <v>130</v>
      </c>
      <c r="O7" s="67">
        <v>80</v>
      </c>
      <c r="P7" s="61">
        <f>SUM(B7:O7)</f>
        <v>843</v>
      </c>
    </row>
    <row r="8" spans="1:23" ht="16.5" thickBot="1" x14ac:dyDescent="0.3">
      <c r="A8" s="49" t="s">
        <v>40</v>
      </c>
      <c r="B8" s="62">
        <f t="shared" ref="B8:O8" si="0">IF(SUM(B3:B6)=0,"-",SUM(B3:B6))</f>
        <v>47</v>
      </c>
      <c r="C8" s="62">
        <f t="shared" si="0"/>
        <v>52</v>
      </c>
      <c r="D8" s="62">
        <f t="shared" si="0"/>
        <v>55</v>
      </c>
      <c r="E8" s="62">
        <f t="shared" si="0"/>
        <v>35</v>
      </c>
      <c r="F8" s="62">
        <f t="shared" si="0"/>
        <v>45</v>
      </c>
      <c r="G8" s="62">
        <f t="shared" si="0"/>
        <v>35</v>
      </c>
      <c r="H8" s="62">
        <f t="shared" si="0"/>
        <v>21</v>
      </c>
      <c r="I8" s="62">
        <f t="shared" si="0"/>
        <v>58</v>
      </c>
      <c r="J8" s="62">
        <f t="shared" si="0"/>
        <v>19</v>
      </c>
      <c r="K8" s="62">
        <f t="shared" si="0"/>
        <v>15</v>
      </c>
      <c r="L8" s="62">
        <f t="shared" si="0"/>
        <v>20</v>
      </c>
      <c r="M8" s="50">
        <f t="shared" si="0"/>
        <v>150</v>
      </c>
      <c r="N8" s="50">
        <f t="shared" si="0"/>
        <v>130</v>
      </c>
      <c r="O8" s="50">
        <f t="shared" si="0"/>
        <v>80</v>
      </c>
      <c r="P8" s="50">
        <f>IF(SUM(P3:P5)=0,"-",SUM(P3:P5))</f>
        <v>762</v>
      </c>
    </row>
    <row r="9" spans="1:23" ht="16.5" customHeight="1" thickBot="1" x14ac:dyDescent="0.3"/>
    <row r="10" spans="1:23" ht="16.5" customHeight="1" thickBot="1" x14ac:dyDescent="0.3">
      <c r="A10" s="117" t="s">
        <v>41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9">
        <f>SUM(B10:O10)</f>
        <v>0</v>
      </c>
      <c r="Q10" s="22" t="s">
        <v>45</v>
      </c>
    </row>
    <row r="11" spans="1:23" ht="16.5" customHeight="1" thickBot="1" x14ac:dyDescent="0.3">
      <c r="A11" s="1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9">
        <f>SUM(B11:O11)</f>
        <v>0</v>
      </c>
      <c r="Q11" s="22" t="s">
        <v>44</v>
      </c>
    </row>
    <row r="12" spans="1:23" ht="16.5" customHeight="1" thickBot="1" x14ac:dyDescent="0.3">
      <c r="A12" s="1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9">
        <f>SUM(B12:O12)</f>
        <v>0</v>
      </c>
    </row>
    <row r="13" spans="1:23" ht="16.5" customHeight="1" thickBot="1" x14ac:dyDescent="0.3">
      <c r="A13" s="1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9">
        <f>SUM(B13:O13)</f>
        <v>0</v>
      </c>
    </row>
    <row r="14" spans="1:23" ht="16.5" customHeight="1" thickBot="1" x14ac:dyDescent="0.3">
      <c r="A14" s="119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9">
        <f>SUM(B14:O14)</f>
        <v>0</v>
      </c>
    </row>
    <row r="15" spans="1:23" ht="16.5" customHeight="1" x14ac:dyDescent="0.3">
      <c r="U15" s="40" t="s">
        <v>64</v>
      </c>
      <c r="V15" s="41"/>
      <c r="W15" s="40" t="s">
        <v>65</v>
      </c>
    </row>
    <row r="16" spans="1:23" ht="18.75" x14ac:dyDescent="0.3">
      <c r="U16" s="41" t="s">
        <v>0</v>
      </c>
      <c r="V16" s="41" t="e">
        <f>#REF!*100/P3</f>
        <v>#REF!</v>
      </c>
      <c r="W16" s="41" t="e">
        <f>V16*V6/100</f>
        <v>#REF!</v>
      </c>
    </row>
    <row r="17" spans="9:23" ht="18.75" x14ac:dyDescent="0.3">
      <c r="I17" t="e">
        <f>#REF!-#REF!</f>
        <v>#REF!</v>
      </c>
      <c r="M17">
        <v>1358</v>
      </c>
      <c r="N17">
        <v>40</v>
      </c>
      <c r="O17" t="e">
        <f>#REF!-M17-N17</f>
        <v>#REF!</v>
      </c>
      <c r="U17" s="42" t="s">
        <v>1</v>
      </c>
      <c r="V17" s="41" t="e">
        <f>#REF!*100/P3</f>
        <v>#REF!</v>
      </c>
      <c r="W17" s="41" t="e">
        <f>V17*V6/100</f>
        <v>#REF!</v>
      </c>
    </row>
    <row r="18" spans="9:23" ht="18.75" x14ac:dyDescent="0.3">
      <c r="O18">
        <v>3340</v>
      </c>
      <c r="U18" s="41" t="s">
        <v>50</v>
      </c>
      <c r="V18" s="41" t="e">
        <f>#REF!*100/P3</f>
        <v>#REF!</v>
      </c>
      <c r="W18" s="41" t="e">
        <f>V18*V6/100</f>
        <v>#REF!</v>
      </c>
    </row>
    <row r="19" spans="9:23" ht="18.75" x14ac:dyDescent="0.3">
      <c r="O19" t="e">
        <f>O18-O17</f>
        <v>#REF!</v>
      </c>
      <c r="U19" s="41" t="s">
        <v>3</v>
      </c>
      <c r="V19" s="41" t="e">
        <f>#REF!*100/P3</f>
        <v>#REF!</v>
      </c>
      <c r="W19" s="41" t="e">
        <f>V19*V6/100</f>
        <v>#REF!</v>
      </c>
    </row>
    <row r="20" spans="9:23" ht="18.75" x14ac:dyDescent="0.3">
      <c r="N20" t="e">
        <f>O19-(SUM(N17,M17))</f>
        <v>#REF!</v>
      </c>
      <c r="O20">
        <v>1398</v>
      </c>
      <c r="U20" s="41" t="s">
        <v>4</v>
      </c>
      <c r="V20" s="41" t="e">
        <f>#REF!*100/P3</f>
        <v>#REF!</v>
      </c>
      <c r="W20" s="41" t="e">
        <f>V20*V6/100</f>
        <v>#REF!</v>
      </c>
    </row>
    <row r="21" spans="9:23" ht="18.75" x14ac:dyDescent="0.3">
      <c r="O21" t="e">
        <f>O19-O20</f>
        <v>#REF!</v>
      </c>
      <c r="U21" s="42" t="s">
        <v>51</v>
      </c>
      <c r="V21" s="41" t="e">
        <f>#REF!*100/P3</f>
        <v>#REF!</v>
      </c>
      <c r="W21" s="41" t="e">
        <f>V21*V6/100</f>
        <v>#REF!</v>
      </c>
    </row>
    <row r="22" spans="9:23" ht="18.75" x14ac:dyDescent="0.3">
      <c r="U22" s="42" t="s">
        <v>6</v>
      </c>
      <c r="V22" s="41" t="e">
        <f>#REF!*100/P3</f>
        <v>#REF!</v>
      </c>
      <c r="W22" s="41" t="e">
        <f>V22*V6/100</f>
        <v>#REF!</v>
      </c>
    </row>
    <row r="23" spans="9:23" ht="18.75" x14ac:dyDescent="0.3">
      <c r="U23" s="41" t="s">
        <v>7</v>
      </c>
      <c r="V23" s="41">
        <f>B3*100/P3</f>
        <v>4.8465266558966071</v>
      </c>
      <c r="W23" s="41">
        <f>V23*$V$6/100</f>
        <v>73.134087237479804</v>
      </c>
    </row>
    <row r="24" spans="9:23" ht="18.75" x14ac:dyDescent="0.3">
      <c r="U24" s="41" t="s">
        <v>57</v>
      </c>
      <c r="V24" s="41">
        <f>C3*100/P3</f>
        <v>6.6235864297253633</v>
      </c>
      <c r="W24" s="41">
        <f t="shared" ref="W24:W31" si="1">V24*$V$6/100</f>
        <v>99.949919224555728</v>
      </c>
    </row>
    <row r="25" spans="9:23" ht="18.75" x14ac:dyDescent="0.3">
      <c r="U25" s="41" t="s">
        <v>58</v>
      </c>
      <c r="V25" s="41">
        <f>D3*100/P3</f>
        <v>4.0387722132471726</v>
      </c>
      <c r="W25" s="41">
        <f t="shared" si="1"/>
        <v>60.945072697899832</v>
      </c>
    </row>
    <row r="26" spans="9:23" ht="18.75" x14ac:dyDescent="0.3">
      <c r="U26" s="41" t="s">
        <v>10</v>
      </c>
      <c r="V26" s="41">
        <f>E3*100/P3</f>
        <v>4.0387722132471726</v>
      </c>
      <c r="W26" s="41">
        <f t="shared" si="1"/>
        <v>60.945072697899832</v>
      </c>
    </row>
    <row r="27" spans="9:23" ht="18.75" x14ac:dyDescent="0.3">
      <c r="U27" s="41" t="s">
        <v>11</v>
      </c>
      <c r="V27" s="41">
        <f>F3*100/P3</f>
        <v>4.8465266558966071</v>
      </c>
      <c r="W27" s="41">
        <f t="shared" si="1"/>
        <v>73.134087237479804</v>
      </c>
    </row>
    <row r="28" spans="9:23" ht="18.75" x14ac:dyDescent="0.3">
      <c r="U28" s="41" t="s">
        <v>59</v>
      </c>
      <c r="V28" s="41" t="e">
        <f>#REF!*100/P3</f>
        <v>#REF!</v>
      </c>
      <c r="W28" s="41" t="e">
        <f t="shared" si="1"/>
        <v>#REF!</v>
      </c>
    </row>
    <row r="29" spans="9:23" ht="18.75" x14ac:dyDescent="0.3">
      <c r="U29" s="41" t="s">
        <v>60</v>
      </c>
      <c r="V29" s="41">
        <f>G3*100/P3</f>
        <v>4.0387722132471726</v>
      </c>
      <c r="W29" s="41">
        <f t="shared" si="1"/>
        <v>60.945072697899832</v>
      </c>
    </row>
    <row r="30" spans="9:23" ht="18.75" x14ac:dyDescent="0.3">
      <c r="U30" s="41" t="s">
        <v>14</v>
      </c>
      <c r="V30" s="41">
        <f>H3*100/P3</f>
        <v>2.2617124394184169</v>
      </c>
      <c r="W30" s="41">
        <f t="shared" si="1"/>
        <v>34.129240710823908</v>
      </c>
    </row>
    <row r="31" spans="9:23" ht="18.75" x14ac:dyDescent="0.3">
      <c r="U31" s="41" t="s">
        <v>61</v>
      </c>
      <c r="V31" s="41" t="e">
        <f>#REF!*100/P3</f>
        <v>#REF!</v>
      </c>
      <c r="W31" s="41" t="e">
        <f t="shared" si="1"/>
        <v>#REF!</v>
      </c>
    </row>
    <row r="32" spans="9:23" ht="18.75" x14ac:dyDescent="0.3">
      <c r="U32" s="42" t="s">
        <v>62</v>
      </c>
      <c r="V32" s="41" t="e">
        <f>#REF!*100/P3</f>
        <v>#REF!</v>
      </c>
      <c r="W32" s="41" t="e">
        <f>V32*V6/100</f>
        <v>#REF!</v>
      </c>
    </row>
    <row r="33" spans="21:23" ht="18.75" x14ac:dyDescent="0.3">
      <c r="U33" s="42" t="s">
        <v>52</v>
      </c>
      <c r="V33" s="41" t="e">
        <f>#REF!*100/P3</f>
        <v>#REF!</v>
      </c>
      <c r="W33" s="41" t="e">
        <f>V33*V6/100</f>
        <v>#REF!</v>
      </c>
    </row>
    <row r="34" spans="21:23" ht="18.75" x14ac:dyDescent="0.3">
      <c r="U34" s="42" t="s">
        <v>63</v>
      </c>
      <c r="V34" s="41" t="e">
        <f>#REF!*100/P3</f>
        <v>#REF!</v>
      </c>
      <c r="W34" s="41" t="e">
        <f>V34*V6/100</f>
        <v>#REF!</v>
      </c>
    </row>
    <row r="35" spans="21:23" ht="18.75" x14ac:dyDescent="0.3">
      <c r="U35" s="43" t="s">
        <v>23</v>
      </c>
      <c r="V35" s="41">
        <f>I3*100/P3</f>
        <v>4.8465266558966071</v>
      </c>
      <c r="W35" s="41">
        <f>V35*V6/100</f>
        <v>73.134087237479804</v>
      </c>
    </row>
    <row r="36" spans="21:23" ht="18.75" x14ac:dyDescent="0.3">
      <c r="U36" s="42" t="s">
        <v>53</v>
      </c>
      <c r="V36" s="41" t="e">
        <f>#REF!*100/P3</f>
        <v>#REF!</v>
      </c>
      <c r="W36" s="41" t="e">
        <f>V36*V6/100</f>
        <v>#REF!</v>
      </c>
    </row>
    <row r="37" spans="21:23" ht="18.75" x14ac:dyDescent="0.3">
      <c r="U37" s="42" t="s">
        <v>54</v>
      </c>
      <c r="V37" s="41" t="e">
        <f>#REF!*100/P3</f>
        <v>#REF!</v>
      </c>
      <c r="W37" s="41" t="e">
        <f>V37*V6/100</f>
        <v>#REF!</v>
      </c>
    </row>
    <row r="38" spans="21:23" ht="18.75" x14ac:dyDescent="0.3">
      <c r="U38" s="42" t="s">
        <v>55</v>
      </c>
      <c r="V38" s="41" t="e">
        <f>#REF!*100/P3</f>
        <v>#REF!</v>
      </c>
      <c r="W38" s="41" t="e">
        <f>V38*V6/100</f>
        <v>#REF!</v>
      </c>
    </row>
    <row r="39" spans="21:23" ht="18.75" x14ac:dyDescent="0.3">
      <c r="U39" s="43" t="s">
        <v>32</v>
      </c>
      <c r="V39" s="41" t="e">
        <f>#REF!*100/P3</f>
        <v>#REF!</v>
      </c>
      <c r="W39" s="41" t="e">
        <f>V39*V6/100</f>
        <v>#REF!</v>
      </c>
    </row>
    <row r="40" spans="21:23" ht="18.75" x14ac:dyDescent="0.3">
      <c r="U40" s="42" t="s">
        <v>56</v>
      </c>
      <c r="V40" s="41" t="e">
        <f>#REF!*100/P3</f>
        <v>#REF!</v>
      </c>
      <c r="W40" s="41" t="e">
        <f>V40*V6/100</f>
        <v>#REF!</v>
      </c>
    </row>
    <row r="41" spans="21:23" ht="18.75" x14ac:dyDescent="0.3">
      <c r="U41" s="43" t="s">
        <v>34</v>
      </c>
      <c r="V41" s="41"/>
      <c r="W41" s="41" t="e">
        <f>SUM(W16:W40)</f>
        <v>#REF!</v>
      </c>
    </row>
  </sheetData>
  <mergeCells count="1">
    <mergeCell ref="A10:A14"/>
  </mergeCells>
  <conditionalFormatting sqref="B8">
    <cfRule type="cellIs" dxfId="14" priority="16" operator="equal">
      <formula>$B$7</formula>
    </cfRule>
  </conditionalFormatting>
  <conditionalFormatting sqref="C8">
    <cfRule type="cellIs" dxfId="13" priority="15" operator="equal">
      <formula>$C$7</formula>
    </cfRule>
  </conditionalFormatting>
  <conditionalFormatting sqref="D8">
    <cfRule type="cellIs" dxfId="12" priority="14" operator="equal">
      <formula>$D$7</formula>
    </cfRule>
  </conditionalFormatting>
  <conditionalFormatting sqref="E8">
    <cfRule type="cellIs" dxfId="11" priority="13" operator="equal">
      <formula>$E$7</formula>
    </cfRule>
  </conditionalFormatting>
  <conditionalFormatting sqref="F8">
    <cfRule type="cellIs" dxfId="10" priority="1" operator="equal">
      <formula>$F$7</formula>
    </cfRule>
    <cfRule type="cellIs" dxfId="9" priority="12" operator="equal">
      <formula>$F$7</formula>
    </cfRule>
  </conditionalFormatting>
  <conditionalFormatting sqref="G8">
    <cfRule type="cellIs" dxfId="8" priority="11" operator="equal">
      <formula>$G$7</formula>
    </cfRule>
  </conditionalFormatting>
  <conditionalFormatting sqref="H8">
    <cfRule type="cellIs" dxfId="7" priority="10" operator="equal">
      <formula>$H$7</formula>
    </cfRule>
  </conditionalFormatting>
  <conditionalFormatting sqref="I8">
    <cfRule type="cellIs" dxfId="6" priority="9" operator="equal">
      <formula>$I$7</formula>
    </cfRule>
  </conditionalFormatting>
  <conditionalFormatting sqref="J8">
    <cfRule type="cellIs" dxfId="5" priority="8" operator="equal">
      <formula>$J$7</formula>
    </cfRule>
  </conditionalFormatting>
  <conditionalFormatting sqref="K8">
    <cfRule type="cellIs" dxfId="4" priority="7" operator="equal">
      <formula>$K$7</formula>
    </cfRule>
  </conditionalFormatting>
  <conditionalFormatting sqref="L8">
    <cfRule type="cellIs" dxfId="3" priority="6" operator="equal">
      <formula>$L$7</formula>
    </cfRule>
  </conditionalFormatting>
  <conditionalFormatting sqref="M8:N8">
    <cfRule type="cellIs" dxfId="2" priority="5" operator="equal">
      <formula>$M$7</formula>
    </cfRule>
  </conditionalFormatting>
  <conditionalFormatting sqref="N8">
    <cfRule type="cellIs" dxfId="1" priority="2" operator="equal">
      <formula>$N$7</formula>
    </cfRule>
  </conditionalFormatting>
  <conditionalFormatting sqref="O8">
    <cfRule type="cellIs" dxfId="0" priority="3" operator="equal">
      <formula>$O$7</formula>
    </cfRule>
  </conditionalFormatting>
  <printOptions horizontalCentered="1" verticalCentered="1"/>
  <pageMargins left="0.11811023622047245" right="0.11811023622047245" top="0.74803149606299213" bottom="0.74803149606299213" header="0.31496062992125984" footer="0.31496062992125984"/>
  <pageSetup orientation="landscape" horizont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Hoja1</vt:lpstr>
      <vt:lpstr>Hoja2</vt:lpstr>
      <vt:lpstr>Distribución 2021</vt:lpstr>
      <vt:lpstr>'Distribución 2021'!Área_de_impresión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QUERETARO-PC</dc:creator>
  <cp:lastModifiedBy>Carlos Becerra</cp:lastModifiedBy>
  <cp:lastPrinted>2025-12-11T14:50:24Z</cp:lastPrinted>
  <dcterms:created xsi:type="dcterms:W3CDTF">2019-11-14T20:53:14Z</dcterms:created>
  <dcterms:modified xsi:type="dcterms:W3CDTF">2025-12-11T14:50:25Z</dcterms:modified>
</cp:coreProperties>
</file>