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B\Desktop\Influenza\Influenza 2025-2026\"/>
    </mc:Choice>
  </mc:AlternateContent>
  <xr:revisionPtr revIDLastSave="0" documentId="13_ncr:1_{8633CA51-E704-4D8B-A167-A5BBB7556079}" xr6:coauthVersionLast="47" xr6:coauthVersionMax="47" xr10:uidLastSave="{00000000-0000-0000-0000-000000000000}"/>
  <bookViews>
    <workbookView xWindow="-120" yWindow="-120" windowWidth="24240" windowHeight="13020" xr2:uid="{A311AD69-1F65-493E-8C58-623D129104CB}"/>
  </bookViews>
  <sheets>
    <sheet name="METAS UNIDADES URBANAS" sheetId="1" r:id="rId1"/>
    <sheet name="METAS UNIDADES RURALES" sheetId="3" r:id="rId2"/>
    <sheet name="Comparación" sheetId="4" state="hidden" r:id="rId3"/>
    <sheet name="DISTRIBUCIÓN DE JERINGA" sheetId="6" state="hidden" r:id="rId4"/>
    <sheet name="RUTA 1" sheetId="9" state="hidden" r:id="rId5"/>
    <sheet name="RUTA 2" sheetId="10" state="hidden" r:id="rId6"/>
    <sheet name="RUTA 3" sheetId="11" state="hidden" r:id="rId7"/>
    <sheet name="CARAVANAS" sheetId="12" state="hidden" r:id="rId8"/>
    <sheet name="CLUES JS1" sheetId="8" state="hidden" r:id="rId9"/>
  </sheets>
  <definedNames>
    <definedName name="_xlnm._FilterDatabase" localSheetId="8" hidden="1">'CLUES JS1'!$A$44:$F$95</definedName>
    <definedName name="_xlnm.Print_Area" localSheetId="8">'CLUES JS1'!$A$1:$F$95</definedName>
    <definedName name="_xlnm.Print_Area" localSheetId="1">'METAS UNIDADES RURALES'!$A$1:$AA$61</definedName>
    <definedName name="_xlnm.Print_Area" localSheetId="0">'METAS UNIDADES URBANAS'!$A$1:$AA$61</definedName>
    <definedName name="temp" localSheetId="8">'CLUES JS1'!$B$5:$D$96</definedName>
    <definedName name="_xlnm.Print_Titles" localSheetId="1">'METAS UNIDADES RURALES'!$B:$F</definedName>
    <definedName name="_xlnm.Print_Titles" localSheetId="0">'METAS UNIDADES URBANAS'!$B:$F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59" i="3" l="1"/>
  <c r="AA60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G60" i="3"/>
  <c r="G59" i="3"/>
  <c r="AA33" i="1"/>
  <c r="AA36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G60" i="1"/>
  <c r="G59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4" i="1"/>
  <c r="AA35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11" i="1"/>
  <c r="AA60" i="1" l="1"/>
  <c r="D2" i="6"/>
  <c r="A2" i="9"/>
  <c r="A3" i="9"/>
  <c r="A12" i="12"/>
  <c r="A11" i="12"/>
  <c r="A10" i="12"/>
  <c r="A9" i="12"/>
  <c r="A8" i="12"/>
  <c r="A7" i="12"/>
  <c r="A6" i="12"/>
  <c r="A5" i="12"/>
  <c r="A4" i="12"/>
  <c r="A3" i="12"/>
  <c r="A9" i="11"/>
  <c r="A8" i="11"/>
  <c r="A7" i="11"/>
  <c r="A6" i="11"/>
  <c r="A5" i="11"/>
  <c r="A4" i="11"/>
  <c r="A3" i="11"/>
  <c r="A2" i="11"/>
  <c r="A9" i="10"/>
  <c r="A8" i="10"/>
  <c r="A7" i="10"/>
  <c r="A6" i="10"/>
  <c r="A5" i="10"/>
  <c r="A4" i="10"/>
  <c r="A3" i="10"/>
  <c r="A2" i="10"/>
  <c r="A9" i="9"/>
  <c r="A8" i="9"/>
  <c r="A7" i="9"/>
  <c r="A6" i="9"/>
  <c r="A5" i="9"/>
  <c r="A4" i="9"/>
  <c r="E3" i="6"/>
  <c r="F3" i="6"/>
  <c r="E4" i="6"/>
  <c r="F4" i="6"/>
  <c r="E5" i="6"/>
  <c r="F5" i="6"/>
  <c r="E6" i="6"/>
  <c r="F6" i="6"/>
  <c r="E7" i="6"/>
  <c r="F7" i="6"/>
  <c r="E8" i="6"/>
  <c r="F8" i="6"/>
  <c r="E9" i="6"/>
  <c r="F9" i="6"/>
  <c r="E10" i="6"/>
  <c r="F10" i="6"/>
  <c r="E11" i="6"/>
  <c r="F11" i="6"/>
  <c r="E12" i="6"/>
  <c r="F12" i="6"/>
  <c r="E13" i="6"/>
  <c r="F13" i="6"/>
  <c r="E14" i="6"/>
  <c r="F14" i="6"/>
  <c r="E15" i="6"/>
  <c r="F15" i="6"/>
  <c r="E16" i="6"/>
  <c r="F16" i="6"/>
  <c r="E17" i="6"/>
  <c r="F17" i="6"/>
  <c r="E18" i="6"/>
  <c r="F18" i="6"/>
  <c r="E19" i="6"/>
  <c r="F19" i="6"/>
  <c r="E20" i="6"/>
  <c r="F20" i="6"/>
  <c r="E21" i="6"/>
  <c r="F21" i="6"/>
  <c r="E22" i="6"/>
  <c r="F22" i="6"/>
  <c r="E23" i="6"/>
  <c r="F23" i="6"/>
  <c r="E24" i="6"/>
  <c r="F24" i="6"/>
  <c r="E25" i="6"/>
  <c r="F25" i="6"/>
  <c r="E26" i="6"/>
  <c r="F26" i="6"/>
  <c r="E27" i="6"/>
  <c r="F27" i="6"/>
  <c r="E28" i="6"/>
  <c r="F28" i="6"/>
  <c r="E29" i="6"/>
  <c r="F29" i="6"/>
  <c r="E30" i="6"/>
  <c r="F30" i="6"/>
  <c r="E31" i="6"/>
  <c r="F31" i="6"/>
  <c r="E32" i="6"/>
  <c r="F32" i="6"/>
  <c r="E33" i="6"/>
  <c r="F33" i="6"/>
  <c r="E34" i="6"/>
  <c r="F34" i="6"/>
  <c r="E35" i="6"/>
  <c r="F35" i="6"/>
  <c r="E36" i="6"/>
  <c r="F36" i="6"/>
  <c r="E37" i="6"/>
  <c r="F37" i="6"/>
  <c r="E38" i="6"/>
  <c r="F38" i="6"/>
  <c r="E39" i="6"/>
  <c r="F39" i="6"/>
  <c r="F2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2" i="6"/>
  <c r="C2" i="6"/>
  <c r="C3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2" i="6"/>
  <c r="A3" i="6"/>
  <c r="A12" i="6"/>
  <c r="A13" i="6"/>
  <c r="A14" i="6"/>
  <c r="A15" i="6"/>
  <c r="A17" i="6"/>
  <c r="A18" i="6"/>
  <c r="A34" i="6"/>
  <c r="A24" i="6"/>
  <c r="A25" i="6"/>
  <c r="A26" i="6"/>
  <c r="A27" i="6"/>
  <c r="A28" i="6"/>
  <c r="A30" i="6"/>
  <c r="A31" i="6"/>
  <c r="A32" i="6"/>
  <c r="A33" i="6"/>
  <c r="A35" i="6"/>
  <c r="A4" i="6"/>
  <c r="A5" i="6"/>
  <c r="A6" i="6"/>
  <c r="A7" i="6"/>
  <c r="A8" i="6"/>
  <c r="A9" i="6"/>
  <c r="A10" i="6"/>
  <c r="A16" i="6"/>
  <c r="A19" i="6"/>
  <c r="A20" i="6"/>
  <c r="A21" i="6"/>
  <c r="A22" i="6"/>
  <c r="A29" i="6"/>
  <c r="A36" i="6"/>
  <c r="A37" i="6"/>
  <c r="A38" i="6"/>
  <c r="A39" i="6"/>
  <c r="A11" i="6"/>
  <c r="H53" i="4" l="1"/>
  <c r="H54" i="4"/>
  <c r="H57" i="3" l="1"/>
  <c r="H61" i="3" s="1"/>
  <c r="I57" i="3"/>
  <c r="I61" i="3" s="1"/>
  <c r="J57" i="3"/>
  <c r="J61" i="3" s="1"/>
  <c r="K57" i="3"/>
  <c r="K61" i="3" s="1"/>
  <c r="L57" i="3"/>
  <c r="L61" i="3" s="1"/>
  <c r="M57" i="3"/>
  <c r="M61" i="3" s="1"/>
  <c r="N57" i="3"/>
  <c r="N61" i="3" s="1"/>
  <c r="O57" i="3"/>
  <c r="O61" i="3" s="1"/>
  <c r="P57" i="3"/>
  <c r="P61" i="3" s="1"/>
  <c r="Q57" i="3"/>
  <c r="Q61" i="3" s="1"/>
  <c r="R57" i="3"/>
  <c r="R61" i="3" s="1"/>
  <c r="S57" i="3"/>
  <c r="S61" i="3" s="1"/>
  <c r="T57" i="3"/>
  <c r="T61" i="3" s="1"/>
  <c r="U57" i="3"/>
  <c r="U61" i="3" s="1"/>
  <c r="V57" i="3"/>
  <c r="V61" i="3" s="1"/>
  <c r="W57" i="3"/>
  <c r="W61" i="3" s="1"/>
  <c r="X57" i="3"/>
  <c r="X61" i="3" s="1"/>
  <c r="Y57" i="3"/>
  <c r="Y61" i="3" s="1"/>
  <c r="Z57" i="3"/>
  <c r="Z61" i="3" s="1"/>
  <c r="G57" i="3"/>
  <c r="G61" i="3" s="1"/>
  <c r="H57" i="1"/>
  <c r="H61" i="1" s="1"/>
  <c r="I57" i="1"/>
  <c r="I61" i="1" s="1"/>
  <c r="J57" i="1"/>
  <c r="J61" i="1" s="1"/>
  <c r="K57" i="1"/>
  <c r="K61" i="1" s="1"/>
  <c r="L57" i="1"/>
  <c r="L61" i="1" s="1"/>
  <c r="M57" i="1"/>
  <c r="M61" i="1" s="1"/>
  <c r="N57" i="1"/>
  <c r="N61" i="1" s="1"/>
  <c r="O57" i="1"/>
  <c r="O61" i="1" s="1"/>
  <c r="Q57" i="1"/>
  <c r="Q61" i="1" s="1"/>
  <c r="R57" i="1"/>
  <c r="R61" i="1" s="1"/>
  <c r="S57" i="1"/>
  <c r="S61" i="1" s="1"/>
  <c r="T57" i="1"/>
  <c r="T61" i="1" s="1"/>
  <c r="U57" i="1"/>
  <c r="U61" i="1" s="1"/>
  <c r="V57" i="1"/>
  <c r="V61" i="1" s="1"/>
  <c r="W57" i="1"/>
  <c r="W61" i="1" s="1"/>
  <c r="X57" i="1"/>
  <c r="X61" i="1" s="1"/>
  <c r="Y57" i="1"/>
  <c r="Y61" i="1" s="1"/>
  <c r="Z57" i="1"/>
  <c r="Z61" i="1" s="1"/>
  <c r="G57" i="1"/>
  <c r="G61" i="1" s="1"/>
  <c r="H51" i="4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57" i="3" l="1"/>
  <c r="AA61" i="3" s="1"/>
  <c r="G25" i="4"/>
  <c r="I25" i="4" s="1"/>
  <c r="G22" i="4"/>
  <c r="I22" i="4" s="1"/>
  <c r="G28" i="4"/>
  <c r="I28" i="4" s="1"/>
  <c r="G34" i="4"/>
  <c r="I34" i="4" s="1"/>
  <c r="G40" i="4"/>
  <c r="I40" i="4" s="1"/>
  <c r="G46" i="4"/>
  <c r="I46" i="4" s="1"/>
  <c r="H55" i="4"/>
  <c r="H56" i="4" s="1"/>
  <c r="G24" i="4"/>
  <c r="I24" i="4" s="1"/>
  <c r="G30" i="4"/>
  <c r="I30" i="4" s="1"/>
  <c r="G36" i="4"/>
  <c r="I36" i="4" s="1"/>
  <c r="G42" i="4"/>
  <c r="I42" i="4" s="1"/>
  <c r="G48" i="4"/>
  <c r="I48" i="4" s="1"/>
  <c r="G31" i="4"/>
  <c r="I31" i="4" s="1"/>
  <c r="G37" i="4"/>
  <c r="I37" i="4" s="1"/>
  <c r="G43" i="4"/>
  <c r="I43" i="4" s="1"/>
  <c r="G49" i="4"/>
  <c r="I49" i="4" s="1"/>
  <c r="G23" i="4"/>
  <c r="I23" i="4" s="1"/>
  <c r="G29" i="4"/>
  <c r="I29" i="4" s="1"/>
  <c r="G35" i="4"/>
  <c r="I35" i="4" s="1"/>
  <c r="G41" i="4"/>
  <c r="I41" i="4" s="1"/>
  <c r="G47" i="4"/>
  <c r="I47" i="4" s="1"/>
  <c r="G26" i="4"/>
  <c r="I26" i="4" s="1"/>
  <c r="G32" i="4"/>
  <c r="I32" i="4" s="1"/>
  <c r="G38" i="4"/>
  <c r="I38" i="4" s="1"/>
  <c r="G44" i="4"/>
  <c r="I44" i="4" s="1"/>
  <c r="G50" i="4"/>
  <c r="I50" i="4" s="1"/>
  <c r="G21" i="4"/>
  <c r="I21" i="4" s="1"/>
  <c r="G27" i="4"/>
  <c r="I27" i="4" s="1"/>
  <c r="G33" i="4"/>
  <c r="I33" i="4" s="1"/>
  <c r="G39" i="4"/>
  <c r="I39" i="4" s="1"/>
  <c r="G45" i="4"/>
  <c r="I45" i="4" s="1"/>
  <c r="G5" i="4" l="1"/>
  <c r="I5" i="4" s="1"/>
  <c r="G7" i="4"/>
  <c r="I7" i="4" s="1"/>
  <c r="G18" i="4"/>
  <c r="I18" i="4" s="1"/>
  <c r="G12" i="4"/>
  <c r="I12" i="4" s="1"/>
  <c r="G6" i="4"/>
  <c r="I6" i="4" s="1"/>
  <c r="G17" i="4"/>
  <c r="I17" i="4" s="1"/>
  <c r="G11" i="4"/>
  <c r="I11" i="4" s="1"/>
  <c r="G16" i="4"/>
  <c r="G10" i="4"/>
  <c r="I10" i="4" s="1"/>
  <c r="G15" i="4"/>
  <c r="I15" i="4" s="1"/>
  <c r="G9" i="4"/>
  <c r="I9" i="4" s="1"/>
  <c r="G14" i="4"/>
  <c r="I14" i="4" s="1"/>
  <c r="G8" i="4"/>
  <c r="G19" i="4"/>
  <c r="G13" i="4"/>
  <c r="I13" i="4" s="1"/>
  <c r="I16" i="4" l="1"/>
  <c r="G53" i="4"/>
  <c r="I19" i="4"/>
  <c r="I8" i="4"/>
  <c r="P57" i="1"/>
  <c r="P61" i="1" s="1"/>
  <c r="AA57" i="1" l="1"/>
  <c r="AA61" i="1" s="1"/>
  <c r="G20" i="4"/>
  <c r="G54" i="4" s="1"/>
  <c r="I20" i="4" l="1"/>
  <c r="G51" i="4"/>
  <c r="G55" i="4"/>
  <c r="G56" i="4" s="1"/>
  <c r="I51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8FB197-36E5-4E51-A97E-22E30F610CDD}" name="temporal" type="6" refreshedVersion="2" background="1" saveData="1">
    <textPr prompt="0" sourceFile="C:\SIS1\temporal.txt" tab="0" comma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<sst xmlns="http://schemas.openxmlformats.org/spreadsheetml/2006/main" count="815" uniqueCount="300">
  <si>
    <t>Subsecretaria de Prevención y Promoción de la Salud</t>
  </si>
  <si>
    <t>Centro Nacional para la Salud de la Infancia y la Adolescencia</t>
  </si>
  <si>
    <t>Programa de Vacunación Universal</t>
  </si>
  <si>
    <t>Entidad Federativa:</t>
  </si>
  <si>
    <t xml:space="preserve">Municipio: </t>
  </si>
  <si>
    <t xml:space="preserve">Unidad de Salud: </t>
  </si>
  <si>
    <t>Fecha: del _____ de__________al _____de_________20_____</t>
  </si>
  <si>
    <t>BIOLÓGICO</t>
  </si>
  <si>
    <t xml:space="preserve"> DOSIS / GRUPO POBLACIONAL</t>
  </si>
  <si>
    <t>TOTAL</t>
  </si>
  <si>
    <t>225 Aplicación de Antiinfluenza Estacional</t>
  </si>
  <si>
    <t>Población blanco</t>
  </si>
  <si>
    <t>6 a 11 meses</t>
  </si>
  <si>
    <t xml:space="preserve">12 a 23 meses </t>
  </si>
  <si>
    <t xml:space="preserve">24 a 35 meses </t>
  </si>
  <si>
    <t>36 a 47 meses</t>
  </si>
  <si>
    <t>48 a 59 meses</t>
  </si>
  <si>
    <t xml:space="preserve">7 a 11 meses </t>
  </si>
  <si>
    <t xml:space="preserve">12 a 23 meses  </t>
  </si>
  <si>
    <t>24 a 35 meses</t>
  </si>
  <si>
    <t xml:space="preserve">36 a 47 meses </t>
  </si>
  <si>
    <t xml:space="preserve">48 a 59 meses </t>
  </si>
  <si>
    <t>18 a 23 meses</t>
  </si>
  <si>
    <t>60  años y más</t>
  </si>
  <si>
    <t>Población de riesgo de 5 a 59 años</t>
  </si>
  <si>
    <t>EMBARAZADAS</t>
  </si>
  <si>
    <t>PERSONAL DE SALUD EN UNIDADES MÉDICAS</t>
  </si>
  <si>
    <t>5 A 9 AÑOS</t>
  </si>
  <si>
    <t>10 A 19 AÑOS</t>
  </si>
  <si>
    <t>20 A 59 AÑOS</t>
  </si>
  <si>
    <t>5 a 9 años</t>
  </si>
  <si>
    <t>10 a 19 años</t>
  </si>
  <si>
    <t>20 a 59 años</t>
  </si>
  <si>
    <t>Total de dosis aplicadas</t>
  </si>
  <si>
    <t>Jurisdicción Sanitaria:</t>
  </si>
  <si>
    <t>Institución:</t>
  </si>
  <si>
    <t>NHGQ</t>
  </si>
  <si>
    <t>HENM</t>
  </si>
  <si>
    <t>JURICA</t>
  </si>
  <si>
    <t>MENCHACA</t>
  </si>
  <si>
    <t>SAN ANTONIO DE LA PUNTA</t>
  </si>
  <si>
    <t>SAN PABLO</t>
  </si>
  <si>
    <t>CARRILLO PUERTO</t>
  </si>
  <si>
    <t>LOMA BONITA</t>
  </si>
  <si>
    <t>PEDRO ESCOBEDO</t>
  </si>
  <si>
    <t>SANTA MARÍA MAGDALENA</t>
  </si>
  <si>
    <t>TLACOTE EL BAJO</t>
  </si>
  <si>
    <t>LÁZARO CÁRDENAS</t>
  </si>
  <si>
    <t>SAN PEDRITO PEÑUELAS</t>
  </si>
  <si>
    <t>MENCHACA NORTE</t>
  </si>
  <si>
    <t>SAN JOSÉ EL ALTO</t>
  </si>
  <si>
    <t>SANTA ROSA JÁUREGUI</t>
  </si>
  <si>
    <t>SATÉLITE</t>
  </si>
  <si>
    <t>SAN PEDRO MÁRTIR</t>
  </si>
  <si>
    <t>LOMAS DE CASABLANCA</t>
  </si>
  <si>
    <t>JERINGA 23X25 - 0.25</t>
  </si>
  <si>
    <t>JERINGA 22X32 - 0.5</t>
  </si>
  <si>
    <t>Dosis completas</t>
  </si>
  <si>
    <t>Frascos</t>
  </si>
  <si>
    <t>JOFRITO</t>
  </si>
  <si>
    <t>MONTENEGRO</t>
  </si>
  <si>
    <t>PIE DE GALLO</t>
  </si>
  <si>
    <t>SAN JOSÉ BUENAVISTA</t>
  </si>
  <si>
    <t>SAN MIGUELITO</t>
  </si>
  <si>
    <t>LA SOLANA</t>
  </si>
  <si>
    <t>TINAJA DE LA ESTANCIA</t>
  </si>
  <si>
    <t>LA GOTERA</t>
  </si>
  <si>
    <t>FAM SAN JOSÉ BUENAVISTA</t>
  </si>
  <si>
    <t>FAM PEDRO ESCOBEDO</t>
  </si>
  <si>
    <t>FAM EL MARQUES 2</t>
  </si>
  <si>
    <t>UMME MF1</t>
  </si>
  <si>
    <t>UMME AMB1</t>
  </si>
  <si>
    <t>UMME AMB2</t>
  </si>
  <si>
    <t>UMME MEDICO DENTAL</t>
  </si>
  <si>
    <t>QUERÉTARO</t>
  </si>
  <si>
    <t>SECRETARÍA DE SALUD</t>
  </si>
  <si>
    <t>DEPARTAMENTO DE VACUNAS</t>
  </si>
  <si>
    <t>Población</t>
  </si>
  <si>
    <t>GRUPO POBLACIONAL</t>
  </si>
  <si>
    <t>Primera dosis</t>
  </si>
  <si>
    <t>Segunda dosis</t>
  </si>
  <si>
    <t>Revacunación</t>
  </si>
  <si>
    <t>Grupos de riesgo</t>
  </si>
  <si>
    <t>Personas que viven con VIH/SIDA</t>
  </si>
  <si>
    <t>Diabetes mellitus</t>
  </si>
  <si>
    <t>Obesidad mórbida</t>
  </si>
  <si>
    <t>Personas con cardiopatías agudas o crónicas</t>
  </si>
  <si>
    <t>Personas con enfermedad pulmonar crónica, incluye EPOC y asma</t>
  </si>
  <si>
    <t>Personas con cáncer</t>
  </si>
  <si>
    <t>Enfermedades  cardiacas o pulmonares congénitas, u otros padecimientos crónicos que requieran consumo prolongado de salicilatos</t>
  </si>
  <si>
    <t>Personas con insuficiencia renal</t>
  </si>
  <si>
    <t xml:space="preserve">Personas con inmunosupresión adquirida por enfermedad o tratamiento, excepto VIH /SIDA </t>
  </si>
  <si>
    <t>Otros grupos</t>
  </si>
  <si>
    <t>DIFERENCIA</t>
  </si>
  <si>
    <t xml:space="preserve">UMME CERRO DE LA CRUZ </t>
  </si>
  <si>
    <t xml:space="preserve">UMME LA LUZ </t>
  </si>
  <si>
    <t>UMME RANCHO LARGO</t>
  </si>
  <si>
    <t>UMME SAN PEDRITO</t>
  </si>
  <si>
    <t>UMME
UMQ</t>
  </si>
  <si>
    <t>UNIDAD DE SALUD</t>
  </si>
  <si>
    <t>CLUE</t>
  </si>
  <si>
    <t>Sistema de Información en Salud</t>
  </si>
  <si>
    <t>Jurisdicción Sanitaria No1</t>
  </si>
  <si>
    <t xml:space="preserve">Estadística </t>
  </si>
  <si>
    <t>ABRIL  2024</t>
  </si>
  <si>
    <t>HOJA 1 DE 2</t>
  </si>
  <si>
    <t>CLUES</t>
  </si>
  <si>
    <t>NOMBRE</t>
  </si>
  <si>
    <t>TIPO UNIDAD</t>
  </si>
  <si>
    <t>TIPOLOGIA</t>
  </si>
  <si>
    <t>CORREGIDORA</t>
  </si>
  <si>
    <t>QTSSA000830</t>
  </si>
  <si>
    <t>SANTA BARBARA</t>
  </si>
  <si>
    <t xml:space="preserve">Unidad de Consulta Externa </t>
  </si>
  <si>
    <t>URBANO DE 05 NÚCLEOS BÁSICO</t>
  </si>
  <si>
    <t>H</t>
  </si>
  <si>
    <t>QTSSA000842</t>
  </si>
  <si>
    <t>LOS ÁNGELES</t>
  </si>
  <si>
    <t>Unidad de Consulta Externa</t>
  </si>
  <si>
    <t>URBANO DE 01 NÚCLEOS BÁSICO</t>
  </si>
  <si>
    <t>D</t>
  </si>
  <si>
    <t>QTSSA000854</t>
  </si>
  <si>
    <t>JOAQUIN HERRERA ( LA CUEVA )</t>
  </si>
  <si>
    <t>RURAL DE 02 NÚCLEOS BÁSICOS</t>
  </si>
  <si>
    <t>B</t>
  </si>
  <si>
    <t>QTSSA000866</t>
  </si>
  <si>
    <t>LOS OLVERA</t>
  </si>
  <si>
    <t>URBANO DE 02 NÚCLEOS BÁSICOS</t>
  </si>
  <si>
    <t>E</t>
  </si>
  <si>
    <t>QTSSA000883</t>
  </si>
  <si>
    <t>SAN JOSÉ DE LOS OLVERA</t>
  </si>
  <si>
    <t>QTSSA003640</t>
  </si>
  <si>
    <t>PRESA DE BRAVO</t>
  </si>
  <si>
    <t>QTSSA012252</t>
  </si>
  <si>
    <t>LA NEGRETA</t>
  </si>
  <si>
    <t>URBANO DE 04 NÚCLEOS BÁSICOS</t>
  </si>
  <si>
    <t>G</t>
  </si>
  <si>
    <t>QTSSA012532</t>
  </si>
  <si>
    <t>FAM CORREGIDORA</t>
  </si>
  <si>
    <t>Fortalecimiento a la atencion medica</t>
  </si>
  <si>
    <t>UNIDAD MÓVIL</t>
  </si>
  <si>
    <t>P</t>
  </si>
  <si>
    <t>QTSSA012602</t>
  </si>
  <si>
    <t>EMILIANO ZAPATA</t>
  </si>
  <si>
    <t>URBANO DE 08 NÚCLEOS BÁSICOS</t>
  </si>
  <si>
    <t>K</t>
  </si>
  <si>
    <t>C.S.   8     /     FAM   1</t>
  </si>
  <si>
    <t>HUIMILPAN</t>
  </si>
  <si>
    <t>QTSSA000953</t>
  </si>
  <si>
    <t>QTSSA000970</t>
  </si>
  <si>
    <t>APAPATARO</t>
  </si>
  <si>
    <t>RURAL DE 03 NÚCLEOS BÁSICOS Y MÁS</t>
  </si>
  <si>
    <t>C</t>
  </si>
  <si>
    <t>QTSSA000994</t>
  </si>
  <si>
    <t>CEJA DE BRAVO</t>
  </si>
  <si>
    <t>RURAL DE 01 NÚCLEO BÁSICO</t>
  </si>
  <si>
    <t>A</t>
  </si>
  <si>
    <t>QTSSA001006</t>
  </si>
  <si>
    <t>LOS CUES</t>
  </si>
  <si>
    <t>QTSSA001011</t>
  </si>
  <si>
    <t>LAGUNILLAS</t>
  </si>
  <si>
    <t>URBANO DE 03 NÚCLEOS BÁSICOS</t>
  </si>
  <si>
    <t>F</t>
  </si>
  <si>
    <t>QTSSA001023</t>
  </si>
  <si>
    <t>EL MILAGRO</t>
  </si>
  <si>
    <t>QTSSA001035</t>
  </si>
  <si>
    <t>LA NORIA</t>
  </si>
  <si>
    <t>QTSSA001040</t>
  </si>
  <si>
    <t>SAN PEDRO HUIMILPAN</t>
  </si>
  <si>
    <t>QTSSA003535</t>
  </si>
  <si>
    <t>UMME EL VEGIL</t>
  </si>
  <si>
    <t>Unidad medica movil estatal</t>
  </si>
  <si>
    <t>QTSSA003700</t>
  </si>
  <si>
    <t>BUENAVISTA</t>
  </si>
  <si>
    <t>QTSSA012573</t>
  </si>
  <si>
    <t>UMME MEDICO FARMACIA 2</t>
  </si>
  <si>
    <t>C.S.   9     /     UMME 2</t>
  </si>
  <si>
    <t>MARQUES</t>
  </si>
  <si>
    <t>QTSSA001315</t>
  </si>
  <si>
    <t>LA CAÑADA</t>
  </si>
  <si>
    <t>QTSSA001332</t>
  </si>
  <si>
    <t>AMAZCALA</t>
  </si>
  <si>
    <t>QTSSA001344</t>
  </si>
  <si>
    <t>ATONGO</t>
  </si>
  <si>
    <t>QTSSA001356</t>
  </si>
  <si>
    <t>SAN MIGUEL LÁZARO CÁRDENAS</t>
  </si>
  <si>
    <t>QTSSA001390</t>
  </si>
  <si>
    <t>LA GRIEGA</t>
  </si>
  <si>
    <t>URBANO DE 01 NÚCLEOS BÁSICOS</t>
  </si>
  <si>
    <t>QTSSA001402</t>
  </si>
  <si>
    <t>JESÚS MARÍA</t>
  </si>
  <si>
    <t>QTSSA001426</t>
  </si>
  <si>
    <t>PALO ALTO</t>
  </si>
  <si>
    <t>QTSSA001431</t>
  </si>
  <si>
    <t>EL PARAISO</t>
  </si>
  <si>
    <t>QTSSA001933</t>
  </si>
  <si>
    <t>SAN ISIDRO MIRANDA</t>
  </si>
  <si>
    <t>QTSSA003571</t>
  </si>
  <si>
    <t>CHICHIMEQUILLAS</t>
  </si>
  <si>
    <t>URBANO DE 05 NÚCLEOS BÁSICOS</t>
  </si>
  <si>
    <t>QTSSA003580</t>
  </si>
  <si>
    <t>NAVAJAS</t>
  </si>
  <si>
    <t>URBANA DE 02 NÚCLEOS BÁSICOS</t>
  </si>
  <si>
    <t>QTSSA012264</t>
  </si>
  <si>
    <t>FAM CHICHIMEQUILLAS</t>
  </si>
  <si>
    <t>QTSSA012643</t>
  </si>
  <si>
    <t xml:space="preserve">ALFAJAYUCAN </t>
  </si>
  <si>
    <t>QTSSA012940</t>
  </si>
  <si>
    <t>LA PIEDAD</t>
  </si>
  <si>
    <t>C.S. 13     /     FAM 1</t>
  </si>
  <si>
    <t>QUERETARO</t>
  </si>
  <si>
    <t>QTSSA001764</t>
  </si>
  <si>
    <t>QTSSA001793</t>
  </si>
  <si>
    <t>QTSSA001810</t>
  </si>
  <si>
    <t>QTSSA001822</t>
  </si>
  <si>
    <t>QTSSA001834</t>
  </si>
  <si>
    <t>QTSSA001846</t>
  </si>
  <si>
    <t>FELIPE CARRILLO PUERTO</t>
  </si>
  <si>
    <t>QTSSA001851</t>
  </si>
  <si>
    <t>QTSSA001863</t>
  </si>
  <si>
    <t>URBANO DE 12 NÚCLEOS BÁSICOS Y MÁS</t>
  </si>
  <si>
    <t>S</t>
  </si>
  <si>
    <t>QTSSA001904</t>
  </si>
  <si>
    <t>QTSSA001916</t>
  </si>
  <si>
    <t>QTSSA001921</t>
  </si>
  <si>
    <t>QTSSA001945</t>
  </si>
  <si>
    <t>QTSSA001962</t>
  </si>
  <si>
    <t>QTSSA001974</t>
  </si>
  <si>
    <t>QTSSA002003</t>
  </si>
  <si>
    <t>QTSSA002015</t>
  </si>
  <si>
    <t>QTSSA002020</t>
  </si>
  <si>
    <t>QTSSA002522</t>
  </si>
  <si>
    <t>QTSSA002534</t>
  </si>
  <si>
    <t>QTSSA002621</t>
  </si>
  <si>
    <t xml:space="preserve">CEREDI LOMAS DE CASA BLANCA </t>
  </si>
  <si>
    <t>Centro Regional de Desarrollo infantil (CEREDI)</t>
  </si>
  <si>
    <t>UNIDAD DE ESPECIALIDADES MÉDICAS (UNEMES)</t>
  </si>
  <si>
    <t>UNE</t>
  </si>
  <si>
    <t>QTSSA002703</t>
  </si>
  <si>
    <t>QTSSA002913</t>
  </si>
  <si>
    <t>SERVICIO AMIGABLE ITINERANTE EDUSEX</t>
  </si>
  <si>
    <t>Atención Servicios Amigables</t>
  </si>
  <si>
    <t>QTSSA003544</t>
  </si>
  <si>
    <t>UMME LA BARRETA</t>
  </si>
  <si>
    <t>QTSSA003553</t>
  </si>
  <si>
    <t>UMME CERRO DE LA CRUZ</t>
  </si>
  <si>
    <t>QTSSA003562</t>
  </si>
  <si>
    <t>UMME LA LUZ</t>
  </si>
  <si>
    <t>QTSSA003595</t>
  </si>
  <si>
    <t>QTSSA003604</t>
  </si>
  <si>
    <t>QTSSA003715</t>
  </si>
  <si>
    <t>QTSSA012240</t>
  </si>
  <si>
    <t>QTSSA012276</t>
  </si>
  <si>
    <t>QTSSA012281</t>
  </si>
  <si>
    <t>QTSSA012544</t>
  </si>
  <si>
    <t>FAM PALO ALTO</t>
  </si>
  <si>
    <t>QTSSA012556</t>
  </si>
  <si>
    <t>QTSSA012561</t>
  </si>
  <si>
    <t>UMME AMBULANCIA 1</t>
  </si>
  <si>
    <t>QTSSA012585</t>
  </si>
  <si>
    <t>UMME AMBULANCIA 2</t>
  </si>
  <si>
    <t>QTSSA012631</t>
  </si>
  <si>
    <t>QTSSA012655</t>
  </si>
  <si>
    <t>QTSSA012923</t>
  </si>
  <si>
    <t>URBANO DE 9 NÚCLEOS BÁSICOS</t>
  </si>
  <si>
    <t>L</t>
  </si>
  <si>
    <t>QTSSA012952</t>
  </si>
  <si>
    <t>UNIDAD DENTAL MOVIL QUERETARO</t>
  </si>
  <si>
    <t>Unidad Movil</t>
  </si>
  <si>
    <t>QTSSA012964</t>
  </si>
  <si>
    <t>UMME AMBULANCIA 3</t>
  </si>
  <si>
    <t>QTSSA012976</t>
  </si>
  <si>
    <t>QTSSA012982</t>
  </si>
  <si>
    <t>LOMAS DE CASA BLANCA</t>
  </si>
  <si>
    <t>C.S.   25     /   UMME  11   /    FAM   3   /    UMD JS   1    /     CEREDI   1    /    EDUSEX  1</t>
  </si>
  <si>
    <t>JURISDICCION</t>
  </si>
  <si>
    <t>QTSSA012154</t>
  </si>
  <si>
    <t>OFICINAS DE LA JURISDICCIÓN SANITARIA I</t>
  </si>
  <si>
    <t>Oficina</t>
  </si>
  <si>
    <t>QTSSA012101</t>
  </si>
  <si>
    <t>ALMACÉN DE LA JURISDICCIÓN SANITARIA I</t>
  </si>
  <si>
    <t xml:space="preserve">Almacén </t>
  </si>
  <si>
    <t>CENTROS DE SALUD:</t>
  </si>
  <si>
    <t>FAM:</t>
  </si>
  <si>
    <t>UMME:</t>
  </si>
  <si>
    <t>CEREDI:</t>
  </si>
  <si>
    <t>UNIDAD MOVIL DENTAL JS1</t>
  </si>
  <si>
    <t>UNIDAD MOVIL SERVICIOS AMIGABLES</t>
  </si>
  <si>
    <t>PMMR*.- ESTADISTICA</t>
  </si>
  <si>
    <t>QTSSA001740</t>
  </si>
  <si>
    <t>QTSSA002901</t>
  </si>
  <si>
    <t>UMME QUERÉTARO</t>
  </si>
  <si>
    <t>JERINGA 22X32 PIEZAS</t>
  </si>
  <si>
    <t>JERINGA 23X25 PIEZAS</t>
  </si>
  <si>
    <t>META</t>
  </si>
  <si>
    <t>JERINGA 23X25 CAJAS (50 PIEZAS)</t>
  </si>
  <si>
    <t>FIRMA DE RECIBIDO</t>
  </si>
  <si>
    <t>JERINGA 22X32 CAJAS (50 PIEZAS)</t>
  </si>
  <si>
    <t>METAS 2025-2026</t>
  </si>
  <si>
    <t>Metas de Vacuna Anti Influenza Estacional Temporada Invernal 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</si>
</sst>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#,##0.0_ ;[Red]\-#,##0.0\ "/>
    <numFmt numFmtId="167" formatCode="#,##0_ ;\-#,##0\ "/>
    <numFmt numFmtId="168" formatCode="#,##0.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indexed="8"/>
      <name val="Arial"/>
      <family val="2"/>
    </font>
    <font>
      <b/>
      <sz val="16"/>
      <color indexed="8"/>
      <name val="Montserrat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Montserrat"/>
    </font>
    <font>
      <b/>
      <sz val="12"/>
      <color indexed="8"/>
      <name val="Montserrat"/>
    </font>
    <font>
      <sz val="12"/>
      <color indexed="8"/>
      <name val="Arial"/>
      <family val="2"/>
    </font>
    <font>
      <b/>
      <sz val="12"/>
      <color theme="0"/>
      <name val="Montserrat"/>
    </font>
    <font>
      <sz val="10"/>
      <name val="Arial"/>
      <family val="2"/>
    </font>
    <font>
      <sz val="11"/>
      <color theme="0"/>
      <name val="Arial"/>
      <family val="2"/>
    </font>
    <font>
      <b/>
      <sz val="12"/>
      <color theme="1"/>
      <name val="Montserrat"/>
    </font>
    <font>
      <b/>
      <sz val="11"/>
      <name val="Montserrat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b/>
      <sz val="14"/>
      <color theme="1"/>
      <name val="Montserrat"/>
    </font>
    <font>
      <b/>
      <sz val="14"/>
      <color theme="0"/>
      <name val="Montserrat"/>
    </font>
    <font>
      <b/>
      <i/>
      <sz val="14"/>
      <color theme="1"/>
      <name val="Montserrat"/>
    </font>
    <font>
      <b/>
      <sz val="11"/>
      <color theme="0"/>
      <name val="Montserrat"/>
    </font>
    <font>
      <b/>
      <sz val="11"/>
      <color theme="1"/>
      <name val="Montserrat"/>
    </font>
    <font>
      <b/>
      <sz val="11"/>
      <color indexed="8"/>
      <name val="Montserrat"/>
    </font>
    <font>
      <sz val="11"/>
      <name val="Montserrat"/>
    </font>
    <font>
      <b/>
      <sz val="10"/>
      <color theme="0"/>
      <name val="Arial"/>
      <family val="2"/>
    </font>
    <font>
      <sz val="16"/>
      <name val="Montserrat"/>
    </font>
    <font>
      <b/>
      <sz val="12"/>
      <name val="Montserrat"/>
    </font>
    <font>
      <b/>
      <sz val="16"/>
      <color theme="0"/>
      <name val="Montserrat"/>
    </font>
    <font>
      <b/>
      <sz val="12"/>
      <name val="Arial Nova"/>
      <family val="2"/>
    </font>
    <font>
      <sz val="10"/>
      <name val="Arial Nova"/>
      <family val="2"/>
    </font>
    <font>
      <b/>
      <sz val="10"/>
      <name val="Arial Nova"/>
      <family val="2"/>
    </font>
    <font>
      <b/>
      <i/>
      <sz val="11"/>
      <name val="Arial Nova"/>
      <family val="2"/>
    </font>
    <font>
      <sz val="8"/>
      <name val="Arial Nova"/>
      <family val="2"/>
    </font>
    <font>
      <b/>
      <sz val="11"/>
      <name val="Arial Nova"/>
      <family val="2"/>
    </font>
    <font>
      <sz val="9"/>
      <name val="Arial Nova"/>
      <family val="2"/>
    </font>
    <font>
      <b/>
      <sz val="14"/>
      <name val="Arial Nova"/>
      <family val="2"/>
    </font>
    <font>
      <b/>
      <sz val="6"/>
      <name val="Arial Nova"/>
      <family val="2"/>
    </font>
    <font>
      <b/>
      <sz val="14"/>
      <name val="Montserrat"/>
    </font>
    <font>
      <b/>
      <sz val="11"/>
      <color rgb="FF10312B"/>
      <name val="Montserrat"/>
    </font>
    <font>
      <b/>
      <sz val="10"/>
      <color rgb="FF10312B"/>
      <name val="Montserrat"/>
    </font>
    <font>
      <b/>
      <sz val="14"/>
      <color rgb="FF10312B"/>
      <name val="Montserrat"/>
    </font>
    <font>
      <b/>
      <sz val="10"/>
      <name val="Montserrat"/>
    </font>
    <font>
      <sz val="10"/>
      <name val="Montserrat"/>
    </font>
    <font>
      <sz val="12"/>
      <color theme="1"/>
      <name val="Calibri"/>
      <family val="2"/>
      <scheme val="minor"/>
    </font>
    <font>
      <b/>
      <sz val="24"/>
      <color indexed="8"/>
      <name val="Montserrat"/>
    </font>
    <font>
      <b/>
      <sz val="20"/>
      <color indexed="8"/>
      <name val="Montserrat"/>
    </font>
    <font>
      <b/>
      <sz val="16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C9A3"/>
        <bgColor indexed="64"/>
      </patternFill>
    </fill>
    <fill>
      <patternFill patternType="solid">
        <fgColor rgb="FFAFE4FF"/>
        <bgColor indexed="64"/>
      </patternFill>
    </fill>
    <fill>
      <patternFill patternType="solid">
        <fgColor theme="2" tint="-0.499984740745262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2" fillId="0" borderId="0"/>
    <xf numFmtId="0" fontId="1" fillId="0" borderId="0"/>
    <xf numFmtId="43" fontId="1" fillId="0" borderId="0" applyFont="0" applyFill="0" applyBorder="0" applyAlignment="0" applyProtection="0"/>
    <xf numFmtId="0" fontId="12" fillId="0" borderId="0"/>
  </cellStyleXfs>
  <cellXfs count="265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/>
    <xf numFmtId="0" fontId="7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7" fillId="0" borderId="0" xfId="0" applyFont="1"/>
    <xf numFmtId="16" fontId="13" fillId="0" borderId="0" xfId="0" applyNumberFormat="1" applyFont="1" applyAlignment="1">
      <alignment horizontal="center"/>
    </xf>
    <xf numFmtId="16" fontId="13" fillId="0" borderId="0" xfId="0" applyNumberFormat="1" applyFont="1"/>
    <xf numFmtId="0" fontId="13" fillId="0" borderId="0" xfId="0" applyFont="1"/>
    <xf numFmtId="0" fontId="15" fillId="0" borderId="12" xfId="0" applyFont="1" applyBorder="1" applyAlignment="1">
      <alignment horizontal="left" vertical="center" wrapText="1"/>
    </xf>
    <xf numFmtId="0" fontId="16" fillId="0" borderId="0" xfId="0" applyFont="1"/>
    <xf numFmtId="3" fontId="16" fillId="0" borderId="0" xfId="0" applyNumberFormat="1" applyFont="1"/>
    <xf numFmtId="1" fontId="16" fillId="0" borderId="0" xfId="0" applyNumberFormat="1" applyFont="1"/>
    <xf numFmtId="0" fontId="15" fillId="0" borderId="19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5" fillId="0" borderId="3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5" fillId="0" borderId="38" xfId="0" applyFont="1" applyBorder="1" applyAlignment="1">
      <alignment horizontal="left" vertical="center" wrapText="1"/>
    </xf>
    <xf numFmtId="0" fontId="15" fillId="0" borderId="41" xfId="0" applyFont="1" applyBorder="1" applyAlignment="1">
      <alignment horizontal="left" vertical="center" wrapText="1"/>
    </xf>
    <xf numFmtId="0" fontId="15" fillId="0" borderId="44" xfId="0" applyFont="1" applyBorder="1" applyAlignment="1">
      <alignment horizontal="left" vertical="center" wrapText="1"/>
    </xf>
    <xf numFmtId="3" fontId="17" fillId="0" borderId="0" xfId="0" applyNumberFormat="1" applyFont="1" applyAlignment="1">
      <alignment vertical="center"/>
    </xf>
    <xf numFmtId="0" fontId="18" fillId="0" borderId="0" xfId="0" applyFont="1"/>
    <xf numFmtId="0" fontId="19" fillId="0" borderId="0" xfId="0" applyFont="1"/>
    <xf numFmtId="0" fontId="2" fillId="0" borderId="0" xfId="0" applyFont="1"/>
    <xf numFmtId="3" fontId="0" fillId="0" borderId="0" xfId="0" applyNumberFormat="1"/>
    <xf numFmtId="0" fontId="15" fillId="0" borderId="52" xfId="0" applyFont="1" applyBorder="1" applyAlignment="1">
      <alignment horizontal="left" vertical="center" wrapText="1"/>
    </xf>
    <xf numFmtId="0" fontId="15" fillId="0" borderId="53" xfId="0" applyFont="1" applyBorder="1" applyAlignment="1">
      <alignment horizontal="left" vertical="center" wrapText="1"/>
    </xf>
    <xf numFmtId="3" fontId="20" fillId="3" borderId="6" xfId="3" applyNumberFormat="1" applyFont="1" applyFill="1" applyBorder="1"/>
    <xf numFmtId="3" fontId="21" fillId="4" borderId="0" xfId="3" applyNumberFormat="1" applyFont="1" applyFill="1"/>
    <xf numFmtId="166" fontId="22" fillId="0" borderId="54" xfId="4" applyNumberFormat="1" applyFont="1" applyFill="1" applyBorder="1" applyAlignment="1"/>
    <xf numFmtId="166" fontId="22" fillId="0" borderId="6" xfId="4" applyNumberFormat="1" applyFont="1" applyFill="1" applyBorder="1" applyAlignment="1"/>
    <xf numFmtId="166" fontId="22" fillId="0" borderId="36" xfId="4" applyNumberFormat="1" applyFont="1" applyFill="1" applyBorder="1" applyAlignment="1"/>
    <xf numFmtId="166" fontId="22" fillId="0" borderId="37" xfId="4" applyNumberFormat="1" applyFont="1" applyFill="1" applyBorder="1" applyAlignment="1"/>
    <xf numFmtId="17" fontId="23" fillId="2" borderId="7" xfId="5" applyNumberFormat="1" applyFont="1" applyFill="1" applyBorder="1" applyAlignment="1">
      <alignment horizontal="center" vertical="center" wrapText="1"/>
    </xf>
    <xf numFmtId="164" fontId="26" fillId="0" borderId="56" xfId="1" applyNumberFormat="1" applyFont="1" applyFill="1" applyBorder="1" applyAlignment="1">
      <alignment horizontal="center"/>
    </xf>
    <xf numFmtId="164" fontId="26" fillId="0" borderId="49" xfId="1" applyNumberFormat="1" applyFont="1" applyFill="1" applyBorder="1" applyAlignment="1">
      <alignment horizontal="center"/>
    </xf>
    <xf numFmtId="164" fontId="26" fillId="0" borderId="48" xfId="1" applyNumberFormat="1" applyFont="1" applyFill="1" applyBorder="1" applyAlignment="1">
      <alignment horizontal="center"/>
    </xf>
    <xf numFmtId="0" fontId="15" fillId="0" borderId="38" xfId="0" applyFont="1" applyBorder="1" applyAlignment="1">
      <alignment vertical="center"/>
    </xf>
    <xf numFmtId="0" fontId="15" fillId="0" borderId="44" xfId="0" applyFont="1" applyBorder="1" applyAlignment="1">
      <alignment vertical="center"/>
    </xf>
    <xf numFmtId="0" fontId="15" fillId="0" borderId="53" xfId="0" applyFont="1" applyBorder="1" applyAlignment="1">
      <alignment vertical="center"/>
    </xf>
    <xf numFmtId="164" fontId="26" fillId="0" borderId="7" xfId="1" applyNumberFormat="1" applyFont="1" applyFill="1" applyBorder="1" applyAlignment="1">
      <alignment horizontal="center"/>
    </xf>
    <xf numFmtId="164" fontId="26" fillId="0" borderId="47" xfId="1" applyNumberFormat="1" applyFont="1" applyFill="1" applyBorder="1" applyAlignment="1">
      <alignment horizontal="center"/>
    </xf>
    <xf numFmtId="167" fontId="26" fillId="0" borderId="48" xfId="1" applyNumberFormat="1" applyFont="1" applyFill="1" applyBorder="1" applyAlignment="1">
      <alignment horizontal="right"/>
    </xf>
    <xf numFmtId="164" fontId="26" fillId="0" borderId="50" xfId="1" applyNumberFormat="1" applyFont="1" applyFill="1" applyBorder="1" applyAlignment="1">
      <alignment horizontal="center"/>
    </xf>
    <xf numFmtId="167" fontId="27" fillId="2" borderId="7" xfId="1" applyNumberFormat="1" applyFont="1" applyFill="1" applyBorder="1" applyAlignment="1">
      <alignment horizontal="center" vertical="center"/>
    </xf>
    <xf numFmtId="164" fontId="26" fillId="0" borderId="38" xfId="1" applyNumberFormat="1" applyFont="1" applyFill="1" applyBorder="1" applyAlignment="1">
      <alignment horizontal="center"/>
    </xf>
    <xf numFmtId="167" fontId="26" fillId="0" borderId="53" xfId="1" applyNumberFormat="1" applyFont="1" applyFill="1" applyBorder="1" applyAlignment="1">
      <alignment horizontal="right"/>
    </xf>
    <xf numFmtId="3" fontId="28" fillId="0" borderId="13" xfId="1" applyNumberFormat="1" applyFont="1" applyFill="1" applyBorder="1" applyAlignment="1">
      <alignment horizontal="center"/>
    </xf>
    <xf numFmtId="3" fontId="28" fillId="0" borderId="14" xfId="1" applyNumberFormat="1" applyFont="1" applyFill="1" applyBorder="1" applyAlignment="1">
      <alignment horizontal="center"/>
    </xf>
    <xf numFmtId="3" fontId="28" fillId="0" borderId="15" xfId="1" applyNumberFormat="1" applyFont="1" applyFill="1" applyBorder="1" applyAlignment="1">
      <alignment horizontal="center"/>
    </xf>
    <xf numFmtId="3" fontId="28" fillId="0" borderId="16" xfId="1" applyNumberFormat="1" applyFont="1" applyFill="1" applyBorder="1" applyAlignment="1">
      <alignment horizontal="center"/>
    </xf>
    <xf numFmtId="3" fontId="28" fillId="0" borderId="17" xfId="1" applyNumberFormat="1" applyFont="1" applyFill="1" applyBorder="1" applyAlignment="1">
      <alignment horizontal="center"/>
    </xf>
    <xf numFmtId="3" fontId="28" fillId="0" borderId="18" xfId="1" applyNumberFormat="1" applyFont="1" applyFill="1" applyBorder="1" applyAlignment="1">
      <alignment horizontal="center"/>
    </xf>
    <xf numFmtId="3" fontId="28" fillId="0" borderId="24" xfId="1" applyNumberFormat="1" applyFont="1" applyFill="1" applyBorder="1" applyAlignment="1">
      <alignment horizontal="center"/>
    </xf>
    <xf numFmtId="3" fontId="28" fillId="0" borderId="25" xfId="1" applyNumberFormat="1" applyFont="1" applyFill="1" applyBorder="1" applyAlignment="1">
      <alignment horizontal="center"/>
    </xf>
    <xf numFmtId="3" fontId="28" fillId="0" borderId="26" xfId="1" applyNumberFormat="1" applyFont="1" applyFill="1" applyBorder="1" applyAlignment="1">
      <alignment horizontal="center"/>
    </xf>
    <xf numFmtId="3" fontId="28" fillId="0" borderId="31" xfId="1" applyNumberFormat="1" applyFont="1" applyFill="1" applyBorder="1" applyAlignment="1">
      <alignment horizontal="center"/>
    </xf>
    <xf numFmtId="3" fontId="28" fillId="0" borderId="32" xfId="1" applyNumberFormat="1" applyFont="1" applyFill="1" applyBorder="1" applyAlignment="1">
      <alignment horizontal="center"/>
    </xf>
    <xf numFmtId="3" fontId="28" fillId="0" borderId="33" xfId="1" applyNumberFormat="1" applyFont="1" applyFill="1" applyBorder="1" applyAlignment="1">
      <alignment horizontal="center"/>
    </xf>
    <xf numFmtId="3" fontId="28" fillId="0" borderId="6" xfId="1" applyNumberFormat="1" applyFont="1" applyFill="1" applyBorder="1" applyAlignment="1">
      <alignment horizontal="center"/>
    </xf>
    <xf numFmtId="3" fontId="28" fillId="0" borderId="51" xfId="1" applyNumberFormat="1" applyFont="1" applyFill="1" applyBorder="1" applyAlignment="1">
      <alignment horizontal="center"/>
    </xf>
    <xf numFmtId="3" fontId="28" fillId="0" borderId="36" xfId="1" applyNumberFormat="1" applyFont="1" applyFill="1" applyBorder="1" applyAlignment="1">
      <alignment horizontal="center"/>
    </xf>
    <xf numFmtId="3" fontId="28" fillId="0" borderId="37" xfId="1" applyNumberFormat="1" applyFont="1" applyFill="1" applyBorder="1" applyAlignment="1">
      <alignment horizontal="center"/>
    </xf>
    <xf numFmtId="3" fontId="28" fillId="0" borderId="39" xfId="1" applyNumberFormat="1" applyFont="1" applyFill="1" applyBorder="1" applyAlignment="1">
      <alignment horizontal="center"/>
    </xf>
    <xf numFmtId="3" fontId="28" fillId="0" borderId="40" xfId="1" applyNumberFormat="1" applyFont="1" applyFill="1" applyBorder="1" applyAlignment="1">
      <alignment horizontal="center"/>
    </xf>
    <xf numFmtId="3" fontId="28" fillId="0" borderId="42" xfId="1" applyNumberFormat="1" applyFont="1" applyFill="1" applyBorder="1" applyAlignment="1">
      <alignment horizontal="center"/>
    </xf>
    <xf numFmtId="3" fontId="28" fillId="0" borderId="43" xfId="1" applyNumberFormat="1" applyFont="1" applyFill="1" applyBorder="1" applyAlignment="1">
      <alignment horizontal="center"/>
    </xf>
    <xf numFmtId="3" fontId="28" fillId="0" borderId="45" xfId="1" applyNumberFormat="1" applyFont="1" applyFill="1" applyBorder="1" applyAlignment="1">
      <alignment horizontal="center"/>
    </xf>
    <xf numFmtId="3" fontId="28" fillId="0" borderId="46" xfId="1" applyNumberFormat="1" applyFont="1" applyFill="1" applyBorder="1" applyAlignment="1">
      <alignment horizontal="center"/>
    </xf>
    <xf numFmtId="3" fontId="28" fillId="0" borderId="48" xfId="1" applyNumberFormat="1" applyFont="1" applyFill="1" applyBorder="1" applyAlignment="1">
      <alignment horizontal="center"/>
    </xf>
    <xf numFmtId="3" fontId="28" fillId="0" borderId="47" xfId="1" applyNumberFormat="1" applyFont="1" applyFill="1" applyBorder="1" applyAlignment="1">
      <alignment horizontal="center"/>
    </xf>
    <xf numFmtId="3" fontId="28" fillId="0" borderId="49" xfId="1" applyNumberFormat="1" applyFont="1" applyFill="1" applyBorder="1" applyAlignment="1">
      <alignment horizontal="center"/>
    </xf>
    <xf numFmtId="0" fontId="29" fillId="0" borderId="12" xfId="0" applyFont="1" applyBorder="1" applyAlignment="1">
      <alignment horizontal="left" vertical="center" wrapText="1"/>
    </xf>
    <xf numFmtId="0" fontId="29" fillId="0" borderId="19" xfId="0" applyFont="1" applyBorder="1" applyAlignment="1">
      <alignment horizontal="left" vertical="center" wrapText="1"/>
    </xf>
    <xf numFmtId="0" fontId="29" fillId="0" borderId="23" xfId="0" applyFont="1" applyBorder="1" applyAlignment="1">
      <alignment horizontal="left" vertical="center" wrapText="1"/>
    </xf>
    <xf numFmtId="0" fontId="29" fillId="0" borderId="30" xfId="0" applyFont="1" applyBorder="1" applyAlignment="1">
      <alignment horizontal="left" vertical="center" wrapText="1"/>
    </xf>
    <xf numFmtId="0" fontId="29" fillId="0" borderId="3" xfId="0" applyFont="1" applyBorder="1" applyAlignment="1">
      <alignment vertical="center" wrapText="1"/>
    </xf>
    <xf numFmtId="0" fontId="29" fillId="0" borderId="20" xfId="0" applyFont="1" applyBorder="1" applyAlignment="1">
      <alignment vertical="center" wrapText="1"/>
    </xf>
    <xf numFmtId="0" fontId="29" fillId="0" borderId="38" xfId="0" applyFont="1" applyBorder="1" applyAlignment="1">
      <alignment horizontal="left" vertical="center" wrapText="1"/>
    </xf>
    <xf numFmtId="0" fontId="29" fillId="0" borderId="41" xfId="0" applyFont="1" applyBorder="1" applyAlignment="1">
      <alignment horizontal="left" vertical="center" wrapText="1"/>
    </xf>
    <xf numFmtId="0" fontId="29" fillId="0" borderId="44" xfId="0" applyFont="1" applyBorder="1" applyAlignment="1">
      <alignment horizontal="left" vertical="center" wrapText="1"/>
    </xf>
    <xf numFmtId="0" fontId="29" fillId="0" borderId="53" xfId="0" applyFont="1" applyBorder="1" applyAlignment="1">
      <alignment horizontal="left" vertical="center" wrapText="1"/>
    </xf>
    <xf numFmtId="0" fontId="29" fillId="0" borderId="52" xfId="0" applyFont="1" applyBorder="1" applyAlignment="1">
      <alignment horizontal="left" vertical="center" wrapText="1"/>
    </xf>
    <xf numFmtId="17" fontId="21" fillId="2" borderId="6" xfId="2" applyNumberFormat="1" applyFont="1" applyFill="1" applyBorder="1" applyAlignment="1">
      <alignment horizontal="center" vertical="center" wrapText="1"/>
    </xf>
    <xf numFmtId="17" fontId="21" fillId="2" borderId="7" xfId="2" applyNumberFormat="1" applyFont="1" applyFill="1" applyBorder="1" applyAlignment="1">
      <alignment horizontal="center" vertical="center" wrapText="1"/>
    </xf>
    <xf numFmtId="3" fontId="30" fillId="2" borderId="6" xfId="0" applyNumberFormat="1" applyFont="1" applyFill="1" applyBorder="1" applyAlignment="1">
      <alignment horizontal="center" vertical="center"/>
    </xf>
    <xf numFmtId="0" fontId="32" fillId="0" borderId="0" xfId="2" applyFont="1"/>
    <xf numFmtId="49" fontId="31" fillId="0" borderId="0" xfId="2" applyNumberFormat="1" applyFont="1"/>
    <xf numFmtId="0" fontId="32" fillId="5" borderId="0" xfId="2" applyFont="1" applyFill="1"/>
    <xf numFmtId="0" fontId="33" fillId="6" borderId="42" xfId="2" applyFont="1" applyFill="1" applyBorder="1" applyAlignment="1">
      <alignment horizontal="center"/>
    </xf>
    <xf numFmtId="0" fontId="33" fillId="0" borderId="1" xfId="2" applyFont="1" applyBorder="1" applyAlignment="1">
      <alignment vertical="center" textRotation="90"/>
    </xf>
    <xf numFmtId="0" fontId="33" fillId="7" borderId="1" xfId="2" applyFont="1" applyFill="1" applyBorder="1"/>
    <xf numFmtId="0" fontId="33" fillId="0" borderId="14" xfId="2" applyFont="1" applyBorder="1"/>
    <xf numFmtId="0" fontId="32" fillId="0" borderId="59" xfId="2" applyFont="1" applyBorder="1"/>
    <xf numFmtId="0" fontId="32" fillId="0" borderId="14" xfId="2" applyFont="1" applyBorder="1"/>
    <xf numFmtId="0" fontId="32" fillId="0" borderId="42" xfId="2" applyFont="1" applyBorder="1" applyAlignment="1">
      <alignment horizontal="center"/>
    </xf>
    <xf numFmtId="0" fontId="32" fillId="0" borderId="17" xfId="2" applyFont="1" applyBorder="1" applyAlignment="1">
      <alignment horizontal="center"/>
    </xf>
    <xf numFmtId="0" fontId="33" fillId="0" borderId="2" xfId="2" applyFont="1" applyBorder="1" applyAlignment="1">
      <alignment horizontal="center" vertical="center" textRotation="90"/>
    </xf>
    <xf numFmtId="0" fontId="33" fillId="7" borderId="2" xfId="2" applyFont="1" applyFill="1" applyBorder="1" applyAlignment="1">
      <alignment horizontal="center"/>
    </xf>
    <xf numFmtId="0" fontId="34" fillId="7" borderId="2" xfId="2" applyFont="1" applyFill="1" applyBorder="1"/>
    <xf numFmtId="0" fontId="32" fillId="7" borderId="2" xfId="2" applyFont="1" applyFill="1" applyBorder="1"/>
    <xf numFmtId="0" fontId="35" fillId="0" borderId="14" xfId="2" applyFont="1" applyBorder="1"/>
    <xf numFmtId="0" fontId="32" fillId="0" borderId="0" xfId="2" applyFont="1" applyAlignment="1">
      <alignment horizontal="center"/>
    </xf>
    <xf numFmtId="0" fontId="33" fillId="0" borderId="42" xfId="2" applyFont="1" applyBorder="1"/>
    <xf numFmtId="0" fontId="32" fillId="0" borderId="42" xfId="2" applyFont="1" applyBorder="1"/>
    <xf numFmtId="0" fontId="33" fillId="0" borderId="17" xfId="2" applyFont="1" applyBorder="1"/>
    <xf numFmtId="0" fontId="33" fillId="7" borderId="42" xfId="2" applyFont="1" applyFill="1" applyBorder="1"/>
    <xf numFmtId="0" fontId="32" fillId="7" borderId="42" xfId="2" applyFont="1" applyFill="1" applyBorder="1"/>
    <xf numFmtId="0" fontId="33" fillId="0" borderId="2" xfId="2" applyFont="1" applyBorder="1" applyAlignment="1">
      <alignment horizontal="center" vertical="center" textRotation="88"/>
    </xf>
    <xf numFmtId="0" fontId="32" fillId="0" borderId="61" xfId="2" applyFont="1" applyBorder="1"/>
    <xf numFmtId="0" fontId="33" fillId="0" borderId="2" xfId="2" applyFont="1" applyBorder="1" applyAlignment="1">
      <alignment horizontal="center"/>
    </xf>
    <xf numFmtId="0" fontId="34" fillId="0" borderId="2" xfId="2" applyFont="1" applyBorder="1"/>
    <xf numFmtId="0" fontId="32" fillId="0" borderId="2" xfId="2" applyFont="1" applyBorder="1"/>
    <xf numFmtId="0" fontId="33" fillId="0" borderId="0" xfId="2" applyFont="1" applyAlignment="1">
      <alignment horizontal="center" vertical="center" textRotation="90"/>
    </xf>
    <xf numFmtId="0" fontId="33" fillId="7" borderId="61" xfId="2" applyFont="1" applyFill="1" applyBorder="1" applyAlignment="1">
      <alignment horizontal="center"/>
    </xf>
    <xf numFmtId="0" fontId="34" fillId="7" borderId="61" xfId="2" applyFont="1" applyFill="1" applyBorder="1"/>
    <xf numFmtId="0" fontId="32" fillId="7" borderId="61" xfId="2" applyFont="1" applyFill="1" applyBorder="1"/>
    <xf numFmtId="0" fontId="37" fillId="7" borderId="42" xfId="2" applyFont="1" applyFill="1" applyBorder="1"/>
    <xf numFmtId="0" fontId="38" fillId="0" borderId="42" xfId="2" applyFont="1" applyBorder="1" applyAlignment="1">
      <alignment horizontal="center"/>
    </xf>
    <xf numFmtId="49" fontId="33" fillId="0" borderId="42" xfId="2" applyNumberFormat="1" applyFont="1" applyBorder="1"/>
    <xf numFmtId="49" fontId="37" fillId="0" borderId="42" xfId="2" applyNumberFormat="1" applyFont="1" applyBorder="1"/>
    <xf numFmtId="0" fontId="39" fillId="0" borderId="0" xfId="2" applyFont="1" applyAlignment="1">
      <alignment horizontal="center" vertical="center" textRotation="90"/>
    </xf>
    <xf numFmtId="49" fontId="33" fillId="0" borderId="0" xfId="2" applyNumberFormat="1" applyFont="1"/>
    <xf numFmtId="49" fontId="32" fillId="0" borderId="0" xfId="2" applyNumberFormat="1" applyFont="1"/>
    <xf numFmtId="0" fontId="33" fillId="7" borderId="0" xfId="2" applyFont="1" applyFill="1"/>
    <xf numFmtId="0" fontId="41" fillId="10" borderId="31" xfId="0" applyFont="1" applyFill="1" applyBorder="1" applyAlignment="1">
      <alignment horizontal="center" vertical="center"/>
    </xf>
    <xf numFmtId="17" fontId="42" fillId="10" borderId="39" xfId="2" applyNumberFormat="1" applyFont="1" applyFill="1" applyBorder="1" applyAlignment="1">
      <alignment horizontal="center" vertical="center" wrapText="1"/>
    </xf>
    <xf numFmtId="0" fontId="43" fillId="10" borderId="39" xfId="3" applyFont="1" applyFill="1" applyBorder="1" applyAlignment="1">
      <alignment horizontal="center" vertical="center" wrapText="1"/>
    </xf>
    <xf numFmtId="0" fontId="43" fillId="10" borderId="40" xfId="3" applyFont="1" applyFill="1" applyBorder="1" applyAlignment="1">
      <alignment horizontal="center" vertical="center" wrapText="1"/>
    </xf>
    <xf numFmtId="0" fontId="26" fillId="0" borderId="0" xfId="0" applyFont="1"/>
    <xf numFmtId="0" fontId="15" fillId="0" borderId="16" xfId="0" applyFont="1" applyBorder="1"/>
    <xf numFmtId="17" fontId="44" fillId="0" borderId="42" xfId="2" applyNumberFormat="1" applyFont="1" applyBorder="1" applyAlignment="1">
      <alignment horizontal="center" vertical="center" wrapText="1"/>
    </xf>
    <xf numFmtId="0" fontId="15" fillId="0" borderId="24" xfId="0" applyFont="1" applyBorder="1"/>
    <xf numFmtId="17" fontId="44" fillId="0" borderId="45" xfId="2" applyNumberFormat="1" applyFont="1" applyBorder="1" applyAlignment="1">
      <alignment horizontal="center" vertical="center" wrapText="1"/>
    </xf>
    <xf numFmtId="0" fontId="15" fillId="0" borderId="0" xfId="0" applyFont="1"/>
    <xf numFmtId="0" fontId="45" fillId="0" borderId="0" xfId="0" applyFont="1"/>
    <xf numFmtId="3" fontId="40" fillId="11" borderId="42" xfId="3" applyNumberFormat="1" applyFont="1" applyFill="1" applyBorder="1"/>
    <xf numFmtId="3" fontId="40" fillId="11" borderId="45" xfId="3" applyNumberFormat="1" applyFont="1" applyFill="1" applyBorder="1"/>
    <xf numFmtId="3" fontId="21" fillId="12" borderId="43" xfId="3" applyNumberFormat="1" applyFont="1" applyFill="1" applyBorder="1"/>
    <xf numFmtId="3" fontId="21" fillId="12" borderId="46" xfId="3" applyNumberFormat="1" applyFont="1" applyFill="1" applyBorder="1"/>
    <xf numFmtId="168" fontId="40" fillId="11" borderId="42" xfId="3" applyNumberFormat="1" applyFont="1" applyFill="1" applyBorder="1"/>
    <xf numFmtId="0" fontId="44" fillId="0" borderId="42" xfId="2" applyFont="1" applyBorder="1" applyAlignment="1">
      <alignment horizontal="center" vertical="center" wrapText="1"/>
    </xf>
    <xf numFmtId="168" fontId="21" fillId="12" borderId="43" xfId="3" applyNumberFormat="1" applyFont="1" applyFill="1" applyBorder="1"/>
    <xf numFmtId="0" fontId="41" fillId="10" borderId="6" xfId="0" applyFont="1" applyFill="1" applyBorder="1" applyAlignment="1">
      <alignment horizontal="center" vertical="center"/>
    </xf>
    <xf numFmtId="17" fontId="42" fillId="10" borderId="62" xfId="2" applyNumberFormat="1" applyFont="1" applyFill="1" applyBorder="1" applyAlignment="1">
      <alignment horizontal="center" vertical="center" wrapText="1"/>
    </xf>
    <xf numFmtId="0" fontId="43" fillId="10" borderId="6" xfId="3" applyFont="1" applyFill="1" applyBorder="1" applyAlignment="1">
      <alignment horizontal="center" vertical="center" wrapText="1"/>
    </xf>
    <xf numFmtId="0" fontId="43" fillId="10" borderId="37" xfId="3" applyFont="1" applyFill="1" applyBorder="1" applyAlignment="1">
      <alignment horizontal="center" vertical="center" wrapText="1"/>
    </xf>
    <xf numFmtId="0" fontId="43" fillId="10" borderId="51" xfId="3" applyFont="1" applyFill="1" applyBorder="1" applyAlignment="1">
      <alignment horizontal="center" vertical="center" wrapText="1"/>
    </xf>
    <xf numFmtId="0" fontId="43" fillId="10" borderId="62" xfId="3" applyFont="1" applyFill="1" applyBorder="1" applyAlignment="1">
      <alignment horizontal="center" vertical="center" wrapText="1"/>
    </xf>
    <xf numFmtId="0" fontId="43" fillId="10" borderId="7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17" fontId="29" fillId="0" borderId="19" xfId="2" applyNumberFormat="1" applyFont="1" applyBorder="1" applyAlignment="1">
      <alignment horizontal="center" vertical="center" wrapText="1"/>
    </xf>
    <xf numFmtId="0" fontId="40" fillId="0" borderId="16" xfId="2" applyFont="1" applyBorder="1" applyAlignment="1">
      <alignment horizontal="center" vertical="center" wrapText="1"/>
    </xf>
    <xf numFmtId="0" fontId="40" fillId="0" borderId="43" xfId="2" applyFont="1" applyBorder="1" applyAlignment="1">
      <alignment horizontal="center" vertical="center" wrapText="1"/>
    </xf>
    <xf numFmtId="0" fontId="40" fillId="0" borderId="17" xfId="2" applyFont="1" applyBorder="1" applyAlignment="1">
      <alignment horizontal="center" vertical="center" wrapText="1"/>
    </xf>
    <xf numFmtId="0" fontId="40" fillId="0" borderId="19" xfId="2" applyFont="1" applyBorder="1" applyAlignment="1">
      <alignment horizontal="center" vertical="center" wrapText="1"/>
    </xf>
    <xf numFmtId="0" fontId="46" fillId="0" borderId="49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17" fontId="29" fillId="0" borderId="23" xfId="2" applyNumberFormat="1" applyFont="1" applyBorder="1" applyAlignment="1">
      <alignment horizontal="center" vertical="center" wrapText="1"/>
    </xf>
    <xf numFmtId="0" fontId="46" fillId="0" borderId="48" xfId="0" applyFont="1" applyBorder="1" applyAlignment="1">
      <alignment horizontal="center" vertical="center"/>
    </xf>
    <xf numFmtId="0" fontId="40" fillId="0" borderId="24" xfId="2" applyFont="1" applyBorder="1" applyAlignment="1">
      <alignment horizontal="center" vertical="center" wrapText="1"/>
    </xf>
    <xf numFmtId="0" fontId="40" fillId="0" borderId="46" xfId="2" applyFont="1" applyBorder="1" applyAlignment="1">
      <alignment horizontal="center" vertical="center" wrapText="1"/>
    </xf>
    <xf numFmtId="0" fontId="40" fillId="0" borderId="25" xfId="2" applyFont="1" applyBorder="1" applyAlignment="1">
      <alignment horizontal="center" vertical="center" wrapText="1"/>
    </xf>
    <xf numFmtId="0" fontId="40" fillId="0" borderId="23" xfId="2" applyFont="1" applyBorder="1" applyAlignment="1">
      <alignment horizontal="center" vertical="center" wrapText="1"/>
    </xf>
    <xf numFmtId="0" fontId="46" fillId="0" borderId="0" xfId="0" applyFont="1"/>
    <xf numFmtId="0" fontId="46" fillId="0" borderId="0" xfId="0" applyFont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3" fontId="28" fillId="9" borderId="31" xfId="1" applyNumberFormat="1" applyFont="1" applyFill="1" applyBorder="1" applyAlignment="1">
      <alignment horizontal="center"/>
    </xf>
    <xf numFmtId="3" fontId="28" fillId="9" borderId="32" xfId="1" applyNumberFormat="1" applyFont="1" applyFill="1" applyBorder="1" applyAlignment="1">
      <alignment horizontal="center"/>
    </xf>
    <xf numFmtId="3" fontId="28" fillId="9" borderId="39" xfId="1" applyNumberFormat="1" applyFont="1" applyFill="1" applyBorder="1" applyAlignment="1">
      <alignment horizontal="center"/>
    </xf>
    <xf numFmtId="3" fontId="28" fillId="9" borderId="40" xfId="1" applyNumberFormat="1" applyFont="1" applyFill="1" applyBorder="1" applyAlignment="1">
      <alignment horizontal="center"/>
    </xf>
    <xf numFmtId="3" fontId="28" fillId="9" borderId="47" xfId="1" applyNumberFormat="1" applyFont="1" applyFill="1" applyBorder="1" applyAlignment="1">
      <alignment horizontal="center"/>
    </xf>
    <xf numFmtId="3" fontId="28" fillId="9" borderId="16" xfId="1" applyNumberFormat="1" applyFont="1" applyFill="1" applyBorder="1" applyAlignment="1">
      <alignment horizontal="center"/>
    </xf>
    <xf numFmtId="3" fontId="28" fillId="9" borderId="17" xfId="1" applyNumberFormat="1" applyFont="1" applyFill="1" applyBorder="1" applyAlignment="1">
      <alignment horizontal="center"/>
    </xf>
    <xf numFmtId="3" fontId="28" fillId="9" borderId="42" xfId="1" applyNumberFormat="1" applyFont="1" applyFill="1" applyBorder="1" applyAlignment="1">
      <alignment horizontal="center"/>
    </xf>
    <xf numFmtId="3" fontId="28" fillId="9" borderId="43" xfId="1" applyNumberFormat="1" applyFont="1" applyFill="1" applyBorder="1" applyAlignment="1">
      <alignment horizontal="center"/>
    </xf>
    <xf numFmtId="3" fontId="28" fillId="9" borderId="49" xfId="1" applyNumberFormat="1" applyFont="1" applyFill="1" applyBorder="1" applyAlignment="1">
      <alignment horizontal="center"/>
    </xf>
    <xf numFmtId="3" fontId="28" fillId="9" borderId="24" xfId="1" applyNumberFormat="1" applyFont="1" applyFill="1" applyBorder="1" applyAlignment="1">
      <alignment horizontal="center"/>
    </xf>
    <xf numFmtId="3" fontId="28" fillId="9" borderId="25" xfId="1" applyNumberFormat="1" applyFont="1" applyFill="1" applyBorder="1" applyAlignment="1">
      <alignment horizontal="center"/>
    </xf>
    <xf numFmtId="3" fontId="28" fillId="9" borderId="45" xfId="1" applyNumberFormat="1" applyFont="1" applyFill="1" applyBorder="1" applyAlignment="1">
      <alignment horizontal="center"/>
    </xf>
    <xf numFmtId="3" fontId="28" fillId="9" borderId="46" xfId="1" applyNumberFormat="1" applyFont="1" applyFill="1" applyBorder="1" applyAlignment="1">
      <alignment horizontal="center"/>
    </xf>
    <xf numFmtId="3" fontId="28" fillId="9" borderId="50" xfId="1" applyNumberFormat="1" applyFont="1" applyFill="1" applyBorder="1" applyAlignment="1">
      <alignment horizontal="center"/>
    </xf>
    <xf numFmtId="0" fontId="9" fillId="0" borderId="28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 textRotation="90" wrapText="1"/>
    </xf>
    <xf numFmtId="0" fontId="15" fillId="0" borderId="2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165" fontId="22" fillId="0" borderId="3" xfId="4" applyNumberFormat="1" applyFont="1" applyFill="1" applyBorder="1" applyAlignment="1">
      <alignment horizontal="right"/>
    </xf>
    <xf numFmtId="165" fontId="22" fillId="0" borderId="5" xfId="4" applyNumberFormat="1" applyFont="1" applyFill="1" applyBorder="1" applyAlignment="1">
      <alignment horizontal="right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20" fillId="3" borderId="3" xfId="3" applyFont="1" applyFill="1" applyBorder="1" applyAlignment="1">
      <alignment horizontal="right"/>
    </xf>
    <xf numFmtId="0" fontId="20" fillId="3" borderId="5" xfId="3" applyFont="1" applyFill="1" applyBorder="1" applyAlignment="1">
      <alignment horizontal="right"/>
    </xf>
    <xf numFmtId="0" fontId="21" fillId="4" borderId="0" xfId="3" applyFont="1" applyFill="1" applyAlignment="1">
      <alignment horizontal="right"/>
    </xf>
    <xf numFmtId="0" fontId="14" fillId="0" borderId="8" xfId="0" applyFont="1" applyBorder="1" applyAlignment="1">
      <alignment horizontal="center" vertical="center" textRotation="90" wrapText="1"/>
    </xf>
    <xf numFmtId="0" fontId="9" fillId="0" borderId="9" xfId="0" applyFont="1" applyBorder="1" applyAlignment="1">
      <alignment horizontal="center" vertical="center" textRotation="90" wrapText="1"/>
    </xf>
    <xf numFmtId="0" fontId="9" fillId="0" borderId="35" xfId="0" applyFont="1" applyBorder="1" applyAlignment="1">
      <alignment horizontal="center" vertical="center" textRotation="90" wrapText="1"/>
    </xf>
    <xf numFmtId="0" fontId="15" fillId="0" borderId="29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8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/>
    </xf>
    <xf numFmtId="0" fontId="47" fillId="0" borderId="0" xfId="2" applyFont="1" applyAlignment="1">
      <alignment horizontal="center"/>
    </xf>
    <xf numFmtId="0" fontId="30" fillId="2" borderId="3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textRotation="90" wrapText="1"/>
    </xf>
    <xf numFmtId="0" fontId="24" fillId="0" borderId="8" xfId="0" applyFont="1" applyBorder="1" applyAlignment="1">
      <alignment horizontal="center" vertical="center" textRotation="90" wrapText="1"/>
    </xf>
    <xf numFmtId="0" fontId="24" fillId="0" borderId="57" xfId="0" applyFont="1" applyBorder="1" applyAlignment="1">
      <alignment horizontal="center" vertical="center" textRotation="90" wrapText="1"/>
    </xf>
    <xf numFmtId="0" fontId="25" fillId="0" borderId="8" xfId="0" applyFont="1" applyBorder="1" applyAlignment="1">
      <alignment horizontal="center" vertical="center" textRotation="90" wrapText="1"/>
    </xf>
    <xf numFmtId="0" fontId="25" fillId="0" borderId="57" xfId="0" applyFont="1" applyBorder="1" applyAlignment="1">
      <alignment horizontal="center" vertical="center" textRotation="90" wrapText="1"/>
    </xf>
    <xf numFmtId="0" fontId="25" fillId="0" borderId="55" xfId="0" applyFont="1" applyBorder="1" applyAlignment="1">
      <alignment horizontal="center" vertical="center" textRotation="90" wrapText="1"/>
    </xf>
    <xf numFmtId="0" fontId="27" fillId="2" borderId="3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28" xfId="0" applyFont="1" applyFill="1" applyBorder="1" applyAlignment="1">
      <alignment horizontal="center" vertical="center"/>
    </xf>
    <xf numFmtId="0" fontId="31" fillId="0" borderId="42" xfId="2" applyFont="1" applyBorder="1" applyAlignment="1">
      <alignment horizontal="right"/>
    </xf>
    <xf numFmtId="0" fontId="33" fillId="8" borderId="58" xfId="2" applyFont="1" applyFill="1" applyBorder="1" applyAlignment="1">
      <alignment horizontal="center" vertical="center" textRotation="88"/>
    </xf>
    <xf numFmtId="0" fontId="33" fillId="8" borderId="60" xfId="2" applyFont="1" applyFill="1" applyBorder="1" applyAlignment="1">
      <alignment horizontal="center" vertical="center" textRotation="88"/>
    </xf>
    <xf numFmtId="0" fontId="33" fillId="8" borderId="59" xfId="2" applyFont="1" applyFill="1" applyBorder="1" applyAlignment="1">
      <alignment horizontal="center" vertical="center" textRotation="88"/>
    </xf>
    <xf numFmtId="0" fontId="33" fillId="0" borderId="58" xfId="2" applyFont="1" applyBorder="1" applyAlignment="1">
      <alignment horizontal="center" vertical="center" textRotation="90" wrapText="1"/>
    </xf>
    <xf numFmtId="0" fontId="33" fillId="0" borderId="60" xfId="2" applyFont="1" applyBorder="1" applyAlignment="1">
      <alignment horizontal="center" vertical="center" textRotation="90" wrapText="1"/>
    </xf>
    <xf numFmtId="0" fontId="33" fillId="0" borderId="59" xfId="2" applyFont="1" applyBorder="1" applyAlignment="1">
      <alignment horizontal="center" vertical="center" textRotation="90" wrapText="1"/>
    </xf>
    <xf numFmtId="0" fontId="33" fillId="8" borderId="58" xfId="2" applyFont="1" applyFill="1" applyBorder="1" applyAlignment="1">
      <alignment horizontal="center" vertical="center" textRotation="90"/>
    </xf>
    <xf numFmtId="0" fontId="33" fillId="8" borderId="60" xfId="2" applyFont="1" applyFill="1" applyBorder="1" applyAlignment="1">
      <alignment horizontal="center" vertical="center" textRotation="90"/>
    </xf>
    <xf numFmtId="0" fontId="36" fillId="9" borderId="61" xfId="2" applyFont="1" applyFill="1" applyBorder="1" applyAlignment="1">
      <alignment horizontal="center" vertical="center" textRotation="90"/>
    </xf>
    <xf numFmtId="0" fontId="36" fillId="9" borderId="0" xfId="2" applyFont="1" applyFill="1" applyAlignment="1">
      <alignment horizontal="center" vertical="center" textRotation="90"/>
    </xf>
    <xf numFmtId="0" fontId="31" fillId="0" borderId="19" xfId="2" applyFont="1" applyBorder="1" applyAlignment="1">
      <alignment horizontal="right"/>
    </xf>
    <xf numFmtId="0" fontId="31" fillId="0" borderId="2" xfId="2" applyFont="1" applyBorder="1" applyAlignment="1">
      <alignment horizontal="right"/>
    </xf>
    <xf numFmtId="0" fontId="31" fillId="0" borderId="17" xfId="2" applyFont="1" applyBorder="1" applyAlignment="1">
      <alignment horizontal="right"/>
    </xf>
    <xf numFmtId="0" fontId="33" fillId="0" borderId="58" xfId="2" applyFont="1" applyBorder="1" applyAlignment="1">
      <alignment horizontal="center" vertical="center" textRotation="90"/>
    </xf>
    <xf numFmtId="0" fontId="33" fillId="0" borderId="60" xfId="2" applyFont="1" applyBorder="1" applyAlignment="1">
      <alignment horizontal="center" vertical="center" textRotation="90"/>
    </xf>
    <xf numFmtId="0" fontId="33" fillId="0" borderId="59" xfId="2" applyFont="1" applyBorder="1" applyAlignment="1">
      <alignment horizontal="center" vertical="center" textRotation="90"/>
    </xf>
    <xf numFmtId="0" fontId="31" fillId="0" borderId="0" xfId="2" applyFont="1" applyAlignment="1">
      <alignment horizontal="center"/>
    </xf>
    <xf numFmtId="0" fontId="33" fillId="6" borderId="42" xfId="2" applyFont="1" applyFill="1" applyBorder="1" applyAlignment="1">
      <alignment horizontal="center"/>
    </xf>
  </cellXfs>
  <cellStyles count="6">
    <cellStyle name="Millares" xfId="1" builtinId="3"/>
    <cellStyle name="Millares 2" xfId="4" xr:uid="{7667EA8C-2F8D-4421-B395-A2D855D572AF}"/>
    <cellStyle name="Normal" xfId="0" builtinId="0"/>
    <cellStyle name="Normal 2" xfId="2" xr:uid="{3699CBD0-1BDD-45E2-825C-D730F0A43647}"/>
    <cellStyle name="Normal 2 2" xfId="5" xr:uid="{2436C963-A520-4325-A828-9084EF746C62}"/>
    <cellStyle name="Normal 4" xfId="3" xr:uid="{E05AC9E9-4565-4E13-93F7-1047BBAA5373}"/>
  </cellStyles>
  <dxfs count="2">
    <dxf>
      <font>
        <color rgb="FFC00000"/>
      </font>
      <fill>
        <patternFill>
          <bgColor rgb="FFFFCDCD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AFE4FF"/>
      <color rgb="FF10312B"/>
      <color rgb="FFDDC9A3"/>
      <color rgb="FF9898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51956</xdr:colOff>
      <xdr:row>0</xdr:row>
      <xdr:rowOff>51954</xdr:rowOff>
    </xdr:from>
    <xdr:to>
      <xdr:col>4</xdr:col>
      <xdr:colOff>536865</xdr:colOff>
      <xdr:row>3</xdr:row>
      <xdr:rowOff>286774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C5868D-110A-4CE0-80C8-8B673D49F1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44" t="17875" r="8869" b="17984"/>
        <a:stretch>
          <a:fillRect/>
        </a:stretch>
      </xdr:blipFill>
      <xdr:spPr>
        <a:xfrm>
          <a:off x="51956" y="51954"/>
          <a:ext cx="3567545" cy="11700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69273</xdr:colOff>
      <xdr:row>0</xdr:row>
      <xdr:rowOff>69273</xdr:rowOff>
    </xdr:from>
    <xdr:to>
      <xdr:col>4</xdr:col>
      <xdr:colOff>536863</xdr:colOff>
      <xdr:row>3</xdr:row>
      <xdr:rowOff>304093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4AC8E92-233E-37C4-FBA2-0549C3FCDA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44" t="17875" r="8869" b="17984"/>
        <a:stretch>
          <a:fillRect/>
        </a:stretch>
      </xdr:blipFill>
      <xdr:spPr>
        <a:xfrm>
          <a:off x="69273" y="69273"/>
          <a:ext cx="3567545" cy="11700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409575</xdr:colOff>
      <xdr:row>3</xdr:row>
      <xdr:rowOff>85725</xdr:rowOff>
    </xdr:to>
    <xdr:pic>
      <xdr:nvPicPr>
        <xdr:cNvPr id="2" name="4 Imagen" descr="JS1l">
          <a:extLst>
            <a:ext uri="{FF2B5EF4-FFF2-40B4-BE49-F238E27FC236}">
              <a16:creationId xmlns:a16="http://schemas.microsoft.com/office/drawing/2014/main" id="{C4EF4F8D-DEB6-4891-86B8-0C05C8321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573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" connectionId="1" xr16:uid="{F1A3E925-F1F7-429A-82E2-D1BD78DAA55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FE4D-7189-49B9-A4FB-424D24DF7DF2}">
  <dimension ref="A1:AF92"/>
  <sheetViews>
    <sheetView showGridLines="0" tabSelected="1" topLeftCell="A43" zoomScale="55" zoomScaleNormal="55" zoomScaleSheetLayoutView="70" workbookViewId="0">
      <selection activeCell="P56" sqref="P56"/>
    </sheetView>
  </sheetViews>
  <sheetFormatPr baseColWidth="10" defaultColWidth="11.42578125" defaultRowHeight="15" x14ac:dyDescent="0.25"/>
  <cols>
    <col min="1" max="1" width="6.140625" customWidth="1"/>
    <col min="3" max="3" width="15" customWidth="1"/>
    <col min="4" max="5" width="13.42578125" customWidth="1"/>
    <col min="6" max="6" width="21.140625" bestFit="1" customWidth="1"/>
    <col min="7" max="10" width="21.140625" customWidth="1"/>
    <col min="11" max="11" width="18.5703125" customWidth="1"/>
    <col min="12" max="15" width="16.7109375" customWidth="1"/>
    <col min="16" max="16" width="18.28515625" customWidth="1"/>
    <col min="17" max="25" width="16.7109375" customWidth="1"/>
    <col min="26" max="26" width="18.42578125" customWidth="1"/>
    <col min="27" max="27" width="17.42578125" bestFit="1" customWidth="1"/>
    <col min="28" max="28" width="14" bestFit="1" customWidth="1"/>
    <col min="29" max="29" width="12.28515625" bestFit="1" customWidth="1"/>
    <col min="30" max="30" width="14" bestFit="1" customWidth="1"/>
    <col min="31" max="31" width="12.42578125" bestFit="1" customWidth="1"/>
    <col min="32" max="32" width="13.7109375" bestFit="1" customWidth="1"/>
  </cols>
  <sheetData>
    <row r="1" spans="1:32" s="3" customFormat="1" ht="27.75" customHeight="1" x14ac:dyDescent="0.55000000000000004">
      <c r="A1" s="226" t="s">
        <v>0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174"/>
      <c r="AC1" s="2"/>
      <c r="AD1" s="2"/>
    </row>
    <row r="2" spans="1:32" s="3" customFormat="1" ht="23.25" customHeight="1" x14ac:dyDescent="0.55000000000000004">
      <c r="A2" s="226" t="s">
        <v>1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174"/>
      <c r="AC2" s="4"/>
      <c r="AD2" s="4"/>
    </row>
    <row r="3" spans="1:32" s="3" customFormat="1" ht="23.25" customHeight="1" x14ac:dyDescent="0.55000000000000004">
      <c r="A3" s="226" t="s">
        <v>2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174"/>
      <c r="AC3" s="4"/>
      <c r="AD3" s="4"/>
    </row>
    <row r="4" spans="1:32" s="3" customFormat="1" ht="36" x14ac:dyDescent="0.65">
      <c r="A4" s="231" t="s">
        <v>299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5"/>
      <c r="AC4" s="6"/>
      <c r="AD4" s="6"/>
    </row>
    <row r="5" spans="1:32" s="1" customFormat="1" ht="22.5" customHeight="1" x14ac:dyDescent="0.45">
      <c r="A5" s="175" t="s">
        <v>3</v>
      </c>
      <c r="B5" s="176"/>
      <c r="C5" s="177"/>
      <c r="D5" s="225" t="s">
        <v>74</v>
      </c>
      <c r="E5" s="225"/>
      <c r="F5" s="225"/>
      <c r="G5" s="225"/>
      <c r="H5" s="225"/>
      <c r="I5" s="225"/>
      <c r="J5" s="225"/>
      <c r="L5" s="178"/>
      <c r="S5" s="179"/>
      <c r="T5" s="179"/>
      <c r="U5" s="227" t="s">
        <v>34</v>
      </c>
      <c r="V5" s="227"/>
      <c r="W5" s="227"/>
      <c r="X5" s="230">
        <v>1</v>
      </c>
      <c r="Y5" s="230"/>
      <c r="Z5" s="230"/>
      <c r="AA5" s="230"/>
      <c r="AC5" s="180"/>
      <c r="AD5" s="180"/>
    </row>
    <row r="6" spans="1:32" s="1" customFormat="1" ht="22.5" customHeight="1" x14ac:dyDescent="0.45">
      <c r="A6" s="176" t="s">
        <v>5</v>
      </c>
      <c r="B6" s="176"/>
      <c r="C6" s="175"/>
      <c r="D6" s="224" t="s">
        <v>76</v>
      </c>
      <c r="E6" s="224"/>
      <c r="F6" s="224"/>
      <c r="G6" s="224"/>
      <c r="H6" s="224"/>
      <c r="I6" s="224"/>
      <c r="J6" s="224"/>
      <c r="K6" s="176"/>
      <c r="L6" s="227" t="s">
        <v>4</v>
      </c>
      <c r="M6" s="227"/>
      <c r="N6" s="228" t="s">
        <v>74</v>
      </c>
      <c r="O6" s="228"/>
      <c r="P6" s="228"/>
      <c r="Q6" s="228"/>
      <c r="R6" s="228"/>
      <c r="S6" s="179"/>
      <c r="T6" s="227" t="s">
        <v>35</v>
      </c>
      <c r="U6" s="227"/>
      <c r="V6" s="228" t="s">
        <v>75</v>
      </c>
      <c r="W6" s="228"/>
      <c r="X6" s="229"/>
      <c r="Y6" s="229"/>
      <c r="Z6" s="229"/>
      <c r="AC6" s="180"/>
      <c r="AD6" s="180"/>
    </row>
    <row r="7" spans="1:32" s="8" customFormat="1" ht="21" customHeight="1" x14ac:dyDescent="0.35">
      <c r="A7"/>
      <c r="B7"/>
      <c r="C7"/>
      <c r="D7"/>
      <c r="E7"/>
      <c r="F7"/>
      <c r="G7"/>
      <c r="H7"/>
      <c r="I7"/>
      <c r="J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Y7" s="9"/>
      <c r="Z7" s="9"/>
      <c r="AB7" s="9"/>
    </row>
    <row r="8" spans="1:32" s="8" customFormat="1" ht="23.25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/>
      <c r="X8"/>
      <c r="Y8"/>
      <c r="Z8"/>
      <c r="AA8"/>
      <c r="AC8" s="9"/>
    </row>
    <row r="9" spans="1:32" s="8" customFormat="1" ht="11.1" customHeight="1" thickBot="1" x14ac:dyDescent="0.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9"/>
      <c r="Y9" s="7"/>
      <c r="Z9" s="7"/>
      <c r="AA9" s="7"/>
      <c r="AC9" s="9"/>
    </row>
    <row r="10" spans="1:32" s="12" customFormat="1" ht="57" customHeight="1" thickBot="1" x14ac:dyDescent="0.25">
      <c r="A10" s="220" t="s">
        <v>7</v>
      </c>
      <c r="B10" s="221"/>
      <c r="C10" s="222" t="s">
        <v>8</v>
      </c>
      <c r="D10" s="223"/>
      <c r="E10" s="223"/>
      <c r="F10" s="223"/>
      <c r="G10" s="88" t="s">
        <v>36</v>
      </c>
      <c r="H10" s="88" t="s">
        <v>37</v>
      </c>
      <c r="I10" s="88" t="s">
        <v>98</v>
      </c>
      <c r="J10" s="88" t="s">
        <v>38</v>
      </c>
      <c r="K10" s="88" t="s">
        <v>39</v>
      </c>
      <c r="L10" s="88" t="s">
        <v>40</v>
      </c>
      <c r="M10" s="88" t="s">
        <v>41</v>
      </c>
      <c r="N10" s="88" t="s">
        <v>42</v>
      </c>
      <c r="O10" s="88" t="s">
        <v>43</v>
      </c>
      <c r="P10" s="88" t="s">
        <v>44</v>
      </c>
      <c r="Q10" s="88" t="s">
        <v>45</v>
      </c>
      <c r="R10" s="88" t="s">
        <v>46</v>
      </c>
      <c r="S10" s="88" t="s">
        <v>47</v>
      </c>
      <c r="T10" s="88" t="s">
        <v>48</v>
      </c>
      <c r="U10" s="88" t="s">
        <v>49</v>
      </c>
      <c r="V10" s="88" t="s">
        <v>50</v>
      </c>
      <c r="W10" s="88" t="s">
        <v>51</v>
      </c>
      <c r="X10" s="88" t="s">
        <v>52</v>
      </c>
      <c r="Y10" s="88" t="s">
        <v>53</v>
      </c>
      <c r="Z10" s="89" t="s">
        <v>54</v>
      </c>
      <c r="AA10" s="89" t="s">
        <v>9</v>
      </c>
      <c r="AB10" s="10"/>
      <c r="AC10" s="11"/>
    </row>
    <row r="11" spans="1:32" s="14" customFormat="1" ht="36" customHeight="1" x14ac:dyDescent="0.45">
      <c r="A11" s="214" t="s">
        <v>10</v>
      </c>
      <c r="B11" s="215" t="s">
        <v>11</v>
      </c>
      <c r="C11" s="198" t="s">
        <v>79</v>
      </c>
      <c r="D11" s="199"/>
      <c r="E11" s="217"/>
      <c r="F11" s="13" t="s">
        <v>12</v>
      </c>
      <c r="G11" s="52"/>
      <c r="H11" s="53"/>
      <c r="I11" s="53"/>
      <c r="J11" s="53">
        <v>100</v>
      </c>
      <c r="K11" s="53">
        <v>35</v>
      </c>
      <c r="L11" s="53">
        <v>40</v>
      </c>
      <c r="M11" s="53">
        <v>90</v>
      </c>
      <c r="N11" s="53">
        <v>50</v>
      </c>
      <c r="O11" s="53">
        <v>90</v>
      </c>
      <c r="P11" s="53">
        <v>2813</v>
      </c>
      <c r="Q11" s="53">
        <v>45</v>
      </c>
      <c r="R11" s="53">
        <v>40</v>
      </c>
      <c r="S11" s="53">
        <v>190</v>
      </c>
      <c r="T11" s="53">
        <v>245</v>
      </c>
      <c r="U11" s="53">
        <v>195</v>
      </c>
      <c r="V11" s="53">
        <v>90</v>
      </c>
      <c r="W11" s="53">
        <v>165</v>
      </c>
      <c r="X11" s="53">
        <v>290</v>
      </c>
      <c r="Y11" s="53">
        <v>157</v>
      </c>
      <c r="Z11" s="54">
        <v>305</v>
      </c>
      <c r="AA11" s="54">
        <f>SUM(I11:Z11)</f>
        <v>4940</v>
      </c>
      <c r="AD11" s="15"/>
      <c r="AE11" s="16"/>
      <c r="AF11" s="16"/>
    </row>
    <row r="12" spans="1:32" s="14" customFormat="1" ht="36" customHeight="1" x14ac:dyDescent="0.45">
      <c r="A12" s="214"/>
      <c r="B12" s="215"/>
      <c r="C12" s="204"/>
      <c r="D12" s="205"/>
      <c r="E12" s="218"/>
      <c r="F12" s="13" t="s">
        <v>13</v>
      </c>
      <c r="G12" s="55"/>
      <c r="H12" s="56"/>
      <c r="I12" s="56"/>
      <c r="J12" s="56">
        <v>62</v>
      </c>
      <c r="K12" s="56">
        <v>30</v>
      </c>
      <c r="L12" s="56">
        <v>35</v>
      </c>
      <c r="M12" s="56">
        <v>65</v>
      </c>
      <c r="N12" s="56">
        <v>35</v>
      </c>
      <c r="O12" s="56">
        <v>45</v>
      </c>
      <c r="P12" s="56">
        <v>3396</v>
      </c>
      <c r="Q12" s="56">
        <v>50</v>
      </c>
      <c r="R12" s="56">
        <v>35</v>
      </c>
      <c r="S12" s="56">
        <v>97</v>
      </c>
      <c r="T12" s="56">
        <v>105</v>
      </c>
      <c r="U12" s="56">
        <v>90</v>
      </c>
      <c r="V12" s="56">
        <v>65</v>
      </c>
      <c r="W12" s="56">
        <v>105</v>
      </c>
      <c r="X12" s="56">
        <v>180</v>
      </c>
      <c r="Y12" s="56">
        <v>123</v>
      </c>
      <c r="Z12" s="57">
        <v>195</v>
      </c>
      <c r="AA12" s="57">
        <f t="shared" ref="AA12:AA56" si="0">SUM(I12:Z12)</f>
        <v>4713</v>
      </c>
      <c r="AD12" s="15"/>
      <c r="AE12" s="16"/>
      <c r="AF12" s="16"/>
    </row>
    <row r="13" spans="1:32" s="14" customFormat="1" ht="36" customHeight="1" x14ac:dyDescent="0.45">
      <c r="A13" s="214"/>
      <c r="B13" s="215"/>
      <c r="C13" s="204"/>
      <c r="D13" s="205"/>
      <c r="E13" s="218"/>
      <c r="F13" s="13" t="s">
        <v>14</v>
      </c>
      <c r="G13" s="55"/>
      <c r="H13" s="56"/>
      <c r="I13" s="56"/>
      <c r="J13" s="56">
        <v>15</v>
      </c>
      <c r="K13" s="56">
        <v>5</v>
      </c>
      <c r="L13" s="56">
        <v>5</v>
      </c>
      <c r="M13" s="56">
        <v>5</v>
      </c>
      <c r="N13" s="56">
        <v>10</v>
      </c>
      <c r="O13" s="56">
        <v>10</v>
      </c>
      <c r="P13" s="56">
        <v>72</v>
      </c>
      <c r="Q13" s="56">
        <v>5</v>
      </c>
      <c r="R13" s="56">
        <v>10</v>
      </c>
      <c r="S13" s="56">
        <v>15</v>
      </c>
      <c r="T13" s="56">
        <v>15</v>
      </c>
      <c r="U13" s="56">
        <v>10</v>
      </c>
      <c r="V13" s="56">
        <v>10</v>
      </c>
      <c r="W13" s="56">
        <v>5</v>
      </c>
      <c r="X13" s="56">
        <v>15</v>
      </c>
      <c r="Y13" s="56">
        <v>10</v>
      </c>
      <c r="Z13" s="57">
        <v>15</v>
      </c>
      <c r="AA13" s="57">
        <f t="shared" si="0"/>
        <v>232</v>
      </c>
      <c r="AD13" s="15"/>
      <c r="AE13" s="16"/>
      <c r="AF13" s="16"/>
    </row>
    <row r="14" spans="1:32" s="14" customFormat="1" ht="36" customHeight="1" x14ac:dyDescent="0.45">
      <c r="A14" s="214"/>
      <c r="B14" s="215"/>
      <c r="C14" s="204"/>
      <c r="D14" s="205"/>
      <c r="E14" s="218"/>
      <c r="F14" s="17" t="s">
        <v>15</v>
      </c>
      <c r="G14" s="55"/>
      <c r="H14" s="56"/>
      <c r="I14" s="56"/>
      <c r="J14" s="56">
        <v>5</v>
      </c>
      <c r="K14" s="56">
        <v>3</v>
      </c>
      <c r="L14" s="56">
        <v>1</v>
      </c>
      <c r="M14" s="56">
        <v>5</v>
      </c>
      <c r="N14" s="56">
        <v>5</v>
      </c>
      <c r="O14" s="56">
        <v>5</v>
      </c>
      <c r="P14" s="56">
        <v>347</v>
      </c>
      <c r="Q14" s="56">
        <v>5</v>
      </c>
      <c r="R14" s="56">
        <v>2</v>
      </c>
      <c r="S14" s="56">
        <v>20</v>
      </c>
      <c r="T14" s="56">
        <v>25</v>
      </c>
      <c r="U14" s="56">
        <v>20</v>
      </c>
      <c r="V14" s="56">
        <v>10</v>
      </c>
      <c r="W14" s="56">
        <v>20</v>
      </c>
      <c r="X14" s="56">
        <v>20</v>
      </c>
      <c r="Y14" s="56">
        <v>15</v>
      </c>
      <c r="Z14" s="57">
        <v>20</v>
      </c>
      <c r="AA14" s="57">
        <f t="shared" si="0"/>
        <v>528</v>
      </c>
      <c r="AD14" s="15"/>
      <c r="AE14" s="16"/>
      <c r="AF14" s="16"/>
    </row>
    <row r="15" spans="1:32" s="14" customFormat="1" ht="36" customHeight="1" thickBot="1" x14ac:dyDescent="0.5">
      <c r="A15" s="214"/>
      <c r="B15" s="215"/>
      <c r="C15" s="201"/>
      <c r="D15" s="202"/>
      <c r="E15" s="219"/>
      <c r="F15" s="18" t="s">
        <v>16</v>
      </c>
      <c r="G15" s="58"/>
      <c r="H15" s="59"/>
      <c r="I15" s="59"/>
      <c r="J15" s="59">
        <v>5</v>
      </c>
      <c r="K15" s="59">
        <v>2</v>
      </c>
      <c r="L15" s="59">
        <v>2</v>
      </c>
      <c r="M15" s="59">
        <v>5</v>
      </c>
      <c r="N15" s="59">
        <v>5</v>
      </c>
      <c r="O15" s="59">
        <v>5</v>
      </c>
      <c r="P15" s="59">
        <v>184</v>
      </c>
      <c r="Q15" s="59">
        <v>5</v>
      </c>
      <c r="R15" s="59">
        <v>2</v>
      </c>
      <c r="S15" s="59">
        <v>10</v>
      </c>
      <c r="T15" s="59">
        <v>10</v>
      </c>
      <c r="U15" s="59">
        <v>5</v>
      </c>
      <c r="V15" s="59">
        <v>5</v>
      </c>
      <c r="W15" s="59">
        <v>10</v>
      </c>
      <c r="X15" s="59">
        <v>15</v>
      </c>
      <c r="Y15" s="59">
        <v>10</v>
      </c>
      <c r="Z15" s="60">
        <v>15</v>
      </c>
      <c r="AA15" s="60">
        <f t="shared" si="0"/>
        <v>295</v>
      </c>
      <c r="AD15" s="15"/>
      <c r="AE15" s="16"/>
      <c r="AF15" s="16"/>
    </row>
    <row r="16" spans="1:32" s="14" customFormat="1" ht="36" customHeight="1" x14ac:dyDescent="0.45">
      <c r="A16" s="214"/>
      <c r="B16" s="215"/>
      <c r="C16" s="198" t="s">
        <v>80</v>
      </c>
      <c r="D16" s="199"/>
      <c r="E16" s="217"/>
      <c r="F16" s="19" t="s">
        <v>17</v>
      </c>
      <c r="G16" s="61"/>
      <c r="H16" s="62"/>
      <c r="I16" s="62"/>
      <c r="J16" s="62">
        <v>100</v>
      </c>
      <c r="K16" s="62">
        <v>35</v>
      </c>
      <c r="L16" s="62">
        <v>40</v>
      </c>
      <c r="M16" s="62">
        <v>90</v>
      </c>
      <c r="N16" s="62">
        <v>50</v>
      </c>
      <c r="O16" s="62">
        <v>90</v>
      </c>
      <c r="P16" s="62">
        <v>2813</v>
      </c>
      <c r="Q16" s="62">
        <v>45</v>
      </c>
      <c r="R16" s="62">
        <v>40</v>
      </c>
      <c r="S16" s="62">
        <v>190</v>
      </c>
      <c r="T16" s="62">
        <v>245</v>
      </c>
      <c r="U16" s="62">
        <v>195</v>
      </c>
      <c r="V16" s="62">
        <v>90</v>
      </c>
      <c r="W16" s="62">
        <v>165</v>
      </c>
      <c r="X16" s="62">
        <v>290</v>
      </c>
      <c r="Y16" s="62">
        <v>157</v>
      </c>
      <c r="Z16" s="63">
        <v>305</v>
      </c>
      <c r="AA16" s="57">
        <f t="shared" si="0"/>
        <v>4940</v>
      </c>
      <c r="AD16" s="15"/>
      <c r="AE16" s="16"/>
      <c r="AF16" s="16"/>
    </row>
    <row r="17" spans="1:32" s="14" customFormat="1" ht="36" customHeight="1" x14ac:dyDescent="0.45">
      <c r="A17" s="214"/>
      <c r="B17" s="215"/>
      <c r="C17" s="204"/>
      <c r="D17" s="205"/>
      <c r="E17" s="218"/>
      <c r="F17" s="13" t="s">
        <v>18</v>
      </c>
      <c r="G17" s="55"/>
      <c r="H17" s="56"/>
      <c r="I17" s="56"/>
      <c r="J17" s="56">
        <v>62</v>
      </c>
      <c r="K17" s="56">
        <v>30</v>
      </c>
      <c r="L17" s="56">
        <v>35</v>
      </c>
      <c r="M17" s="56">
        <v>65</v>
      </c>
      <c r="N17" s="56">
        <v>35</v>
      </c>
      <c r="O17" s="56">
        <v>45</v>
      </c>
      <c r="P17" s="56">
        <v>3396</v>
      </c>
      <c r="Q17" s="56">
        <v>50</v>
      </c>
      <c r="R17" s="56">
        <v>35</v>
      </c>
      <c r="S17" s="56">
        <v>97</v>
      </c>
      <c r="T17" s="56">
        <v>105</v>
      </c>
      <c r="U17" s="56">
        <v>90</v>
      </c>
      <c r="V17" s="56">
        <v>65</v>
      </c>
      <c r="W17" s="56">
        <v>105</v>
      </c>
      <c r="X17" s="56">
        <v>180</v>
      </c>
      <c r="Y17" s="56">
        <v>123</v>
      </c>
      <c r="Z17" s="57">
        <v>195</v>
      </c>
      <c r="AA17" s="57">
        <f t="shared" si="0"/>
        <v>4713</v>
      </c>
      <c r="AD17" s="15"/>
      <c r="AE17" s="16"/>
      <c r="AF17" s="16"/>
    </row>
    <row r="18" spans="1:32" s="14" customFormat="1" ht="36" customHeight="1" x14ac:dyDescent="0.45">
      <c r="A18" s="214"/>
      <c r="B18" s="215"/>
      <c r="C18" s="204"/>
      <c r="D18" s="205"/>
      <c r="E18" s="218"/>
      <c r="F18" s="13" t="s">
        <v>19</v>
      </c>
      <c r="G18" s="55"/>
      <c r="H18" s="56"/>
      <c r="I18" s="56"/>
      <c r="J18" s="56">
        <v>15</v>
      </c>
      <c r="K18" s="56">
        <v>5</v>
      </c>
      <c r="L18" s="56">
        <v>5</v>
      </c>
      <c r="M18" s="56">
        <v>5</v>
      </c>
      <c r="N18" s="56">
        <v>10</v>
      </c>
      <c r="O18" s="56">
        <v>10</v>
      </c>
      <c r="P18" s="56">
        <v>72</v>
      </c>
      <c r="Q18" s="56">
        <v>5</v>
      </c>
      <c r="R18" s="56">
        <v>10</v>
      </c>
      <c r="S18" s="56">
        <v>15</v>
      </c>
      <c r="T18" s="56">
        <v>15</v>
      </c>
      <c r="U18" s="56">
        <v>10</v>
      </c>
      <c r="V18" s="56">
        <v>10</v>
      </c>
      <c r="W18" s="56">
        <v>5</v>
      </c>
      <c r="X18" s="56">
        <v>15</v>
      </c>
      <c r="Y18" s="56">
        <v>10</v>
      </c>
      <c r="Z18" s="57">
        <v>15</v>
      </c>
      <c r="AA18" s="57">
        <f t="shared" si="0"/>
        <v>232</v>
      </c>
      <c r="AD18" s="15"/>
      <c r="AE18" s="16"/>
      <c r="AF18" s="16"/>
    </row>
    <row r="19" spans="1:32" s="14" customFormat="1" ht="36" customHeight="1" x14ac:dyDescent="0.45">
      <c r="A19" s="214"/>
      <c r="B19" s="215"/>
      <c r="C19" s="204"/>
      <c r="D19" s="205"/>
      <c r="E19" s="218"/>
      <c r="F19" s="17" t="s">
        <v>20</v>
      </c>
      <c r="G19" s="55"/>
      <c r="H19" s="56"/>
      <c r="I19" s="56"/>
      <c r="J19" s="56">
        <v>5</v>
      </c>
      <c r="K19" s="56">
        <v>3</v>
      </c>
      <c r="L19" s="56">
        <v>1</v>
      </c>
      <c r="M19" s="56">
        <v>5</v>
      </c>
      <c r="N19" s="56">
        <v>5</v>
      </c>
      <c r="O19" s="56">
        <v>5</v>
      </c>
      <c r="P19" s="56">
        <v>347</v>
      </c>
      <c r="Q19" s="56">
        <v>5</v>
      </c>
      <c r="R19" s="56">
        <v>2</v>
      </c>
      <c r="S19" s="56">
        <v>20</v>
      </c>
      <c r="T19" s="56">
        <v>25</v>
      </c>
      <c r="U19" s="56">
        <v>20</v>
      </c>
      <c r="V19" s="56">
        <v>10</v>
      </c>
      <c r="W19" s="56">
        <v>20</v>
      </c>
      <c r="X19" s="56">
        <v>20</v>
      </c>
      <c r="Y19" s="56">
        <v>15</v>
      </c>
      <c r="Z19" s="57">
        <v>20</v>
      </c>
      <c r="AA19" s="57">
        <f t="shared" si="0"/>
        <v>528</v>
      </c>
      <c r="AD19" s="15"/>
      <c r="AE19" s="16"/>
      <c r="AF19" s="16"/>
    </row>
    <row r="20" spans="1:32" s="14" customFormat="1" ht="36" customHeight="1" thickBot="1" x14ac:dyDescent="0.5">
      <c r="A20" s="214"/>
      <c r="B20" s="215"/>
      <c r="C20" s="201"/>
      <c r="D20" s="202"/>
      <c r="E20" s="219"/>
      <c r="F20" s="18" t="s">
        <v>21</v>
      </c>
      <c r="G20" s="58"/>
      <c r="H20" s="59"/>
      <c r="I20" s="59"/>
      <c r="J20" s="59">
        <v>5</v>
      </c>
      <c r="K20" s="59">
        <v>2</v>
      </c>
      <c r="L20" s="59">
        <v>2</v>
      </c>
      <c r="M20" s="59">
        <v>5</v>
      </c>
      <c r="N20" s="59">
        <v>5</v>
      </c>
      <c r="O20" s="59">
        <v>5</v>
      </c>
      <c r="P20" s="59">
        <v>184</v>
      </c>
      <c r="Q20" s="59">
        <v>5</v>
      </c>
      <c r="R20" s="59">
        <v>2</v>
      </c>
      <c r="S20" s="59">
        <v>10</v>
      </c>
      <c r="T20" s="59">
        <v>10</v>
      </c>
      <c r="U20" s="59">
        <v>5</v>
      </c>
      <c r="V20" s="59">
        <v>5</v>
      </c>
      <c r="W20" s="59">
        <v>10</v>
      </c>
      <c r="X20" s="59">
        <v>15</v>
      </c>
      <c r="Y20" s="59">
        <v>10</v>
      </c>
      <c r="Z20" s="60">
        <v>15</v>
      </c>
      <c r="AA20" s="60">
        <f t="shared" si="0"/>
        <v>295</v>
      </c>
      <c r="AD20" s="15"/>
      <c r="AE20" s="16"/>
      <c r="AF20" s="16"/>
    </row>
    <row r="21" spans="1:32" s="14" customFormat="1" ht="36" customHeight="1" x14ac:dyDescent="0.45">
      <c r="A21" s="214"/>
      <c r="B21" s="215"/>
      <c r="C21" s="198" t="s">
        <v>81</v>
      </c>
      <c r="D21" s="199"/>
      <c r="E21" s="200"/>
      <c r="F21" s="19" t="s">
        <v>22</v>
      </c>
      <c r="G21" s="61"/>
      <c r="H21" s="62"/>
      <c r="I21" s="62"/>
      <c r="J21" s="62">
        <v>118</v>
      </c>
      <c r="K21" s="62">
        <v>30</v>
      </c>
      <c r="L21" s="62">
        <v>84</v>
      </c>
      <c r="M21" s="62">
        <v>73</v>
      </c>
      <c r="N21" s="62">
        <v>95</v>
      </c>
      <c r="O21" s="62">
        <v>90</v>
      </c>
      <c r="P21" s="62">
        <v>1822</v>
      </c>
      <c r="Q21" s="62">
        <v>82</v>
      </c>
      <c r="R21" s="62">
        <v>84</v>
      </c>
      <c r="S21" s="62">
        <v>179</v>
      </c>
      <c r="T21" s="62">
        <v>180</v>
      </c>
      <c r="U21" s="62">
        <v>76</v>
      </c>
      <c r="V21" s="62">
        <v>99</v>
      </c>
      <c r="W21" s="62">
        <v>123</v>
      </c>
      <c r="X21" s="62">
        <v>365</v>
      </c>
      <c r="Y21" s="62">
        <v>127</v>
      </c>
      <c r="Z21" s="63">
        <v>334</v>
      </c>
      <c r="AA21" s="57">
        <f t="shared" si="0"/>
        <v>3961</v>
      </c>
      <c r="AD21" s="15"/>
      <c r="AE21" s="16"/>
      <c r="AF21" s="16"/>
    </row>
    <row r="22" spans="1:32" s="14" customFormat="1" ht="36" customHeight="1" x14ac:dyDescent="0.45">
      <c r="A22" s="214"/>
      <c r="B22" s="215"/>
      <c r="C22" s="204"/>
      <c r="D22" s="205"/>
      <c r="E22" s="206"/>
      <c r="F22" s="13" t="s">
        <v>19</v>
      </c>
      <c r="G22" s="55"/>
      <c r="H22" s="56">
        <v>300</v>
      </c>
      <c r="I22" s="56"/>
      <c r="J22" s="56">
        <v>120</v>
      </c>
      <c r="K22" s="56">
        <v>36</v>
      </c>
      <c r="L22" s="56">
        <v>76</v>
      </c>
      <c r="M22" s="56">
        <v>66</v>
      </c>
      <c r="N22" s="56">
        <v>90</v>
      </c>
      <c r="O22" s="56">
        <v>81</v>
      </c>
      <c r="P22" s="56">
        <v>4791</v>
      </c>
      <c r="Q22" s="56">
        <v>76</v>
      </c>
      <c r="R22" s="56">
        <v>86</v>
      </c>
      <c r="S22" s="56">
        <v>170</v>
      </c>
      <c r="T22" s="56">
        <v>179</v>
      </c>
      <c r="U22" s="56">
        <v>68</v>
      </c>
      <c r="V22" s="56">
        <v>84</v>
      </c>
      <c r="W22" s="56">
        <v>113</v>
      </c>
      <c r="X22" s="56">
        <v>326</v>
      </c>
      <c r="Y22" s="56">
        <v>117</v>
      </c>
      <c r="Z22" s="57">
        <v>315</v>
      </c>
      <c r="AA22" s="57">
        <f t="shared" si="0"/>
        <v>6794</v>
      </c>
      <c r="AD22" s="15"/>
      <c r="AE22" s="16"/>
      <c r="AF22" s="16"/>
    </row>
    <row r="23" spans="1:32" s="14" customFormat="1" ht="36" customHeight="1" x14ac:dyDescent="0.45">
      <c r="A23" s="214"/>
      <c r="B23" s="215"/>
      <c r="C23" s="204"/>
      <c r="D23" s="205"/>
      <c r="E23" s="206"/>
      <c r="F23" s="13" t="s">
        <v>15</v>
      </c>
      <c r="G23" s="55"/>
      <c r="H23" s="56"/>
      <c r="I23" s="56"/>
      <c r="J23" s="56">
        <v>100</v>
      </c>
      <c r="K23" s="56">
        <v>35</v>
      </c>
      <c r="L23" s="56">
        <v>69</v>
      </c>
      <c r="M23" s="56">
        <v>55</v>
      </c>
      <c r="N23" s="56">
        <v>75</v>
      </c>
      <c r="O23" s="56">
        <v>75</v>
      </c>
      <c r="P23" s="56">
        <v>5435</v>
      </c>
      <c r="Q23" s="56">
        <v>68</v>
      </c>
      <c r="R23" s="56">
        <v>89</v>
      </c>
      <c r="S23" s="56">
        <v>210</v>
      </c>
      <c r="T23" s="56">
        <v>350</v>
      </c>
      <c r="U23" s="56">
        <v>55</v>
      </c>
      <c r="V23" s="56">
        <v>74</v>
      </c>
      <c r="W23" s="56">
        <v>99</v>
      </c>
      <c r="X23" s="56">
        <v>290</v>
      </c>
      <c r="Y23" s="56">
        <v>110</v>
      </c>
      <c r="Z23" s="57">
        <v>308</v>
      </c>
      <c r="AA23" s="57">
        <f t="shared" si="0"/>
        <v>7497</v>
      </c>
      <c r="AD23" s="15"/>
      <c r="AE23" s="16"/>
      <c r="AF23" s="16"/>
    </row>
    <row r="24" spans="1:32" s="14" customFormat="1" ht="36" customHeight="1" x14ac:dyDescent="0.45">
      <c r="A24" s="214"/>
      <c r="B24" s="215"/>
      <c r="C24" s="204"/>
      <c r="D24" s="205"/>
      <c r="E24" s="206"/>
      <c r="F24" s="17" t="s">
        <v>16</v>
      </c>
      <c r="G24" s="55"/>
      <c r="H24" s="56">
        <v>200</v>
      </c>
      <c r="I24" s="56"/>
      <c r="J24" s="56">
        <v>82</v>
      </c>
      <c r="K24" s="56">
        <v>25</v>
      </c>
      <c r="L24" s="56">
        <v>51</v>
      </c>
      <c r="M24" s="56">
        <v>60</v>
      </c>
      <c r="N24" s="56">
        <v>65</v>
      </c>
      <c r="O24" s="56">
        <v>60</v>
      </c>
      <c r="P24" s="56">
        <v>4439</v>
      </c>
      <c r="Q24" s="56">
        <v>75</v>
      </c>
      <c r="R24" s="56">
        <v>61</v>
      </c>
      <c r="S24" s="56">
        <v>150</v>
      </c>
      <c r="T24" s="56">
        <v>260</v>
      </c>
      <c r="U24" s="56">
        <v>50</v>
      </c>
      <c r="V24" s="56">
        <v>62</v>
      </c>
      <c r="W24" s="56">
        <v>85</v>
      </c>
      <c r="X24" s="56">
        <v>290</v>
      </c>
      <c r="Y24" s="56">
        <v>90</v>
      </c>
      <c r="Z24" s="57">
        <v>298</v>
      </c>
      <c r="AA24" s="57">
        <f t="shared" si="0"/>
        <v>6203</v>
      </c>
      <c r="AD24" s="15"/>
      <c r="AE24" s="16"/>
      <c r="AF24" s="16"/>
    </row>
    <row r="25" spans="1:32" s="14" customFormat="1" ht="36" customHeight="1" thickBot="1" x14ac:dyDescent="0.5">
      <c r="A25" s="214"/>
      <c r="B25" s="216"/>
      <c r="C25" s="201"/>
      <c r="D25" s="202"/>
      <c r="E25" s="203"/>
      <c r="F25" s="18" t="s">
        <v>23</v>
      </c>
      <c r="G25" s="58"/>
      <c r="H25" s="59"/>
      <c r="I25" s="59"/>
      <c r="J25" s="59">
        <v>160</v>
      </c>
      <c r="K25" s="59">
        <v>86</v>
      </c>
      <c r="L25" s="59">
        <v>88</v>
      </c>
      <c r="M25" s="59">
        <v>98</v>
      </c>
      <c r="N25" s="59">
        <v>109</v>
      </c>
      <c r="O25" s="59">
        <v>175</v>
      </c>
      <c r="P25" s="59">
        <v>16953</v>
      </c>
      <c r="Q25" s="59">
        <v>70</v>
      </c>
      <c r="R25" s="59">
        <v>105</v>
      </c>
      <c r="S25" s="59">
        <v>194</v>
      </c>
      <c r="T25" s="59">
        <v>287</v>
      </c>
      <c r="U25" s="59">
        <v>145</v>
      </c>
      <c r="V25" s="59">
        <v>587</v>
      </c>
      <c r="W25" s="59">
        <v>335</v>
      </c>
      <c r="X25" s="59">
        <v>1044</v>
      </c>
      <c r="Y25" s="59">
        <v>471</v>
      </c>
      <c r="Z25" s="60">
        <v>969</v>
      </c>
      <c r="AA25" s="60">
        <f t="shared" si="0"/>
        <v>21876</v>
      </c>
      <c r="AD25" s="15"/>
      <c r="AE25" s="16"/>
      <c r="AF25" s="16"/>
    </row>
    <row r="26" spans="1:32" s="14" customFormat="1" ht="36" customHeight="1" thickBot="1" x14ac:dyDescent="0.5">
      <c r="A26" s="214"/>
      <c r="B26" s="196" t="s">
        <v>24</v>
      </c>
      <c r="C26" s="198" t="s">
        <v>82</v>
      </c>
      <c r="D26" s="199"/>
      <c r="E26" s="200"/>
      <c r="F26" s="20" t="s">
        <v>25</v>
      </c>
      <c r="G26" s="64"/>
      <c r="H26" s="65"/>
      <c r="I26" s="65"/>
      <c r="J26" s="65">
        <v>41</v>
      </c>
      <c r="K26" s="65">
        <v>87</v>
      </c>
      <c r="L26" s="65">
        <v>52</v>
      </c>
      <c r="M26" s="65">
        <v>90</v>
      </c>
      <c r="N26" s="66">
        <v>101</v>
      </c>
      <c r="O26" s="66">
        <v>180</v>
      </c>
      <c r="P26" s="66">
        <v>789</v>
      </c>
      <c r="Q26" s="66">
        <v>85</v>
      </c>
      <c r="R26" s="66">
        <v>136</v>
      </c>
      <c r="S26" s="66">
        <v>191</v>
      </c>
      <c r="T26" s="66">
        <v>237</v>
      </c>
      <c r="U26" s="66">
        <v>252</v>
      </c>
      <c r="V26" s="66">
        <v>201</v>
      </c>
      <c r="W26" s="66">
        <v>289</v>
      </c>
      <c r="X26" s="66">
        <v>530</v>
      </c>
      <c r="Y26" s="66">
        <v>177</v>
      </c>
      <c r="Z26" s="67">
        <v>548</v>
      </c>
      <c r="AA26" s="63">
        <f t="shared" si="0"/>
        <v>3986</v>
      </c>
      <c r="AE26" s="16"/>
      <c r="AF26" s="16"/>
    </row>
    <row r="27" spans="1:32" s="14" customFormat="1" ht="70.5" customHeight="1" thickBot="1" x14ac:dyDescent="0.5">
      <c r="A27" s="214"/>
      <c r="B27" s="197"/>
      <c r="C27" s="201"/>
      <c r="D27" s="202"/>
      <c r="E27" s="203"/>
      <c r="F27" s="21" t="s">
        <v>26</v>
      </c>
      <c r="G27" s="64">
        <v>504</v>
      </c>
      <c r="H27" s="65"/>
      <c r="I27" s="65"/>
      <c r="J27" s="65">
        <v>5</v>
      </c>
      <c r="K27" s="65">
        <v>7</v>
      </c>
      <c r="L27" s="65">
        <v>8</v>
      </c>
      <c r="M27" s="65">
        <v>20</v>
      </c>
      <c r="N27" s="66">
        <v>13</v>
      </c>
      <c r="O27" s="66">
        <v>10</v>
      </c>
      <c r="P27" s="66">
        <v>127</v>
      </c>
      <c r="Q27" s="66">
        <v>8</v>
      </c>
      <c r="R27" s="66">
        <v>8</v>
      </c>
      <c r="S27" s="66">
        <v>21</v>
      </c>
      <c r="T27" s="66">
        <v>40</v>
      </c>
      <c r="U27" s="66">
        <v>22</v>
      </c>
      <c r="V27" s="66">
        <v>29</v>
      </c>
      <c r="W27" s="66">
        <v>39</v>
      </c>
      <c r="X27" s="66">
        <v>84</v>
      </c>
      <c r="Y27" s="66">
        <v>21</v>
      </c>
      <c r="Z27" s="67">
        <v>84</v>
      </c>
      <c r="AA27" s="63">
        <f t="shared" si="0"/>
        <v>546</v>
      </c>
      <c r="AE27" s="16"/>
      <c r="AF27" s="16"/>
    </row>
    <row r="28" spans="1:32" s="14" customFormat="1" ht="36" customHeight="1" x14ac:dyDescent="0.45">
      <c r="A28" s="214"/>
      <c r="B28" s="197"/>
      <c r="C28" s="198" t="s">
        <v>83</v>
      </c>
      <c r="D28" s="199"/>
      <c r="E28" s="200"/>
      <c r="F28" s="22" t="s">
        <v>27</v>
      </c>
      <c r="G28" s="61"/>
      <c r="H28" s="62"/>
      <c r="I28" s="62"/>
      <c r="J28" s="62"/>
      <c r="K28" s="62"/>
      <c r="L28" s="62"/>
      <c r="M28" s="62"/>
      <c r="N28" s="68"/>
      <c r="O28" s="68"/>
      <c r="P28" s="68">
        <v>13</v>
      </c>
      <c r="Q28" s="68"/>
      <c r="R28" s="68"/>
      <c r="S28" s="68"/>
      <c r="T28" s="68"/>
      <c r="U28" s="68"/>
      <c r="V28" s="68"/>
      <c r="W28" s="68"/>
      <c r="X28" s="68"/>
      <c r="Y28" s="68"/>
      <c r="Z28" s="69"/>
      <c r="AA28" s="63">
        <f t="shared" si="0"/>
        <v>13</v>
      </c>
      <c r="AE28" s="16"/>
      <c r="AF28" s="16"/>
    </row>
    <row r="29" spans="1:32" s="14" customFormat="1" ht="36" customHeight="1" x14ac:dyDescent="0.45">
      <c r="A29" s="214"/>
      <c r="B29" s="197"/>
      <c r="C29" s="204"/>
      <c r="D29" s="205"/>
      <c r="E29" s="206"/>
      <c r="F29" s="23" t="s">
        <v>28</v>
      </c>
      <c r="G29" s="55"/>
      <c r="H29" s="56"/>
      <c r="I29" s="56"/>
      <c r="J29" s="56"/>
      <c r="K29" s="56"/>
      <c r="L29" s="56"/>
      <c r="M29" s="56"/>
      <c r="N29" s="70"/>
      <c r="O29" s="70"/>
      <c r="P29" s="70">
        <v>18</v>
      </c>
      <c r="Q29" s="70"/>
      <c r="R29" s="70"/>
      <c r="S29" s="70"/>
      <c r="T29" s="70"/>
      <c r="U29" s="70"/>
      <c r="V29" s="70"/>
      <c r="W29" s="70"/>
      <c r="X29" s="70"/>
      <c r="Y29" s="70"/>
      <c r="Z29" s="71"/>
      <c r="AA29" s="54">
        <f t="shared" si="0"/>
        <v>18</v>
      </c>
      <c r="AE29" s="16"/>
      <c r="AF29" s="16"/>
    </row>
    <row r="30" spans="1:32" s="14" customFormat="1" ht="36" customHeight="1" thickBot="1" x14ac:dyDescent="0.5">
      <c r="A30" s="214"/>
      <c r="B30" s="197"/>
      <c r="C30" s="201"/>
      <c r="D30" s="202"/>
      <c r="E30" s="203"/>
      <c r="F30" s="24" t="s">
        <v>29</v>
      </c>
      <c r="G30" s="58"/>
      <c r="H30" s="59"/>
      <c r="I30" s="59"/>
      <c r="J30" s="59"/>
      <c r="K30" s="59"/>
      <c r="L30" s="59"/>
      <c r="M30" s="59"/>
      <c r="N30" s="72"/>
      <c r="O30" s="72"/>
      <c r="P30" s="72">
        <v>173</v>
      </c>
      <c r="Q30" s="72"/>
      <c r="R30" s="72"/>
      <c r="S30" s="72"/>
      <c r="T30" s="72">
        <v>4</v>
      </c>
      <c r="U30" s="72"/>
      <c r="V30" s="72"/>
      <c r="W30" s="72">
        <v>1</v>
      </c>
      <c r="X30" s="72">
        <v>3</v>
      </c>
      <c r="Y30" s="72"/>
      <c r="Z30" s="73">
        <v>5</v>
      </c>
      <c r="AA30" s="54">
        <f t="shared" si="0"/>
        <v>186</v>
      </c>
      <c r="AE30" s="16"/>
      <c r="AF30" s="16"/>
    </row>
    <row r="31" spans="1:32" s="14" customFormat="1" ht="36" customHeight="1" x14ac:dyDescent="0.45">
      <c r="A31" s="214"/>
      <c r="B31" s="197"/>
      <c r="C31" s="198" t="s">
        <v>84</v>
      </c>
      <c r="D31" s="199"/>
      <c r="E31" s="200"/>
      <c r="F31" s="22" t="s">
        <v>27</v>
      </c>
      <c r="G31" s="61"/>
      <c r="H31" s="62"/>
      <c r="I31" s="62"/>
      <c r="J31" s="62"/>
      <c r="K31" s="62"/>
      <c r="L31" s="62"/>
      <c r="M31" s="62"/>
      <c r="N31" s="68"/>
      <c r="O31" s="68"/>
      <c r="P31" s="68">
        <v>60</v>
      </c>
      <c r="Q31" s="68"/>
      <c r="R31" s="68"/>
      <c r="S31" s="68">
        <v>1</v>
      </c>
      <c r="T31" s="68">
        <v>1</v>
      </c>
      <c r="U31" s="68">
        <v>1</v>
      </c>
      <c r="V31" s="68">
        <v>1</v>
      </c>
      <c r="W31" s="68">
        <v>1</v>
      </c>
      <c r="X31" s="68">
        <v>1</v>
      </c>
      <c r="Y31" s="68">
        <v>1</v>
      </c>
      <c r="Z31" s="69">
        <v>1</v>
      </c>
      <c r="AA31" s="63">
        <f t="shared" si="0"/>
        <v>68</v>
      </c>
      <c r="AE31" s="16"/>
      <c r="AF31" s="16"/>
    </row>
    <row r="32" spans="1:32" s="14" customFormat="1" ht="36" customHeight="1" x14ac:dyDescent="0.45">
      <c r="A32" s="214"/>
      <c r="B32" s="197"/>
      <c r="C32" s="204"/>
      <c r="D32" s="205"/>
      <c r="E32" s="206"/>
      <c r="F32" s="23" t="s">
        <v>28</v>
      </c>
      <c r="G32" s="55"/>
      <c r="H32" s="56"/>
      <c r="I32" s="56"/>
      <c r="J32" s="56">
        <v>1</v>
      </c>
      <c r="K32" s="56">
        <v>1</v>
      </c>
      <c r="L32" s="56">
        <v>1</v>
      </c>
      <c r="M32" s="56">
        <v>1</v>
      </c>
      <c r="N32" s="70">
        <v>1</v>
      </c>
      <c r="O32" s="70">
        <v>1</v>
      </c>
      <c r="P32" s="70">
        <v>401</v>
      </c>
      <c r="Q32" s="70">
        <v>1</v>
      </c>
      <c r="R32" s="70">
        <v>1</v>
      </c>
      <c r="S32" s="70">
        <v>1</v>
      </c>
      <c r="T32" s="70">
        <v>1</v>
      </c>
      <c r="U32" s="70">
        <v>1</v>
      </c>
      <c r="V32" s="70">
        <v>1</v>
      </c>
      <c r="W32" s="70">
        <v>1</v>
      </c>
      <c r="X32" s="70">
        <v>1</v>
      </c>
      <c r="Y32" s="70">
        <v>1</v>
      </c>
      <c r="Z32" s="71">
        <v>1</v>
      </c>
      <c r="AA32" s="54">
        <f t="shared" si="0"/>
        <v>417</v>
      </c>
      <c r="AE32" s="16"/>
      <c r="AF32" s="16"/>
    </row>
    <row r="33" spans="1:32" s="14" customFormat="1" ht="36" customHeight="1" thickBot="1" x14ac:dyDescent="0.5">
      <c r="A33" s="214"/>
      <c r="B33" s="197"/>
      <c r="C33" s="201"/>
      <c r="D33" s="202"/>
      <c r="E33" s="203"/>
      <c r="F33" s="24" t="s">
        <v>29</v>
      </c>
      <c r="G33" s="58">
        <v>129</v>
      </c>
      <c r="H33" s="59"/>
      <c r="I33" s="59">
        <v>200</v>
      </c>
      <c r="J33" s="59">
        <v>59</v>
      </c>
      <c r="K33" s="59">
        <v>44</v>
      </c>
      <c r="L33" s="59">
        <v>56</v>
      </c>
      <c r="M33" s="59">
        <v>43</v>
      </c>
      <c r="N33" s="72">
        <v>60</v>
      </c>
      <c r="O33" s="72">
        <v>67</v>
      </c>
      <c r="P33" s="72">
        <v>1871</v>
      </c>
      <c r="Q33" s="72">
        <v>66</v>
      </c>
      <c r="R33" s="72">
        <v>66</v>
      </c>
      <c r="S33" s="72">
        <v>80</v>
      </c>
      <c r="T33" s="72">
        <v>80</v>
      </c>
      <c r="U33" s="72">
        <v>80</v>
      </c>
      <c r="V33" s="72">
        <v>635</v>
      </c>
      <c r="W33" s="72">
        <v>60</v>
      </c>
      <c r="X33" s="72">
        <v>138</v>
      </c>
      <c r="Y33" s="72">
        <v>61</v>
      </c>
      <c r="Z33" s="73">
        <v>135</v>
      </c>
      <c r="AA33" s="54">
        <f>SUM(I33:Z33)</f>
        <v>3801</v>
      </c>
      <c r="AE33" s="16"/>
      <c r="AF33" s="16"/>
    </row>
    <row r="34" spans="1:32" s="14" customFormat="1" ht="36" customHeight="1" x14ac:dyDescent="0.45">
      <c r="A34" s="214"/>
      <c r="B34" s="197"/>
      <c r="C34" s="198" t="s">
        <v>85</v>
      </c>
      <c r="D34" s="199"/>
      <c r="E34" s="200"/>
      <c r="F34" s="22" t="s">
        <v>27</v>
      </c>
      <c r="G34" s="61">
        <v>400</v>
      </c>
      <c r="H34" s="62"/>
      <c r="I34" s="62"/>
      <c r="J34" s="62">
        <v>20</v>
      </c>
      <c r="K34" s="62">
        <v>15</v>
      </c>
      <c r="L34" s="62">
        <v>10</v>
      </c>
      <c r="M34" s="62">
        <v>24</v>
      </c>
      <c r="N34" s="68">
        <v>15</v>
      </c>
      <c r="O34" s="68">
        <v>24</v>
      </c>
      <c r="P34" s="68">
        <v>527</v>
      </c>
      <c r="Q34" s="68">
        <v>10</v>
      </c>
      <c r="R34" s="68">
        <v>15</v>
      </c>
      <c r="S34" s="68">
        <v>29</v>
      </c>
      <c r="T34" s="68">
        <v>31</v>
      </c>
      <c r="U34" s="68">
        <v>29</v>
      </c>
      <c r="V34" s="68">
        <v>29</v>
      </c>
      <c r="W34" s="68">
        <v>20</v>
      </c>
      <c r="X34" s="68">
        <v>45</v>
      </c>
      <c r="Y34" s="68">
        <v>28</v>
      </c>
      <c r="Z34" s="69">
        <v>48</v>
      </c>
      <c r="AA34" s="63">
        <f t="shared" si="0"/>
        <v>919</v>
      </c>
      <c r="AE34" s="16"/>
      <c r="AF34" s="16"/>
    </row>
    <row r="35" spans="1:32" s="14" customFormat="1" ht="36" customHeight="1" x14ac:dyDescent="0.45">
      <c r="A35" s="214"/>
      <c r="B35" s="197"/>
      <c r="C35" s="204"/>
      <c r="D35" s="205"/>
      <c r="E35" s="206"/>
      <c r="F35" s="23" t="s">
        <v>28</v>
      </c>
      <c r="G35" s="55">
        <v>267</v>
      </c>
      <c r="H35" s="56"/>
      <c r="I35" s="56"/>
      <c r="J35" s="56">
        <v>45</v>
      </c>
      <c r="K35" s="56">
        <v>30</v>
      </c>
      <c r="L35" s="56">
        <v>35</v>
      </c>
      <c r="M35" s="56">
        <v>46</v>
      </c>
      <c r="N35" s="70">
        <v>25</v>
      </c>
      <c r="O35" s="70">
        <v>38</v>
      </c>
      <c r="P35" s="70">
        <v>1041</v>
      </c>
      <c r="Q35" s="70">
        <v>25</v>
      </c>
      <c r="R35" s="70">
        <v>28</v>
      </c>
      <c r="S35" s="70">
        <v>46</v>
      </c>
      <c r="T35" s="70">
        <v>50</v>
      </c>
      <c r="U35" s="70">
        <v>45</v>
      </c>
      <c r="V35" s="70">
        <v>46</v>
      </c>
      <c r="W35" s="70">
        <v>45</v>
      </c>
      <c r="X35" s="70">
        <v>65</v>
      </c>
      <c r="Y35" s="70">
        <v>40</v>
      </c>
      <c r="Z35" s="71">
        <v>68</v>
      </c>
      <c r="AA35" s="54">
        <f t="shared" si="0"/>
        <v>1718</v>
      </c>
      <c r="AE35" s="16"/>
      <c r="AF35" s="16"/>
    </row>
    <row r="36" spans="1:32" s="14" customFormat="1" ht="36" customHeight="1" thickBot="1" x14ac:dyDescent="0.5">
      <c r="A36" s="214"/>
      <c r="B36" s="197"/>
      <c r="C36" s="201"/>
      <c r="D36" s="202"/>
      <c r="E36" s="203"/>
      <c r="F36" s="24" t="s">
        <v>29</v>
      </c>
      <c r="G36" s="58">
        <v>300</v>
      </c>
      <c r="H36" s="59">
        <v>1000</v>
      </c>
      <c r="I36" s="59"/>
      <c r="J36" s="59">
        <v>65</v>
      </c>
      <c r="K36" s="59">
        <v>40</v>
      </c>
      <c r="L36" s="59">
        <v>47</v>
      </c>
      <c r="M36" s="59">
        <v>51</v>
      </c>
      <c r="N36" s="72">
        <v>60</v>
      </c>
      <c r="O36" s="72">
        <v>50</v>
      </c>
      <c r="P36" s="72">
        <v>203</v>
      </c>
      <c r="Q36" s="72">
        <v>35</v>
      </c>
      <c r="R36" s="72">
        <v>51</v>
      </c>
      <c r="S36" s="72">
        <v>55</v>
      </c>
      <c r="T36" s="72">
        <v>65</v>
      </c>
      <c r="U36" s="72">
        <v>57</v>
      </c>
      <c r="V36" s="72">
        <v>765</v>
      </c>
      <c r="W36" s="72">
        <v>50</v>
      </c>
      <c r="X36" s="72">
        <v>100</v>
      </c>
      <c r="Y36" s="72">
        <v>60</v>
      </c>
      <c r="Z36" s="73">
        <v>100</v>
      </c>
      <c r="AA36" s="54">
        <f>SUM(I36:Z36)</f>
        <v>1854</v>
      </c>
      <c r="AE36" s="16"/>
      <c r="AF36" s="16"/>
    </row>
    <row r="37" spans="1:32" s="14" customFormat="1" ht="36" customHeight="1" x14ac:dyDescent="0.45">
      <c r="A37" s="214"/>
      <c r="B37" s="197"/>
      <c r="C37" s="198" t="s">
        <v>86</v>
      </c>
      <c r="D37" s="199"/>
      <c r="E37" s="200"/>
      <c r="F37" s="22" t="s">
        <v>27</v>
      </c>
      <c r="G37" s="61"/>
      <c r="H37" s="62"/>
      <c r="I37" s="62"/>
      <c r="J37" s="62"/>
      <c r="K37" s="62"/>
      <c r="L37" s="62"/>
      <c r="M37" s="62"/>
      <c r="N37" s="68"/>
      <c r="O37" s="68"/>
      <c r="P37" s="68">
        <v>134</v>
      </c>
      <c r="Q37" s="68"/>
      <c r="R37" s="68"/>
      <c r="S37" s="68">
        <v>1</v>
      </c>
      <c r="T37" s="68">
        <v>1</v>
      </c>
      <c r="U37" s="68"/>
      <c r="V37" s="68"/>
      <c r="W37" s="68"/>
      <c r="X37" s="68">
        <v>1</v>
      </c>
      <c r="Y37" s="68"/>
      <c r="Z37" s="69">
        <v>1</v>
      </c>
      <c r="AA37" s="63">
        <f t="shared" si="0"/>
        <v>138</v>
      </c>
      <c r="AE37" s="16"/>
      <c r="AF37" s="16"/>
    </row>
    <row r="38" spans="1:32" s="14" customFormat="1" ht="36" customHeight="1" x14ac:dyDescent="0.45">
      <c r="A38" s="214"/>
      <c r="B38" s="197"/>
      <c r="C38" s="204"/>
      <c r="D38" s="205"/>
      <c r="E38" s="206"/>
      <c r="F38" s="23" t="s">
        <v>28</v>
      </c>
      <c r="G38" s="55"/>
      <c r="H38" s="56"/>
      <c r="I38" s="56"/>
      <c r="J38" s="56">
        <v>1</v>
      </c>
      <c r="K38" s="56">
        <v>1</v>
      </c>
      <c r="L38" s="56">
        <v>1</v>
      </c>
      <c r="M38" s="56">
        <v>1</v>
      </c>
      <c r="N38" s="70">
        <v>1</v>
      </c>
      <c r="O38" s="70">
        <v>1</v>
      </c>
      <c r="P38" s="70">
        <v>145</v>
      </c>
      <c r="Q38" s="70">
        <v>1</v>
      </c>
      <c r="R38" s="70">
        <v>1</v>
      </c>
      <c r="S38" s="70">
        <v>1</v>
      </c>
      <c r="T38" s="70">
        <v>1</v>
      </c>
      <c r="U38" s="70">
        <v>1</v>
      </c>
      <c r="V38" s="70">
        <v>1</v>
      </c>
      <c r="W38" s="70">
        <v>1</v>
      </c>
      <c r="X38" s="70">
        <v>5</v>
      </c>
      <c r="Y38" s="70">
        <v>1</v>
      </c>
      <c r="Z38" s="71">
        <v>5</v>
      </c>
      <c r="AA38" s="54">
        <f t="shared" si="0"/>
        <v>169</v>
      </c>
      <c r="AE38" s="16"/>
      <c r="AF38" s="16"/>
    </row>
    <row r="39" spans="1:32" s="14" customFormat="1" ht="36" customHeight="1" thickBot="1" x14ac:dyDescent="0.5">
      <c r="A39" s="214"/>
      <c r="B39" s="197"/>
      <c r="C39" s="201"/>
      <c r="D39" s="202"/>
      <c r="E39" s="203"/>
      <c r="F39" s="24" t="s">
        <v>29</v>
      </c>
      <c r="G39" s="58"/>
      <c r="H39" s="59"/>
      <c r="I39" s="59"/>
      <c r="J39" s="59">
        <v>40</v>
      </c>
      <c r="K39" s="59">
        <v>15</v>
      </c>
      <c r="L39" s="59">
        <v>10</v>
      </c>
      <c r="M39" s="59">
        <v>10</v>
      </c>
      <c r="N39" s="72">
        <v>15</v>
      </c>
      <c r="O39" s="72">
        <v>35</v>
      </c>
      <c r="P39" s="72">
        <v>2562</v>
      </c>
      <c r="Q39" s="72">
        <v>15</v>
      </c>
      <c r="R39" s="72">
        <v>15</v>
      </c>
      <c r="S39" s="72">
        <v>65</v>
      </c>
      <c r="T39" s="72">
        <v>65</v>
      </c>
      <c r="U39" s="72">
        <v>15</v>
      </c>
      <c r="V39" s="72">
        <v>15</v>
      </c>
      <c r="W39" s="72">
        <v>10</v>
      </c>
      <c r="X39" s="72">
        <v>72</v>
      </c>
      <c r="Y39" s="72">
        <v>24</v>
      </c>
      <c r="Z39" s="73">
        <v>70</v>
      </c>
      <c r="AA39" s="54">
        <f t="shared" si="0"/>
        <v>3053</v>
      </c>
      <c r="AD39" s="16"/>
      <c r="AE39" s="16"/>
      <c r="AF39" s="16"/>
    </row>
    <row r="40" spans="1:32" s="14" customFormat="1" ht="36" customHeight="1" x14ac:dyDescent="0.45">
      <c r="A40" s="214"/>
      <c r="B40" s="197"/>
      <c r="C40" s="198" t="s">
        <v>87</v>
      </c>
      <c r="D40" s="199"/>
      <c r="E40" s="200"/>
      <c r="F40" s="22" t="s">
        <v>27</v>
      </c>
      <c r="G40" s="61"/>
      <c r="H40" s="62"/>
      <c r="I40" s="62"/>
      <c r="J40" s="62">
        <v>1</v>
      </c>
      <c r="K40" s="62"/>
      <c r="L40" s="62"/>
      <c r="M40" s="62"/>
      <c r="N40" s="68"/>
      <c r="O40" s="68">
        <v>1</v>
      </c>
      <c r="P40" s="68">
        <v>184</v>
      </c>
      <c r="Q40" s="68"/>
      <c r="R40" s="68"/>
      <c r="S40" s="68">
        <v>1</v>
      </c>
      <c r="T40" s="68">
        <v>1</v>
      </c>
      <c r="U40" s="68"/>
      <c r="V40" s="68"/>
      <c r="W40" s="68"/>
      <c r="X40" s="68">
        <v>1</v>
      </c>
      <c r="Y40" s="68"/>
      <c r="Z40" s="69">
        <v>1</v>
      </c>
      <c r="AA40" s="63">
        <f t="shared" si="0"/>
        <v>190</v>
      </c>
      <c r="AE40" s="16"/>
      <c r="AF40" s="16"/>
    </row>
    <row r="41" spans="1:32" s="14" customFormat="1" ht="36" customHeight="1" x14ac:dyDescent="0.45">
      <c r="A41" s="214"/>
      <c r="B41" s="197"/>
      <c r="C41" s="204"/>
      <c r="D41" s="205"/>
      <c r="E41" s="206"/>
      <c r="F41" s="23" t="s">
        <v>28</v>
      </c>
      <c r="G41" s="55"/>
      <c r="H41" s="56"/>
      <c r="I41" s="56"/>
      <c r="J41" s="56">
        <v>5</v>
      </c>
      <c r="K41" s="56">
        <v>1</v>
      </c>
      <c r="L41" s="56">
        <v>1</v>
      </c>
      <c r="M41" s="56">
        <v>1</v>
      </c>
      <c r="N41" s="70">
        <v>5</v>
      </c>
      <c r="O41" s="70">
        <v>1</v>
      </c>
      <c r="P41" s="70">
        <v>318</v>
      </c>
      <c r="Q41" s="70">
        <v>1</v>
      </c>
      <c r="R41" s="70">
        <v>1</v>
      </c>
      <c r="S41" s="70">
        <v>5</v>
      </c>
      <c r="T41" s="70">
        <v>5</v>
      </c>
      <c r="U41" s="70">
        <v>2</v>
      </c>
      <c r="V41" s="70">
        <v>2</v>
      </c>
      <c r="W41" s="70">
        <v>2</v>
      </c>
      <c r="X41" s="70">
        <v>10</v>
      </c>
      <c r="Y41" s="70">
        <v>1</v>
      </c>
      <c r="Z41" s="71">
        <v>10</v>
      </c>
      <c r="AA41" s="54">
        <f t="shared" si="0"/>
        <v>371</v>
      </c>
      <c r="AE41" s="16"/>
      <c r="AF41" s="16"/>
    </row>
    <row r="42" spans="1:32" s="14" customFormat="1" ht="36" customHeight="1" thickBot="1" x14ac:dyDescent="0.5">
      <c r="A42" s="214"/>
      <c r="B42" s="197"/>
      <c r="C42" s="201"/>
      <c r="D42" s="202"/>
      <c r="E42" s="203"/>
      <c r="F42" s="24" t="s">
        <v>29</v>
      </c>
      <c r="G42" s="58"/>
      <c r="H42" s="59"/>
      <c r="I42" s="59"/>
      <c r="J42" s="59">
        <v>24</v>
      </c>
      <c r="K42" s="59">
        <v>17</v>
      </c>
      <c r="L42" s="59">
        <v>15</v>
      </c>
      <c r="M42" s="59">
        <v>19</v>
      </c>
      <c r="N42" s="72">
        <v>21</v>
      </c>
      <c r="O42" s="72">
        <v>32</v>
      </c>
      <c r="P42" s="72">
        <v>1424</v>
      </c>
      <c r="Q42" s="72">
        <v>18</v>
      </c>
      <c r="R42" s="72">
        <v>15</v>
      </c>
      <c r="S42" s="72">
        <v>47</v>
      </c>
      <c r="T42" s="72">
        <v>46</v>
      </c>
      <c r="U42" s="72">
        <v>27</v>
      </c>
      <c r="V42" s="72">
        <v>27</v>
      </c>
      <c r="W42" s="72">
        <v>29</v>
      </c>
      <c r="X42" s="72">
        <v>54</v>
      </c>
      <c r="Y42" s="72">
        <v>24</v>
      </c>
      <c r="Z42" s="73">
        <v>59</v>
      </c>
      <c r="AA42" s="54">
        <f t="shared" si="0"/>
        <v>1898</v>
      </c>
      <c r="AE42" s="16"/>
      <c r="AF42" s="16"/>
    </row>
    <row r="43" spans="1:32" s="14" customFormat="1" ht="36" customHeight="1" x14ac:dyDescent="0.45">
      <c r="A43" s="214"/>
      <c r="B43" s="197"/>
      <c r="C43" s="198" t="s">
        <v>88</v>
      </c>
      <c r="D43" s="199"/>
      <c r="E43" s="200"/>
      <c r="F43" s="22" t="s">
        <v>27</v>
      </c>
      <c r="G43" s="61"/>
      <c r="H43" s="62"/>
      <c r="I43" s="62"/>
      <c r="J43" s="62"/>
      <c r="K43" s="62"/>
      <c r="L43" s="62"/>
      <c r="M43" s="62"/>
      <c r="N43" s="68"/>
      <c r="O43" s="68"/>
      <c r="P43" s="68">
        <v>55</v>
      </c>
      <c r="Q43" s="68"/>
      <c r="R43" s="68"/>
      <c r="S43" s="68"/>
      <c r="T43" s="68"/>
      <c r="U43" s="68"/>
      <c r="V43" s="68"/>
      <c r="W43" s="68"/>
      <c r="X43" s="68"/>
      <c r="Y43" s="68"/>
      <c r="Z43" s="69"/>
      <c r="AA43" s="63">
        <f t="shared" si="0"/>
        <v>55</v>
      </c>
      <c r="AE43" s="16"/>
      <c r="AF43" s="16"/>
    </row>
    <row r="44" spans="1:32" s="14" customFormat="1" ht="36" customHeight="1" x14ac:dyDescent="0.45">
      <c r="A44" s="214"/>
      <c r="B44" s="197"/>
      <c r="C44" s="204"/>
      <c r="D44" s="205"/>
      <c r="E44" s="206"/>
      <c r="F44" s="23" t="s">
        <v>28</v>
      </c>
      <c r="G44" s="55"/>
      <c r="H44" s="56"/>
      <c r="I44" s="56"/>
      <c r="J44" s="56"/>
      <c r="K44" s="56"/>
      <c r="L44" s="56"/>
      <c r="M44" s="56"/>
      <c r="N44" s="70"/>
      <c r="O44" s="70"/>
      <c r="P44" s="70">
        <v>104</v>
      </c>
      <c r="Q44" s="70"/>
      <c r="R44" s="70"/>
      <c r="S44" s="70"/>
      <c r="T44" s="70"/>
      <c r="U44" s="70"/>
      <c r="V44" s="70"/>
      <c r="W44" s="70"/>
      <c r="X44" s="70"/>
      <c r="Y44" s="70"/>
      <c r="Z44" s="71"/>
      <c r="AA44" s="54">
        <f t="shared" si="0"/>
        <v>104</v>
      </c>
      <c r="AE44" s="16"/>
      <c r="AF44" s="16"/>
    </row>
    <row r="45" spans="1:32" s="14" customFormat="1" ht="36" customHeight="1" thickBot="1" x14ac:dyDescent="0.5">
      <c r="A45" s="214"/>
      <c r="B45" s="197"/>
      <c r="C45" s="201"/>
      <c r="D45" s="202"/>
      <c r="E45" s="203"/>
      <c r="F45" s="24" t="s">
        <v>29</v>
      </c>
      <c r="G45" s="58"/>
      <c r="H45" s="59"/>
      <c r="I45" s="59"/>
      <c r="J45" s="59">
        <v>5</v>
      </c>
      <c r="K45" s="59">
        <v>2</v>
      </c>
      <c r="L45" s="59">
        <v>2</v>
      </c>
      <c r="M45" s="59">
        <v>2</v>
      </c>
      <c r="N45" s="72">
        <v>2</v>
      </c>
      <c r="O45" s="72">
        <v>5</v>
      </c>
      <c r="P45" s="72">
        <v>454</v>
      </c>
      <c r="Q45" s="72">
        <v>2</v>
      </c>
      <c r="R45" s="72">
        <v>2</v>
      </c>
      <c r="S45" s="72">
        <v>7</v>
      </c>
      <c r="T45" s="72">
        <v>4</v>
      </c>
      <c r="U45" s="72">
        <v>5</v>
      </c>
      <c r="V45" s="72">
        <v>5</v>
      </c>
      <c r="W45" s="72">
        <v>5</v>
      </c>
      <c r="X45" s="72">
        <v>12</v>
      </c>
      <c r="Y45" s="72">
        <v>5</v>
      </c>
      <c r="Z45" s="73">
        <v>17</v>
      </c>
      <c r="AA45" s="54">
        <f t="shared" si="0"/>
        <v>536</v>
      </c>
      <c r="AE45" s="16"/>
      <c r="AF45" s="16"/>
    </row>
    <row r="46" spans="1:32" s="14" customFormat="1" ht="55.5" customHeight="1" x14ac:dyDescent="0.45">
      <c r="A46" s="214"/>
      <c r="B46" s="197"/>
      <c r="C46" s="198" t="s">
        <v>89</v>
      </c>
      <c r="D46" s="199"/>
      <c r="E46" s="200"/>
      <c r="F46" s="22" t="s">
        <v>30</v>
      </c>
      <c r="G46" s="61"/>
      <c r="H46" s="62"/>
      <c r="I46" s="62"/>
      <c r="J46" s="62">
        <v>1</v>
      </c>
      <c r="K46" s="62"/>
      <c r="L46" s="62"/>
      <c r="M46" s="62"/>
      <c r="N46" s="68"/>
      <c r="O46" s="68"/>
      <c r="P46" s="68">
        <v>66</v>
      </c>
      <c r="Q46" s="68"/>
      <c r="R46" s="68"/>
      <c r="S46" s="68">
        <v>1</v>
      </c>
      <c r="T46" s="68">
        <v>1</v>
      </c>
      <c r="U46" s="68">
        <v>1</v>
      </c>
      <c r="V46" s="68"/>
      <c r="W46" s="68"/>
      <c r="X46" s="68">
        <v>2</v>
      </c>
      <c r="Y46" s="68"/>
      <c r="Z46" s="69">
        <v>2</v>
      </c>
      <c r="AA46" s="63">
        <f t="shared" si="0"/>
        <v>74</v>
      </c>
      <c r="AE46" s="16"/>
      <c r="AF46" s="16"/>
    </row>
    <row r="47" spans="1:32" s="14" customFormat="1" ht="55.5" customHeight="1" thickBot="1" x14ac:dyDescent="0.5">
      <c r="A47" s="214"/>
      <c r="B47" s="197"/>
      <c r="C47" s="204"/>
      <c r="D47" s="205"/>
      <c r="E47" s="206"/>
      <c r="F47" s="31" t="s">
        <v>31</v>
      </c>
      <c r="G47" s="58"/>
      <c r="H47" s="59"/>
      <c r="I47" s="59"/>
      <c r="J47" s="59">
        <v>1</v>
      </c>
      <c r="K47" s="59"/>
      <c r="L47" s="59"/>
      <c r="M47" s="59"/>
      <c r="N47" s="72"/>
      <c r="O47" s="72">
        <v>1</v>
      </c>
      <c r="P47" s="72">
        <v>130</v>
      </c>
      <c r="Q47" s="72"/>
      <c r="R47" s="72"/>
      <c r="S47" s="72">
        <v>1</v>
      </c>
      <c r="T47" s="72">
        <v>1</v>
      </c>
      <c r="U47" s="72">
        <v>1</v>
      </c>
      <c r="V47" s="72"/>
      <c r="W47" s="72"/>
      <c r="X47" s="72">
        <v>1</v>
      </c>
      <c r="Y47" s="72"/>
      <c r="Z47" s="73">
        <v>1</v>
      </c>
      <c r="AA47" s="74">
        <f t="shared" si="0"/>
        <v>137</v>
      </c>
      <c r="AE47" s="16"/>
      <c r="AF47" s="16"/>
    </row>
    <row r="48" spans="1:32" s="14" customFormat="1" ht="36" customHeight="1" x14ac:dyDescent="0.45">
      <c r="A48" s="214"/>
      <c r="B48" s="197"/>
      <c r="C48" s="198" t="s">
        <v>90</v>
      </c>
      <c r="D48" s="199"/>
      <c r="E48" s="200"/>
      <c r="F48" s="22" t="s">
        <v>30</v>
      </c>
      <c r="G48" s="61"/>
      <c r="H48" s="62"/>
      <c r="I48" s="62"/>
      <c r="J48" s="62"/>
      <c r="K48" s="62"/>
      <c r="L48" s="62"/>
      <c r="M48" s="62"/>
      <c r="N48" s="68"/>
      <c r="O48" s="68"/>
      <c r="P48" s="68">
        <v>182</v>
      </c>
      <c r="Q48" s="68"/>
      <c r="R48" s="68"/>
      <c r="S48" s="68"/>
      <c r="T48" s="68"/>
      <c r="U48" s="68"/>
      <c r="V48" s="68"/>
      <c r="W48" s="68"/>
      <c r="X48" s="68"/>
      <c r="Y48" s="68"/>
      <c r="Z48" s="69"/>
      <c r="AA48" s="75">
        <f t="shared" si="0"/>
        <v>182</v>
      </c>
      <c r="AE48" s="16"/>
      <c r="AF48" s="16"/>
    </row>
    <row r="49" spans="1:32" s="14" customFormat="1" ht="36" customHeight="1" x14ac:dyDescent="0.45">
      <c r="A49" s="214"/>
      <c r="B49" s="197"/>
      <c r="C49" s="204"/>
      <c r="D49" s="205"/>
      <c r="E49" s="206"/>
      <c r="F49" s="24" t="s">
        <v>31</v>
      </c>
      <c r="G49" s="55"/>
      <c r="H49" s="56"/>
      <c r="I49" s="56"/>
      <c r="J49" s="56"/>
      <c r="K49" s="56"/>
      <c r="L49" s="56"/>
      <c r="M49" s="56"/>
      <c r="N49" s="70"/>
      <c r="O49" s="70"/>
      <c r="P49" s="70">
        <v>69</v>
      </c>
      <c r="Q49" s="70"/>
      <c r="R49" s="70"/>
      <c r="S49" s="70"/>
      <c r="T49" s="70"/>
      <c r="U49" s="70"/>
      <c r="V49" s="70"/>
      <c r="W49" s="70"/>
      <c r="X49" s="70"/>
      <c r="Y49" s="70"/>
      <c r="Z49" s="71"/>
      <c r="AA49" s="76">
        <f t="shared" si="0"/>
        <v>69</v>
      </c>
      <c r="AE49" s="16"/>
      <c r="AF49" s="16"/>
    </row>
    <row r="50" spans="1:32" s="14" customFormat="1" ht="36" customHeight="1" thickBot="1" x14ac:dyDescent="0.5">
      <c r="A50" s="214"/>
      <c r="B50" s="197"/>
      <c r="C50" s="201"/>
      <c r="D50" s="202"/>
      <c r="E50" s="203"/>
      <c r="F50" s="31" t="s">
        <v>32</v>
      </c>
      <c r="G50" s="58"/>
      <c r="H50" s="59"/>
      <c r="I50" s="59"/>
      <c r="J50" s="59">
        <v>35</v>
      </c>
      <c r="K50" s="59">
        <v>15</v>
      </c>
      <c r="L50" s="59">
        <v>15</v>
      </c>
      <c r="M50" s="59">
        <v>23</v>
      </c>
      <c r="N50" s="72">
        <v>25</v>
      </c>
      <c r="O50" s="72">
        <v>10</v>
      </c>
      <c r="P50" s="72">
        <v>1539</v>
      </c>
      <c r="Q50" s="72">
        <v>25</v>
      </c>
      <c r="R50" s="72">
        <v>15</v>
      </c>
      <c r="S50" s="72">
        <v>45</v>
      </c>
      <c r="T50" s="72">
        <v>70</v>
      </c>
      <c r="U50" s="72">
        <v>15</v>
      </c>
      <c r="V50" s="72">
        <v>10</v>
      </c>
      <c r="W50" s="72">
        <v>20</v>
      </c>
      <c r="X50" s="72">
        <v>45</v>
      </c>
      <c r="Y50" s="72">
        <v>20</v>
      </c>
      <c r="Z50" s="73">
        <v>50</v>
      </c>
      <c r="AA50" s="74">
        <f t="shared" si="0"/>
        <v>1977</v>
      </c>
      <c r="AE50" s="16"/>
      <c r="AF50" s="16"/>
    </row>
    <row r="51" spans="1:32" s="14" customFormat="1" ht="36" customHeight="1" x14ac:dyDescent="0.45">
      <c r="A51" s="214"/>
      <c r="B51" s="197"/>
      <c r="C51" s="198" t="s">
        <v>91</v>
      </c>
      <c r="D51" s="199"/>
      <c r="E51" s="200"/>
      <c r="F51" s="22" t="s">
        <v>30</v>
      </c>
      <c r="G51" s="61"/>
      <c r="H51" s="62"/>
      <c r="I51" s="62"/>
      <c r="J51" s="62">
        <v>1</v>
      </c>
      <c r="K51" s="62"/>
      <c r="L51" s="62"/>
      <c r="M51" s="62">
        <v>1</v>
      </c>
      <c r="N51" s="68">
        <v>1</v>
      </c>
      <c r="O51" s="68"/>
      <c r="P51" s="68">
        <v>152</v>
      </c>
      <c r="Q51" s="68">
        <v>1</v>
      </c>
      <c r="R51" s="68"/>
      <c r="S51" s="68">
        <v>5</v>
      </c>
      <c r="T51" s="68">
        <v>5</v>
      </c>
      <c r="U51" s="68">
        <v>1</v>
      </c>
      <c r="V51" s="68">
        <v>1</v>
      </c>
      <c r="W51" s="68">
        <v>1</v>
      </c>
      <c r="X51" s="68">
        <v>5</v>
      </c>
      <c r="Y51" s="68"/>
      <c r="Z51" s="69">
        <v>5</v>
      </c>
      <c r="AA51" s="75">
        <f t="shared" si="0"/>
        <v>179</v>
      </c>
      <c r="AE51" s="16"/>
      <c r="AF51" s="16"/>
    </row>
    <row r="52" spans="1:32" s="14" customFormat="1" ht="36" customHeight="1" x14ac:dyDescent="0.45">
      <c r="A52" s="214"/>
      <c r="B52" s="197"/>
      <c r="C52" s="204"/>
      <c r="D52" s="205"/>
      <c r="E52" s="206"/>
      <c r="F52" s="24" t="s">
        <v>31</v>
      </c>
      <c r="G52" s="55"/>
      <c r="H52" s="56"/>
      <c r="I52" s="56"/>
      <c r="J52" s="56">
        <v>1</v>
      </c>
      <c r="K52" s="56">
        <v>1</v>
      </c>
      <c r="L52" s="56">
        <v>1</v>
      </c>
      <c r="M52" s="56">
        <v>1</v>
      </c>
      <c r="N52" s="70">
        <v>1</v>
      </c>
      <c r="O52" s="70">
        <v>1</v>
      </c>
      <c r="P52" s="70">
        <v>160</v>
      </c>
      <c r="Q52" s="70">
        <v>1</v>
      </c>
      <c r="R52" s="70">
        <v>1</v>
      </c>
      <c r="S52" s="70">
        <v>10</v>
      </c>
      <c r="T52" s="70">
        <v>10</v>
      </c>
      <c r="U52" s="70">
        <v>1</v>
      </c>
      <c r="V52" s="70">
        <v>1</v>
      </c>
      <c r="W52" s="70">
        <v>1</v>
      </c>
      <c r="X52" s="70">
        <v>5</v>
      </c>
      <c r="Y52" s="70">
        <v>1</v>
      </c>
      <c r="Z52" s="71">
        <v>5</v>
      </c>
      <c r="AA52" s="76">
        <f t="shared" si="0"/>
        <v>202</v>
      </c>
      <c r="AE52" s="16"/>
      <c r="AF52" s="16"/>
    </row>
    <row r="53" spans="1:32" s="14" customFormat="1" ht="36" customHeight="1" thickBot="1" x14ac:dyDescent="0.5">
      <c r="A53" s="214"/>
      <c r="B53" s="197"/>
      <c r="C53" s="201"/>
      <c r="D53" s="202"/>
      <c r="E53" s="203"/>
      <c r="F53" s="31" t="s">
        <v>32</v>
      </c>
      <c r="G53" s="58"/>
      <c r="H53" s="59"/>
      <c r="I53" s="59"/>
      <c r="J53" s="59">
        <v>15</v>
      </c>
      <c r="K53" s="59">
        <v>2</v>
      </c>
      <c r="L53" s="59">
        <v>2</v>
      </c>
      <c r="M53" s="59">
        <v>5</v>
      </c>
      <c r="N53" s="72">
        <v>10</v>
      </c>
      <c r="O53" s="72">
        <v>2</v>
      </c>
      <c r="P53" s="72">
        <v>517</v>
      </c>
      <c r="Q53" s="72">
        <v>5</v>
      </c>
      <c r="R53" s="72">
        <v>2</v>
      </c>
      <c r="S53" s="72">
        <v>20</v>
      </c>
      <c r="T53" s="72">
        <v>25</v>
      </c>
      <c r="U53" s="72">
        <v>10</v>
      </c>
      <c r="V53" s="72">
        <v>15</v>
      </c>
      <c r="W53" s="72">
        <v>10</v>
      </c>
      <c r="X53" s="72">
        <v>55</v>
      </c>
      <c r="Y53" s="72">
        <v>20</v>
      </c>
      <c r="Z53" s="73">
        <v>60</v>
      </c>
      <c r="AA53" s="74">
        <f t="shared" si="0"/>
        <v>775</v>
      </c>
      <c r="AE53" s="16"/>
      <c r="AF53" s="16"/>
    </row>
    <row r="54" spans="1:32" s="14" customFormat="1" ht="36" customHeight="1" x14ac:dyDescent="0.45">
      <c r="A54" s="214"/>
      <c r="B54" s="197"/>
      <c r="C54" s="198" t="s">
        <v>92</v>
      </c>
      <c r="D54" s="199"/>
      <c r="E54" s="200"/>
      <c r="F54" s="22" t="s">
        <v>30</v>
      </c>
      <c r="G54" s="181"/>
      <c r="H54" s="182"/>
      <c r="I54" s="182"/>
      <c r="J54" s="182"/>
      <c r="K54" s="182"/>
      <c r="L54" s="182"/>
      <c r="M54" s="182"/>
      <c r="N54" s="183"/>
      <c r="O54" s="183"/>
      <c r="P54" s="183">
        <v>0</v>
      </c>
      <c r="Q54" s="183"/>
      <c r="R54" s="183"/>
      <c r="S54" s="183"/>
      <c r="T54" s="183"/>
      <c r="U54" s="183"/>
      <c r="V54" s="183"/>
      <c r="W54" s="183"/>
      <c r="X54" s="183"/>
      <c r="Y54" s="183"/>
      <c r="Z54" s="184"/>
      <c r="AA54" s="185">
        <f t="shared" si="0"/>
        <v>0</v>
      </c>
      <c r="AE54" s="16"/>
      <c r="AF54" s="16"/>
    </row>
    <row r="55" spans="1:32" s="14" customFormat="1" ht="36" customHeight="1" x14ac:dyDescent="0.45">
      <c r="A55" s="214"/>
      <c r="B55" s="197"/>
      <c r="C55" s="204"/>
      <c r="D55" s="205"/>
      <c r="E55" s="206"/>
      <c r="F55" s="24" t="s">
        <v>31</v>
      </c>
      <c r="G55" s="186"/>
      <c r="H55" s="187"/>
      <c r="I55" s="187"/>
      <c r="J55" s="187"/>
      <c r="K55" s="187"/>
      <c r="L55" s="187"/>
      <c r="M55" s="187"/>
      <c r="N55" s="188"/>
      <c r="O55" s="188"/>
      <c r="P55" s="188">
        <v>0</v>
      </c>
      <c r="Q55" s="188"/>
      <c r="R55" s="188"/>
      <c r="S55" s="188"/>
      <c r="T55" s="188"/>
      <c r="U55" s="188"/>
      <c r="V55" s="188"/>
      <c r="W55" s="188"/>
      <c r="X55" s="188"/>
      <c r="Y55" s="188"/>
      <c r="Z55" s="189"/>
      <c r="AA55" s="190">
        <f t="shared" si="0"/>
        <v>0</v>
      </c>
      <c r="AE55" s="16"/>
      <c r="AF55" s="16"/>
    </row>
    <row r="56" spans="1:32" s="14" customFormat="1" ht="36" customHeight="1" thickBot="1" x14ac:dyDescent="0.5">
      <c r="A56" s="214"/>
      <c r="B56" s="197"/>
      <c r="C56" s="204"/>
      <c r="D56" s="205"/>
      <c r="E56" s="206"/>
      <c r="F56" s="30" t="s">
        <v>32</v>
      </c>
      <c r="G56" s="191"/>
      <c r="H56" s="192"/>
      <c r="I56" s="192"/>
      <c r="J56" s="192"/>
      <c r="K56" s="192"/>
      <c r="L56" s="192"/>
      <c r="M56" s="192"/>
      <c r="N56" s="193"/>
      <c r="O56" s="193"/>
      <c r="P56" s="193">
        <v>0</v>
      </c>
      <c r="Q56" s="193"/>
      <c r="R56" s="193"/>
      <c r="S56" s="193"/>
      <c r="T56" s="193"/>
      <c r="U56" s="193"/>
      <c r="V56" s="193"/>
      <c r="W56" s="193"/>
      <c r="X56" s="193"/>
      <c r="Y56" s="193"/>
      <c r="Z56" s="194"/>
      <c r="AA56" s="195">
        <f t="shared" si="0"/>
        <v>0</v>
      </c>
      <c r="AE56" s="16"/>
      <c r="AF56" s="16"/>
    </row>
    <row r="57" spans="1:32" s="26" customFormat="1" ht="36" customHeight="1" thickBot="1" x14ac:dyDescent="0.25">
      <c r="A57" s="209" t="s">
        <v>33</v>
      </c>
      <c r="B57" s="210"/>
      <c r="C57" s="210"/>
      <c r="D57" s="210"/>
      <c r="E57" s="210"/>
      <c r="F57" s="210"/>
      <c r="G57" s="90">
        <f>SUM(G11:G56)</f>
        <v>1600</v>
      </c>
      <c r="H57" s="90">
        <f t="shared" ref="H57:AA57" si="1">SUM(H11:H56)</f>
        <v>1500</v>
      </c>
      <c r="I57" s="90">
        <f t="shared" si="1"/>
        <v>200</v>
      </c>
      <c r="J57" s="90">
        <f t="shared" si="1"/>
        <v>1320</v>
      </c>
      <c r="K57" s="90">
        <f t="shared" si="1"/>
        <v>640</v>
      </c>
      <c r="L57" s="90">
        <f t="shared" si="1"/>
        <v>790</v>
      </c>
      <c r="M57" s="90">
        <f t="shared" si="1"/>
        <v>1030</v>
      </c>
      <c r="N57" s="90">
        <f t="shared" si="1"/>
        <v>1000</v>
      </c>
      <c r="O57" s="90">
        <f t="shared" si="1"/>
        <v>1250</v>
      </c>
      <c r="P57" s="90">
        <f t="shared" si="1"/>
        <v>60482</v>
      </c>
      <c r="Q57" s="90">
        <f t="shared" si="1"/>
        <v>890</v>
      </c>
      <c r="R57" s="90">
        <f t="shared" si="1"/>
        <v>960</v>
      </c>
      <c r="S57" s="90">
        <f t="shared" si="1"/>
        <v>2200</v>
      </c>
      <c r="T57" s="90">
        <f t="shared" si="1"/>
        <v>2800</v>
      </c>
      <c r="U57" s="90">
        <f t="shared" si="1"/>
        <v>1600</v>
      </c>
      <c r="V57" s="90">
        <f t="shared" si="1"/>
        <v>3050</v>
      </c>
      <c r="W57" s="90">
        <f t="shared" si="1"/>
        <v>1950</v>
      </c>
      <c r="X57" s="90">
        <f t="shared" si="1"/>
        <v>4590</v>
      </c>
      <c r="Y57" s="90">
        <f t="shared" si="1"/>
        <v>2030</v>
      </c>
      <c r="Z57" s="90">
        <f t="shared" si="1"/>
        <v>4600</v>
      </c>
      <c r="AA57" s="90">
        <f t="shared" si="1"/>
        <v>91382</v>
      </c>
      <c r="AB57" s="25"/>
      <c r="AC57" s="25"/>
      <c r="AD57" s="25"/>
      <c r="AE57" s="25"/>
    </row>
    <row r="58" spans="1:32" ht="15.75" thickBot="1" x14ac:dyDescent="0.3">
      <c r="B58" s="27"/>
    </row>
    <row r="59" spans="1:32" ht="22.5" thickBot="1" x14ac:dyDescent="0.45">
      <c r="B59" s="27"/>
      <c r="E59" s="211" t="s">
        <v>55</v>
      </c>
      <c r="F59" s="212"/>
      <c r="G59" s="32">
        <f>SUM(G11:G24)/50</f>
        <v>0</v>
      </c>
      <c r="H59" s="32">
        <f t="shared" ref="H59:AA59" si="2">SUM(H11:H24)/50</f>
        <v>10</v>
      </c>
      <c r="I59" s="32">
        <f t="shared" si="2"/>
        <v>0</v>
      </c>
      <c r="J59" s="32">
        <f t="shared" si="2"/>
        <v>15.88</v>
      </c>
      <c r="K59" s="32">
        <f t="shared" si="2"/>
        <v>5.52</v>
      </c>
      <c r="L59" s="32">
        <f t="shared" si="2"/>
        <v>8.92</v>
      </c>
      <c r="M59" s="32">
        <f t="shared" si="2"/>
        <v>11.88</v>
      </c>
      <c r="N59" s="32">
        <f t="shared" si="2"/>
        <v>10.7</v>
      </c>
      <c r="O59" s="32">
        <f t="shared" si="2"/>
        <v>12.32</v>
      </c>
      <c r="P59" s="32">
        <f t="shared" si="2"/>
        <v>602.22</v>
      </c>
      <c r="Q59" s="32">
        <f t="shared" si="2"/>
        <v>10.42</v>
      </c>
      <c r="R59" s="32">
        <f t="shared" si="2"/>
        <v>9.9600000000000009</v>
      </c>
      <c r="S59" s="32">
        <f t="shared" si="2"/>
        <v>27.46</v>
      </c>
      <c r="T59" s="32">
        <f t="shared" si="2"/>
        <v>35.380000000000003</v>
      </c>
      <c r="U59" s="32">
        <f t="shared" si="2"/>
        <v>17.78</v>
      </c>
      <c r="V59" s="32">
        <f t="shared" si="2"/>
        <v>13.58</v>
      </c>
      <c r="W59" s="32">
        <f t="shared" si="2"/>
        <v>20.6</v>
      </c>
      <c r="X59" s="32">
        <f t="shared" si="2"/>
        <v>46.22</v>
      </c>
      <c r="Y59" s="32">
        <f t="shared" si="2"/>
        <v>21.48</v>
      </c>
      <c r="Z59" s="32">
        <f t="shared" si="2"/>
        <v>47.1</v>
      </c>
      <c r="AA59" s="32">
        <f t="shared" si="2"/>
        <v>917.42</v>
      </c>
    </row>
    <row r="60" spans="1:32" ht="22.5" thickBot="1" x14ac:dyDescent="0.45">
      <c r="B60" s="28"/>
      <c r="E60" s="213" t="s">
        <v>56</v>
      </c>
      <c r="F60" s="213"/>
      <c r="G60" s="33">
        <f>SUM(G25:G56)/50</f>
        <v>32</v>
      </c>
      <c r="H60" s="33">
        <f t="shared" ref="H60:AA60" si="3">SUM(H25:H56)/50</f>
        <v>20</v>
      </c>
      <c r="I60" s="33">
        <f t="shared" si="3"/>
        <v>4</v>
      </c>
      <c r="J60" s="33">
        <f t="shared" si="3"/>
        <v>10.52</v>
      </c>
      <c r="K60" s="33">
        <f t="shared" si="3"/>
        <v>7.28</v>
      </c>
      <c r="L60" s="33">
        <f t="shared" si="3"/>
        <v>6.88</v>
      </c>
      <c r="M60" s="33">
        <f t="shared" si="3"/>
        <v>8.7200000000000006</v>
      </c>
      <c r="N60" s="33">
        <f t="shared" si="3"/>
        <v>9.3000000000000007</v>
      </c>
      <c r="O60" s="33">
        <f t="shared" si="3"/>
        <v>12.68</v>
      </c>
      <c r="P60" s="33">
        <f t="shared" si="3"/>
        <v>607.41999999999996</v>
      </c>
      <c r="Q60" s="33">
        <f t="shared" si="3"/>
        <v>7.38</v>
      </c>
      <c r="R60" s="33">
        <f t="shared" si="3"/>
        <v>9.24</v>
      </c>
      <c r="S60" s="33">
        <f t="shared" si="3"/>
        <v>16.54</v>
      </c>
      <c r="T60" s="33">
        <f t="shared" si="3"/>
        <v>20.62</v>
      </c>
      <c r="U60" s="33">
        <f t="shared" si="3"/>
        <v>14.22</v>
      </c>
      <c r="V60" s="33">
        <f t="shared" si="3"/>
        <v>47.42</v>
      </c>
      <c r="W60" s="33">
        <f t="shared" si="3"/>
        <v>18.399999999999999</v>
      </c>
      <c r="X60" s="33">
        <f t="shared" si="3"/>
        <v>45.58</v>
      </c>
      <c r="Y60" s="33">
        <f t="shared" si="3"/>
        <v>19.12</v>
      </c>
      <c r="Z60" s="33">
        <f t="shared" si="3"/>
        <v>44.9</v>
      </c>
      <c r="AA60" s="33">
        <f t="shared" si="3"/>
        <v>910.22</v>
      </c>
    </row>
    <row r="61" spans="1:32" ht="22.5" thickBot="1" x14ac:dyDescent="0.45">
      <c r="E61" s="207" t="s">
        <v>58</v>
      </c>
      <c r="F61" s="208"/>
      <c r="G61" s="35">
        <f>G57/10</f>
        <v>160</v>
      </c>
      <c r="H61" s="36">
        <f t="shared" ref="H61:AA61" si="4">H57/10</f>
        <v>150</v>
      </c>
      <c r="I61" s="36">
        <f t="shared" si="4"/>
        <v>20</v>
      </c>
      <c r="J61" s="36">
        <f t="shared" si="4"/>
        <v>132</v>
      </c>
      <c r="K61" s="36">
        <f t="shared" si="4"/>
        <v>64</v>
      </c>
      <c r="L61" s="36">
        <f t="shared" si="4"/>
        <v>79</v>
      </c>
      <c r="M61" s="36">
        <f t="shared" si="4"/>
        <v>103</v>
      </c>
      <c r="N61" s="36">
        <f t="shared" si="4"/>
        <v>100</v>
      </c>
      <c r="O61" s="36">
        <f t="shared" si="4"/>
        <v>125</v>
      </c>
      <c r="P61" s="36">
        <f t="shared" si="4"/>
        <v>6048.2</v>
      </c>
      <c r="Q61" s="36">
        <f t="shared" si="4"/>
        <v>89</v>
      </c>
      <c r="R61" s="36">
        <f t="shared" si="4"/>
        <v>96</v>
      </c>
      <c r="S61" s="36">
        <f t="shared" si="4"/>
        <v>220</v>
      </c>
      <c r="T61" s="36">
        <f t="shared" si="4"/>
        <v>280</v>
      </c>
      <c r="U61" s="36">
        <f t="shared" si="4"/>
        <v>160</v>
      </c>
      <c r="V61" s="36">
        <f t="shared" si="4"/>
        <v>305</v>
      </c>
      <c r="W61" s="36">
        <f t="shared" si="4"/>
        <v>195</v>
      </c>
      <c r="X61" s="36">
        <f t="shared" si="4"/>
        <v>459</v>
      </c>
      <c r="Y61" s="36">
        <f t="shared" si="4"/>
        <v>203</v>
      </c>
      <c r="Z61" s="36">
        <f t="shared" si="4"/>
        <v>460</v>
      </c>
      <c r="AA61" s="37">
        <f t="shared" si="4"/>
        <v>9138.2000000000007</v>
      </c>
    </row>
    <row r="62" spans="1:32" x14ac:dyDescent="0.25"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spans="1:32" ht="7.5" customHeight="1" x14ac:dyDescent="0.25"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spans="1:32" x14ac:dyDescent="0.25"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11:27" x14ac:dyDescent="0.25"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spans="11:27" x14ac:dyDescent="0.25"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spans="11:27" x14ac:dyDescent="0.25"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spans="11:27" x14ac:dyDescent="0.25"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spans="11:27" x14ac:dyDescent="0.25"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spans="11:27" x14ac:dyDescent="0.25"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spans="11:27" x14ac:dyDescent="0.25"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spans="11:27" x14ac:dyDescent="0.25"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spans="11:27" x14ac:dyDescent="0.25"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11:27" x14ac:dyDescent="0.25"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11:27" x14ac:dyDescent="0.25"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spans="11:27" x14ac:dyDescent="0.25"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spans="11:27" x14ac:dyDescent="0.25"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spans="11:27" x14ac:dyDescent="0.25"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spans="11:27" x14ac:dyDescent="0.25"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spans="11:27" x14ac:dyDescent="0.25"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spans="11:27" x14ac:dyDescent="0.25"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spans="11:27" x14ac:dyDescent="0.25"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spans="11:27" x14ac:dyDescent="0.25"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spans="11:27" x14ac:dyDescent="0.25"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spans="11:27" x14ac:dyDescent="0.25"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spans="11:27" x14ac:dyDescent="0.25"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spans="11:27" x14ac:dyDescent="0.25"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spans="11:27" x14ac:dyDescent="0.25"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spans="11:27" x14ac:dyDescent="0.25"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spans="11:27" x14ac:dyDescent="0.25"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spans="11:27" x14ac:dyDescent="0.25"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spans="11:27" x14ac:dyDescent="0.25"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</sheetData>
  <mergeCells count="35">
    <mergeCell ref="A10:B10"/>
    <mergeCell ref="C10:F10"/>
    <mergeCell ref="D6:J6"/>
    <mergeCell ref="D5:J5"/>
    <mergeCell ref="A1:AA1"/>
    <mergeCell ref="L6:M6"/>
    <mergeCell ref="V6:Z6"/>
    <mergeCell ref="U5:W5"/>
    <mergeCell ref="T6:U6"/>
    <mergeCell ref="N6:R6"/>
    <mergeCell ref="X5:AA5"/>
    <mergeCell ref="A4:AA4"/>
    <mergeCell ref="A3:AA3"/>
    <mergeCell ref="A2:AA2"/>
    <mergeCell ref="E61:F61"/>
    <mergeCell ref="C37:E39"/>
    <mergeCell ref="C40:E42"/>
    <mergeCell ref="C43:E45"/>
    <mergeCell ref="C46:E47"/>
    <mergeCell ref="C48:E50"/>
    <mergeCell ref="C51:E53"/>
    <mergeCell ref="C54:E56"/>
    <mergeCell ref="A57:F57"/>
    <mergeCell ref="E59:F59"/>
    <mergeCell ref="E60:F60"/>
    <mergeCell ref="A11:A56"/>
    <mergeCell ref="B11:B25"/>
    <mergeCell ref="C11:E15"/>
    <mergeCell ref="C16:E20"/>
    <mergeCell ref="C21:E25"/>
    <mergeCell ref="B26:B56"/>
    <mergeCell ref="C26:E27"/>
    <mergeCell ref="C28:E30"/>
    <mergeCell ref="C31:E33"/>
    <mergeCell ref="C34:E36"/>
  </mergeCells>
  <printOptions horizontalCentered="1" verticalCentered="1"/>
  <pageMargins left="0" right="0" top="0" bottom="0" header="0" footer="0"/>
  <pageSetup scale="28" orientation="landscape" horizont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C4C8-DCB6-456F-B4C4-27908DE7217A}">
  <dimension ref="A1:AF92"/>
  <sheetViews>
    <sheetView showGridLines="0" view="pageBreakPreview" topLeftCell="A39" zoomScale="55" zoomScaleNormal="100" zoomScaleSheetLayoutView="55" workbookViewId="0">
      <selection activeCell="AA60" sqref="AA60"/>
    </sheetView>
  </sheetViews>
  <sheetFormatPr baseColWidth="10" defaultColWidth="11.42578125" defaultRowHeight="15" x14ac:dyDescent="0.25"/>
  <cols>
    <col min="1" max="1" width="6.140625" customWidth="1"/>
    <col min="3" max="3" width="15.28515625" customWidth="1"/>
    <col min="4" max="5" width="13.42578125" customWidth="1"/>
    <col min="6" max="6" width="21.140625" bestFit="1" customWidth="1"/>
    <col min="7" max="7" width="21.140625" customWidth="1"/>
    <col min="8" max="8" width="24" customWidth="1"/>
    <col min="9" max="10" width="21.140625" customWidth="1"/>
    <col min="11" max="11" width="17.28515625" customWidth="1"/>
    <col min="12" max="23" width="16.7109375" customWidth="1"/>
    <col min="24" max="25" width="16.7109375" hidden="1" customWidth="1"/>
    <col min="26" max="26" width="18.42578125" customWidth="1"/>
    <col min="27" max="27" width="17.42578125" bestFit="1" customWidth="1"/>
    <col min="28" max="28" width="14" bestFit="1" customWidth="1"/>
    <col min="29" max="29" width="12.28515625" bestFit="1" customWidth="1"/>
    <col min="30" max="30" width="14" bestFit="1" customWidth="1"/>
    <col min="31" max="31" width="12.42578125" bestFit="1" customWidth="1"/>
    <col min="32" max="32" width="13.7109375" bestFit="1" customWidth="1"/>
  </cols>
  <sheetData>
    <row r="1" spans="1:32" s="3" customFormat="1" ht="27.75" customHeight="1" x14ac:dyDescent="0.55000000000000004">
      <c r="A1" s="226" t="s">
        <v>0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174"/>
      <c r="AC1" s="2"/>
      <c r="AD1" s="2"/>
    </row>
    <row r="2" spans="1:32" s="3" customFormat="1" ht="23.25" customHeight="1" x14ac:dyDescent="0.55000000000000004">
      <c r="A2" s="226" t="s">
        <v>1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174"/>
      <c r="AC2" s="4"/>
      <c r="AD2" s="4"/>
    </row>
    <row r="3" spans="1:32" s="3" customFormat="1" ht="23.25" customHeight="1" x14ac:dyDescent="0.55000000000000004">
      <c r="A3" s="226" t="s">
        <v>2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174"/>
      <c r="AC3" s="4"/>
      <c r="AD3" s="4"/>
    </row>
    <row r="4" spans="1:32" s="3" customFormat="1" ht="36" x14ac:dyDescent="0.65">
      <c r="A4" s="231" t="s">
        <v>299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5"/>
      <c r="AC4" s="6"/>
      <c r="AD4" s="6"/>
    </row>
    <row r="5" spans="1:32" s="1" customFormat="1" ht="22.5" customHeight="1" x14ac:dyDescent="0.45">
      <c r="A5" s="175" t="s">
        <v>3</v>
      </c>
      <c r="B5" s="176"/>
      <c r="C5" s="177"/>
      <c r="D5" s="225" t="s">
        <v>74</v>
      </c>
      <c r="E5" s="225"/>
      <c r="F5" s="225"/>
      <c r="G5" s="225"/>
      <c r="H5" s="225"/>
      <c r="I5" s="225"/>
      <c r="J5" s="225"/>
      <c r="L5" s="178"/>
      <c r="S5" s="179"/>
      <c r="T5" s="179"/>
      <c r="U5" s="227" t="s">
        <v>34</v>
      </c>
      <c r="V5" s="227"/>
      <c r="W5" s="227"/>
      <c r="X5" s="230">
        <v>1</v>
      </c>
      <c r="Y5" s="230"/>
      <c r="Z5" s="230"/>
      <c r="AA5" s="230"/>
      <c r="AC5" s="180"/>
      <c r="AD5" s="180"/>
    </row>
    <row r="6" spans="1:32" s="1" customFormat="1" ht="22.5" customHeight="1" x14ac:dyDescent="0.45">
      <c r="A6" s="176" t="s">
        <v>5</v>
      </c>
      <c r="B6" s="176"/>
      <c r="C6" s="175"/>
      <c r="D6" s="224" t="s">
        <v>76</v>
      </c>
      <c r="E6" s="224"/>
      <c r="F6" s="224"/>
      <c r="G6" s="224"/>
      <c r="H6" s="224"/>
      <c r="I6" s="224"/>
      <c r="J6" s="224"/>
      <c r="K6" s="176"/>
      <c r="L6" s="227" t="s">
        <v>4</v>
      </c>
      <c r="M6" s="227"/>
      <c r="N6" s="228" t="s">
        <v>74</v>
      </c>
      <c r="O6" s="228"/>
      <c r="P6" s="228"/>
      <c r="Q6" s="228"/>
      <c r="R6" s="228"/>
      <c r="S6" s="179"/>
      <c r="T6" s="227" t="s">
        <v>35</v>
      </c>
      <c r="U6" s="227"/>
      <c r="V6" s="228" t="s">
        <v>75</v>
      </c>
      <c r="W6" s="228"/>
      <c r="X6" s="229"/>
      <c r="Y6" s="229"/>
      <c r="Z6" s="229"/>
      <c r="AC6" s="180"/>
      <c r="AD6" s="180"/>
    </row>
    <row r="7" spans="1:32" s="8" customFormat="1" ht="21" customHeight="1" x14ac:dyDescent="0.35">
      <c r="A7"/>
      <c r="B7"/>
      <c r="C7"/>
      <c r="D7"/>
      <c r="E7"/>
      <c r="F7"/>
      <c r="G7"/>
      <c r="H7"/>
      <c r="I7"/>
      <c r="J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Z7" s="9"/>
      <c r="AA7" s="9"/>
      <c r="AC7" s="9"/>
    </row>
    <row r="8" spans="1:32" s="8" customFormat="1" ht="23.25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9" t="s">
        <v>6</v>
      </c>
      <c r="Y8" s="7"/>
      <c r="Z8" s="7"/>
      <c r="AA8" s="7"/>
      <c r="AC8" s="9"/>
    </row>
    <row r="9" spans="1:32" s="8" customFormat="1" ht="11.1" customHeight="1" thickBot="1" x14ac:dyDescent="0.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9"/>
      <c r="Y9" s="7"/>
      <c r="Z9" s="7"/>
      <c r="AA9" s="7"/>
      <c r="AC9" s="9"/>
    </row>
    <row r="10" spans="1:32" s="12" customFormat="1" ht="63.75" customHeight="1" thickBot="1" x14ac:dyDescent="0.25">
      <c r="A10" s="220" t="s">
        <v>7</v>
      </c>
      <c r="B10" s="221"/>
      <c r="C10" s="222" t="s">
        <v>8</v>
      </c>
      <c r="D10" s="223"/>
      <c r="E10" s="223"/>
      <c r="F10" s="223"/>
      <c r="G10" s="88" t="s">
        <v>59</v>
      </c>
      <c r="H10" s="88" t="s">
        <v>60</v>
      </c>
      <c r="I10" s="88" t="s">
        <v>61</v>
      </c>
      <c r="J10" s="88" t="s">
        <v>62</v>
      </c>
      <c r="K10" s="88" t="s">
        <v>63</v>
      </c>
      <c r="L10" s="88" t="s">
        <v>64</v>
      </c>
      <c r="M10" s="88" t="s">
        <v>65</v>
      </c>
      <c r="N10" s="88" t="s">
        <v>71</v>
      </c>
      <c r="O10" s="88" t="s">
        <v>94</v>
      </c>
      <c r="P10" s="88" t="s">
        <v>95</v>
      </c>
      <c r="Q10" s="88" t="s">
        <v>97</v>
      </c>
      <c r="R10" s="88" t="s">
        <v>96</v>
      </c>
      <c r="S10" s="88" t="s">
        <v>66</v>
      </c>
      <c r="T10" s="88" t="s">
        <v>67</v>
      </c>
      <c r="U10" s="88" t="s">
        <v>68</v>
      </c>
      <c r="V10" s="88" t="s">
        <v>69</v>
      </c>
      <c r="W10" s="88" t="s">
        <v>70</v>
      </c>
      <c r="X10" s="88" t="s">
        <v>71</v>
      </c>
      <c r="Y10" s="88" t="s">
        <v>72</v>
      </c>
      <c r="Z10" s="89" t="s">
        <v>73</v>
      </c>
      <c r="AA10" s="89" t="s">
        <v>9</v>
      </c>
      <c r="AB10" s="10"/>
    </row>
    <row r="11" spans="1:32" s="14" customFormat="1" ht="36" customHeight="1" x14ac:dyDescent="0.45">
      <c r="A11" s="214" t="s">
        <v>10</v>
      </c>
      <c r="B11" s="215" t="s">
        <v>11</v>
      </c>
      <c r="C11" s="198" t="s">
        <v>79</v>
      </c>
      <c r="D11" s="199"/>
      <c r="E11" s="217"/>
      <c r="F11" s="77" t="s">
        <v>12</v>
      </c>
      <c r="G11" s="52">
        <v>25</v>
      </c>
      <c r="H11" s="53">
        <v>90</v>
      </c>
      <c r="I11" s="53">
        <v>50</v>
      </c>
      <c r="J11" s="53">
        <v>50</v>
      </c>
      <c r="K11" s="53">
        <v>46</v>
      </c>
      <c r="L11" s="53">
        <v>44</v>
      </c>
      <c r="M11" s="53">
        <v>22</v>
      </c>
      <c r="N11" s="53">
        <v>23</v>
      </c>
      <c r="O11" s="53">
        <v>25</v>
      </c>
      <c r="P11" s="53">
        <v>20</v>
      </c>
      <c r="Q11" s="53">
        <v>25</v>
      </c>
      <c r="R11" s="53">
        <v>29</v>
      </c>
      <c r="S11" s="53">
        <v>65</v>
      </c>
      <c r="T11" s="53">
        <v>20</v>
      </c>
      <c r="U11" s="53">
        <v>23</v>
      </c>
      <c r="V11" s="53">
        <v>25</v>
      </c>
      <c r="W11" s="53">
        <v>25</v>
      </c>
      <c r="X11" s="53"/>
      <c r="Y11" s="53"/>
      <c r="Z11" s="54"/>
      <c r="AA11" s="54">
        <f t="shared" ref="AA11:AA56" si="0">SUM(G11:Z11)</f>
        <v>607</v>
      </c>
      <c r="AD11" s="15"/>
      <c r="AE11" s="16"/>
      <c r="AF11" s="16"/>
    </row>
    <row r="12" spans="1:32" s="14" customFormat="1" ht="36" customHeight="1" x14ac:dyDescent="0.45">
      <c r="A12" s="214"/>
      <c r="B12" s="215"/>
      <c r="C12" s="204"/>
      <c r="D12" s="205"/>
      <c r="E12" s="218"/>
      <c r="F12" s="77" t="s">
        <v>13</v>
      </c>
      <c r="G12" s="55">
        <v>20</v>
      </c>
      <c r="H12" s="56">
        <v>50</v>
      </c>
      <c r="I12" s="56">
        <v>31</v>
      </c>
      <c r="J12" s="56">
        <v>41</v>
      </c>
      <c r="K12" s="56">
        <v>42</v>
      </c>
      <c r="L12" s="56">
        <v>35</v>
      </c>
      <c r="M12" s="56">
        <v>15</v>
      </c>
      <c r="N12" s="56">
        <v>15</v>
      </c>
      <c r="O12" s="56">
        <v>15</v>
      </c>
      <c r="P12" s="56">
        <v>15</v>
      </c>
      <c r="Q12" s="56">
        <v>15</v>
      </c>
      <c r="R12" s="56">
        <v>15</v>
      </c>
      <c r="S12" s="56">
        <v>40</v>
      </c>
      <c r="T12" s="56">
        <v>15</v>
      </c>
      <c r="U12" s="56">
        <v>16</v>
      </c>
      <c r="V12" s="56">
        <v>18</v>
      </c>
      <c r="W12" s="56">
        <v>15</v>
      </c>
      <c r="X12" s="56"/>
      <c r="Y12" s="56"/>
      <c r="Z12" s="57"/>
      <c r="AA12" s="57">
        <f t="shared" si="0"/>
        <v>413</v>
      </c>
      <c r="AD12" s="15"/>
      <c r="AE12" s="16"/>
      <c r="AF12" s="16"/>
    </row>
    <row r="13" spans="1:32" s="14" customFormat="1" ht="36" customHeight="1" x14ac:dyDescent="0.45">
      <c r="A13" s="214"/>
      <c r="B13" s="215"/>
      <c r="C13" s="204"/>
      <c r="D13" s="205"/>
      <c r="E13" s="218"/>
      <c r="F13" s="77" t="s">
        <v>14</v>
      </c>
      <c r="G13" s="55">
        <v>3</v>
      </c>
      <c r="H13" s="56">
        <v>15</v>
      </c>
      <c r="I13" s="56">
        <v>5</v>
      </c>
      <c r="J13" s="56">
        <v>5</v>
      </c>
      <c r="K13" s="56">
        <v>5</v>
      </c>
      <c r="L13" s="56">
        <v>5</v>
      </c>
      <c r="M13" s="56">
        <v>2</v>
      </c>
      <c r="N13" s="56">
        <v>3</v>
      </c>
      <c r="O13" s="56">
        <v>5</v>
      </c>
      <c r="P13" s="56">
        <v>5</v>
      </c>
      <c r="Q13" s="56">
        <v>5</v>
      </c>
      <c r="R13" s="56">
        <v>5</v>
      </c>
      <c r="S13" s="56">
        <v>10</v>
      </c>
      <c r="T13" s="56">
        <v>5</v>
      </c>
      <c r="U13" s="56">
        <v>5</v>
      </c>
      <c r="V13" s="56">
        <v>5</v>
      </c>
      <c r="W13" s="56">
        <v>5</v>
      </c>
      <c r="X13" s="56"/>
      <c r="Y13" s="56"/>
      <c r="Z13" s="57"/>
      <c r="AA13" s="57">
        <f t="shared" si="0"/>
        <v>93</v>
      </c>
      <c r="AD13" s="15"/>
      <c r="AE13" s="16"/>
      <c r="AF13" s="16"/>
    </row>
    <row r="14" spans="1:32" s="14" customFormat="1" ht="36" customHeight="1" x14ac:dyDescent="0.45">
      <c r="A14" s="214"/>
      <c r="B14" s="215"/>
      <c r="C14" s="204"/>
      <c r="D14" s="205"/>
      <c r="E14" s="218"/>
      <c r="F14" s="78" t="s">
        <v>15</v>
      </c>
      <c r="G14" s="55">
        <v>5</v>
      </c>
      <c r="H14" s="56">
        <v>8</v>
      </c>
      <c r="I14" s="56">
        <v>5</v>
      </c>
      <c r="J14" s="56">
        <v>9</v>
      </c>
      <c r="K14" s="56">
        <v>1</v>
      </c>
      <c r="L14" s="56">
        <v>5</v>
      </c>
      <c r="M14" s="56">
        <v>2</v>
      </c>
      <c r="N14" s="56">
        <v>1</v>
      </c>
      <c r="O14" s="56">
        <v>1</v>
      </c>
      <c r="P14" s="56">
        <v>1</v>
      </c>
      <c r="Q14" s="56">
        <v>1</v>
      </c>
      <c r="R14" s="56">
        <v>1</v>
      </c>
      <c r="S14" s="56">
        <v>10</v>
      </c>
      <c r="T14" s="56">
        <v>1</v>
      </c>
      <c r="U14" s="56">
        <v>1</v>
      </c>
      <c r="V14" s="56">
        <v>1</v>
      </c>
      <c r="W14" s="56">
        <v>1</v>
      </c>
      <c r="X14" s="56"/>
      <c r="Y14" s="56"/>
      <c r="Z14" s="57"/>
      <c r="AA14" s="57">
        <f t="shared" si="0"/>
        <v>54</v>
      </c>
      <c r="AD14" s="15"/>
      <c r="AE14" s="16"/>
      <c r="AF14" s="16"/>
    </row>
    <row r="15" spans="1:32" s="14" customFormat="1" ht="36" customHeight="1" thickBot="1" x14ac:dyDescent="0.5">
      <c r="A15" s="214"/>
      <c r="B15" s="215"/>
      <c r="C15" s="201"/>
      <c r="D15" s="202"/>
      <c r="E15" s="219"/>
      <c r="F15" s="79" t="s">
        <v>16</v>
      </c>
      <c r="G15" s="58">
        <v>2</v>
      </c>
      <c r="H15" s="59">
        <v>1</v>
      </c>
      <c r="I15" s="59">
        <v>1</v>
      </c>
      <c r="J15" s="59">
        <v>1</v>
      </c>
      <c r="K15" s="59">
        <v>2</v>
      </c>
      <c r="L15" s="59">
        <v>5</v>
      </c>
      <c r="M15" s="59">
        <v>1</v>
      </c>
      <c r="N15" s="59">
        <v>2</v>
      </c>
      <c r="O15" s="59">
        <v>5</v>
      </c>
      <c r="P15" s="59">
        <v>5</v>
      </c>
      <c r="Q15" s="59">
        <v>2</v>
      </c>
      <c r="R15" s="59">
        <v>2</v>
      </c>
      <c r="S15" s="59">
        <v>8</v>
      </c>
      <c r="T15" s="59">
        <v>2</v>
      </c>
      <c r="U15" s="59">
        <v>2</v>
      </c>
      <c r="V15" s="59">
        <v>2</v>
      </c>
      <c r="W15" s="59">
        <v>2</v>
      </c>
      <c r="X15" s="59"/>
      <c r="Y15" s="59"/>
      <c r="Z15" s="60"/>
      <c r="AA15" s="60">
        <f t="shared" si="0"/>
        <v>45</v>
      </c>
      <c r="AD15" s="15"/>
      <c r="AE15" s="16"/>
      <c r="AF15" s="16"/>
    </row>
    <row r="16" spans="1:32" s="14" customFormat="1" ht="36" customHeight="1" x14ac:dyDescent="0.45">
      <c r="A16" s="214"/>
      <c r="B16" s="215"/>
      <c r="C16" s="198" t="s">
        <v>80</v>
      </c>
      <c r="D16" s="199"/>
      <c r="E16" s="217"/>
      <c r="F16" s="80" t="s">
        <v>17</v>
      </c>
      <c r="G16" s="61">
        <v>25</v>
      </c>
      <c r="H16" s="62">
        <v>90</v>
      </c>
      <c r="I16" s="62">
        <v>50</v>
      </c>
      <c r="J16" s="62">
        <v>50</v>
      </c>
      <c r="K16" s="62">
        <v>46</v>
      </c>
      <c r="L16" s="62">
        <v>44</v>
      </c>
      <c r="M16" s="62">
        <v>22</v>
      </c>
      <c r="N16" s="62">
        <v>23</v>
      </c>
      <c r="O16" s="62">
        <v>25</v>
      </c>
      <c r="P16" s="62">
        <v>20</v>
      </c>
      <c r="Q16" s="62">
        <v>25</v>
      </c>
      <c r="R16" s="62">
        <v>29</v>
      </c>
      <c r="S16" s="62">
        <v>65</v>
      </c>
      <c r="T16" s="62">
        <v>20</v>
      </c>
      <c r="U16" s="62">
        <v>23</v>
      </c>
      <c r="V16" s="62">
        <v>25</v>
      </c>
      <c r="W16" s="62">
        <v>25</v>
      </c>
      <c r="X16" s="62"/>
      <c r="Y16" s="62"/>
      <c r="Z16" s="63"/>
      <c r="AA16" s="57">
        <f t="shared" si="0"/>
        <v>607</v>
      </c>
      <c r="AD16" s="15"/>
      <c r="AE16" s="16"/>
      <c r="AF16" s="16"/>
    </row>
    <row r="17" spans="1:32" s="14" customFormat="1" ht="36" customHeight="1" x14ac:dyDescent="0.45">
      <c r="A17" s="214"/>
      <c r="B17" s="215"/>
      <c r="C17" s="204"/>
      <c r="D17" s="205"/>
      <c r="E17" s="218"/>
      <c r="F17" s="77" t="s">
        <v>18</v>
      </c>
      <c r="G17" s="55">
        <v>20</v>
      </c>
      <c r="H17" s="56">
        <v>50</v>
      </c>
      <c r="I17" s="56">
        <v>31</v>
      </c>
      <c r="J17" s="56">
        <v>41</v>
      </c>
      <c r="K17" s="56">
        <v>42</v>
      </c>
      <c r="L17" s="56">
        <v>35</v>
      </c>
      <c r="M17" s="56">
        <v>15</v>
      </c>
      <c r="N17" s="56">
        <v>15</v>
      </c>
      <c r="O17" s="56">
        <v>15</v>
      </c>
      <c r="P17" s="56">
        <v>15</v>
      </c>
      <c r="Q17" s="56">
        <v>15</v>
      </c>
      <c r="R17" s="56">
        <v>15</v>
      </c>
      <c r="S17" s="56">
        <v>40</v>
      </c>
      <c r="T17" s="56">
        <v>15</v>
      </c>
      <c r="U17" s="56">
        <v>16</v>
      </c>
      <c r="V17" s="56">
        <v>18</v>
      </c>
      <c r="W17" s="56">
        <v>15</v>
      </c>
      <c r="X17" s="56"/>
      <c r="Y17" s="56"/>
      <c r="Z17" s="57"/>
      <c r="AA17" s="57">
        <f t="shared" si="0"/>
        <v>413</v>
      </c>
      <c r="AD17" s="15"/>
      <c r="AE17" s="16"/>
      <c r="AF17" s="16"/>
    </row>
    <row r="18" spans="1:32" s="14" customFormat="1" ht="36" customHeight="1" x14ac:dyDescent="0.45">
      <c r="A18" s="214"/>
      <c r="B18" s="215"/>
      <c r="C18" s="204"/>
      <c r="D18" s="205"/>
      <c r="E18" s="218"/>
      <c r="F18" s="77" t="s">
        <v>19</v>
      </c>
      <c r="G18" s="55">
        <v>3</v>
      </c>
      <c r="H18" s="56">
        <v>15</v>
      </c>
      <c r="I18" s="56">
        <v>5</v>
      </c>
      <c r="J18" s="56">
        <v>5</v>
      </c>
      <c r="K18" s="56">
        <v>5</v>
      </c>
      <c r="L18" s="56">
        <v>5</v>
      </c>
      <c r="M18" s="56">
        <v>2</v>
      </c>
      <c r="N18" s="56">
        <v>3</v>
      </c>
      <c r="O18" s="56">
        <v>5</v>
      </c>
      <c r="P18" s="56">
        <v>5</v>
      </c>
      <c r="Q18" s="56">
        <v>5</v>
      </c>
      <c r="R18" s="56">
        <v>5</v>
      </c>
      <c r="S18" s="56">
        <v>10</v>
      </c>
      <c r="T18" s="56">
        <v>5</v>
      </c>
      <c r="U18" s="56">
        <v>5</v>
      </c>
      <c r="V18" s="56">
        <v>5</v>
      </c>
      <c r="W18" s="56">
        <v>5</v>
      </c>
      <c r="X18" s="56"/>
      <c r="Y18" s="56"/>
      <c r="Z18" s="57"/>
      <c r="AA18" s="57">
        <f t="shared" si="0"/>
        <v>93</v>
      </c>
      <c r="AD18" s="15"/>
      <c r="AE18" s="16"/>
      <c r="AF18" s="16"/>
    </row>
    <row r="19" spans="1:32" s="14" customFormat="1" ht="36" customHeight="1" x14ac:dyDescent="0.45">
      <c r="A19" s="214"/>
      <c r="B19" s="215"/>
      <c r="C19" s="204"/>
      <c r="D19" s="205"/>
      <c r="E19" s="218"/>
      <c r="F19" s="78" t="s">
        <v>20</v>
      </c>
      <c r="G19" s="55">
        <v>5</v>
      </c>
      <c r="H19" s="56">
        <v>8</v>
      </c>
      <c r="I19" s="56">
        <v>5</v>
      </c>
      <c r="J19" s="56">
        <v>9</v>
      </c>
      <c r="K19" s="56">
        <v>1</v>
      </c>
      <c r="L19" s="56">
        <v>5</v>
      </c>
      <c r="M19" s="56">
        <v>2</v>
      </c>
      <c r="N19" s="56">
        <v>1</v>
      </c>
      <c r="O19" s="56">
        <v>1</v>
      </c>
      <c r="P19" s="56">
        <v>1</v>
      </c>
      <c r="Q19" s="56">
        <v>1</v>
      </c>
      <c r="R19" s="56">
        <v>1</v>
      </c>
      <c r="S19" s="56">
        <v>10</v>
      </c>
      <c r="T19" s="56">
        <v>1</v>
      </c>
      <c r="U19" s="56">
        <v>1</v>
      </c>
      <c r="V19" s="56">
        <v>1</v>
      </c>
      <c r="W19" s="56">
        <v>1</v>
      </c>
      <c r="X19" s="56"/>
      <c r="Y19" s="56"/>
      <c r="Z19" s="57"/>
      <c r="AA19" s="57">
        <f t="shared" si="0"/>
        <v>54</v>
      </c>
      <c r="AD19" s="15"/>
      <c r="AE19" s="16"/>
      <c r="AF19" s="16"/>
    </row>
    <row r="20" spans="1:32" s="14" customFormat="1" ht="36" customHeight="1" thickBot="1" x14ac:dyDescent="0.5">
      <c r="A20" s="214"/>
      <c r="B20" s="215"/>
      <c r="C20" s="201"/>
      <c r="D20" s="202"/>
      <c r="E20" s="219"/>
      <c r="F20" s="79" t="s">
        <v>21</v>
      </c>
      <c r="G20" s="58">
        <v>2</v>
      </c>
      <c r="H20" s="59">
        <v>1</v>
      </c>
      <c r="I20" s="59">
        <v>1</v>
      </c>
      <c r="J20" s="59">
        <v>1</v>
      </c>
      <c r="K20" s="59">
        <v>2</v>
      </c>
      <c r="L20" s="59">
        <v>5</v>
      </c>
      <c r="M20" s="59">
        <v>1</v>
      </c>
      <c r="N20" s="59">
        <v>2</v>
      </c>
      <c r="O20" s="59">
        <v>5</v>
      </c>
      <c r="P20" s="59">
        <v>5</v>
      </c>
      <c r="Q20" s="59">
        <v>2</v>
      </c>
      <c r="R20" s="59">
        <v>2</v>
      </c>
      <c r="S20" s="59">
        <v>8</v>
      </c>
      <c r="T20" s="59">
        <v>2</v>
      </c>
      <c r="U20" s="59">
        <v>2</v>
      </c>
      <c r="V20" s="59">
        <v>2</v>
      </c>
      <c r="W20" s="59">
        <v>2</v>
      </c>
      <c r="X20" s="59"/>
      <c r="Y20" s="59"/>
      <c r="Z20" s="60"/>
      <c r="AA20" s="60">
        <f t="shared" si="0"/>
        <v>45</v>
      </c>
      <c r="AD20" s="15"/>
      <c r="AE20" s="16"/>
      <c r="AF20" s="16"/>
    </row>
    <row r="21" spans="1:32" s="14" customFormat="1" ht="36" customHeight="1" x14ac:dyDescent="0.45">
      <c r="A21" s="214"/>
      <c r="B21" s="215"/>
      <c r="C21" s="198" t="s">
        <v>81</v>
      </c>
      <c r="D21" s="199"/>
      <c r="E21" s="200"/>
      <c r="F21" s="80" t="s">
        <v>22</v>
      </c>
      <c r="G21" s="61">
        <v>50</v>
      </c>
      <c r="H21" s="62">
        <v>66</v>
      </c>
      <c r="I21" s="62">
        <v>57</v>
      </c>
      <c r="J21" s="62">
        <v>61</v>
      </c>
      <c r="K21" s="62">
        <v>56</v>
      </c>
      <c r="L21" s="62">
        <v>66</v>
      </c>
      <c r="M21" s="62">
        <v>32</v>
      </c>
      <c r="N21" s="62">
        <v>37</v>
      </c>
      <c r="O21" s="62">
        <v>41</v>
      </c>
      <c r="P21" s="62">
        <v>38</v>
      </c>
      <c r="Q21" s="62">
        <v>36</v>
      </c>
      <c r="R21" s="62">
        <v>36</v>
      </c>
      <c r="S21" s="62">
        <v>57</v>
      </c>
      <c r="T21" s="62">
        <v>37</v>
      </c>
      <c r="U21" s="62">
        <v>47</v>
      </c>
      <c r="V21" s="62">
        <v>47</v>
      </c>
      <c r="W21" s="62">
        <v>36</v>
      </c>
      <c r="X21" s="62"/>
      <c r="Y21" s="62"/>
      <c r="Z21" s="63"/>
      <c r="AA21" s="57">
        <f t="shared" si="0"/>
        <v>800</v>
      </c>
      <c r="AD21" s="15"/>
      <c r="AE21" s="16"/>
      <c r="AF21" s="16"/>
    </row>
    <row r="22" spans="1:32" s="14" customFormat="1" ht="36" customHeight="1" x14ac:dyDescent="0.45">
      <c r="A22" s="214"/>
      <c r="B22" s="215"/>
      <c r="C22" s="204"/>
      <c r="D22" s="205"/>
      <c r="E22" s="206"/>
      <c r="F22" s="77" t="s">
        <v>19</v>
      </c>
      <c r="G22" s="55">
        <v>41</v>
      </c>
      <c r="H22" s="56">
        <v>53</v>
      </c>
      <c r="I22" s="56">
        <v>45</v>
      </c>
      <c r="J22" s="56">
        <v>50</v>
      </c>
      <c r="K22" s="56">
        <v>53</v>
      </c>
      <c r="L22" s="56">
        <v>55</v>
      </c>
      <c r="M22" s="56">
        <v>28</v>
      </c>
      <c r="N22" s="56">
        <v>27</v>
      </c>
      <c r="O22" s="56">
        <v>33</v>
      </c>
      <c r="P22" s="56">
        <v>27</v>
      </c>
      <c r="Q22" s="56">
        <v>27</v>
      </c>
      <c r="R22" s="56">
        <v>37</v>
      </c>
      <c r="S22" s="56">
        <v>48</v>
      </c>
      <c r="T22" s="56">
        <v>46</v>
      </c>
      <c r="U22" s="56">
        <v>46</v>
      </c>
      <c r="V22" s="56">
        <v>46</v>
      </c>
      <c r="W22" s="56">
        <v>47</v>
      </c>
      <c r="X22" s="56"/>
      <c r="Y22" s="56"/>
      <c r="Z22" s="57"/>
      <c r="AA22" s="57">
        <f t="shared" si="0"/>
        <v>709</v>
      </c>
      <c r="AD22" s="15"/>
      <c r="AE22" s="16"/>
      <c r="AF22" s="16"/>
    </row>
    <row r="23" spans="1:32" s="14" customFormat="1" ht="36" customHeight="1" x14ac:dyDescent="0.45">
      <c r="A23" s="214"/>
      <c r="B23" s="215"/>
      <c r="C23" s="204"/>
      <c r="D23" s="205"/>
      <c r="E23" s="206"/>
      <c r="F23" s="77" t="s">
        <v>15</v>
      </c>
      <c r="G23" s="55">
        <v>35</v>
      </c>
      <c r="H23" s="56">
        <v>57</v>
      </c>
      <c r="I23" s="56">
        <v>36</v>
      </c>
      <c r="J23" s="56">
        <v>45</v>
      </c>
      <c r="K23" s="56">
        <v>45</v>
      </c>
      <c r="L23" s="56">
        <v>45</v>
      </c>
      <c r="M23" s="56">
        <v>29</v>
      </c>
      <c r="N23" s="56">
        <v>20</v>
      </c>
      <c r="O23" s="56">
        <v>30</v>
      </c>
      <c r="P23" s="56">
        <v>19</v>
      </c>
      <c r="Q23" s="56">
        <v>28</v>
      </c>
      <c r="R23" s="56">
        <v>28</v>
      </c>
      <c r="S23" s="56">
        <v>45</v>
      </c>
      <c r="T23" s="56">
        <v>45</v>
      </c>
      <c r="U23" s="56">
        <v>35</v>
      </c>
      <c r="V23" s="56">
        <v>35</v>
      </c>
      <c r="W23" s="56">
        <v>25</v>
      </c>
      <c r="X23" s="56"/>
      <c r="Y23" s="56"/>
      <c r="Z23" s="57"/>
      <c r="AA23" s="57">
        <f t="shared" si="0"/>
        <v>602</v>
      </c>
      <c r="AD23" s="15"/>
      <c r="AE23" s="16"/>
      <c r="AF23" s="16"/>
    </row>
    <row r="24" spans="1:32" s="14" customFormat="1" ht="36" customHeight="1" x14ac:dyDescent="0.45">
      <c r="A24" s="214"/>
      <c r="B24" s="215"/>
      <c r="C24" s="204"/>
      <c r="D24" s="205"/>
      <c r="E24" s="206"/>
      <c r="F24" s="78" t="s">
        <v>16</v>
      </c>
      <c r="G24" s="55">
        <v>36</v>
      </c>
      <c r="H24" s="56">
        <v>45</v>
      </c>
      <c r="I24" s="56">
        <v>33</v>
      </c>
      <c r="J24" s="56">
        <v>30</v>
      </c>
      <c r="K24" s="56">
        <v>35</v>
      </c>
      <c r="L24" s="56">
        <v>35</v>
      </c>
      <c r="M24" s="56">
        <v>20</v>
      </c>
      <c r="N24" s="56">
        <v>25</v>
      </c>
      <c r="O24" s="56">
        <v>25</v>
      </c>
      <c r="P24" s="56">
        <v>21</v>
      </c>
      <c r="Q24" s="56">
        <v>16</v>
      </c>
      <c r="R24" s="56">
        <v>16</v>
      </c>
      <c r="S24" s="56">
        <v>40</v>
      </c>
      <c r="T24" s="56">
        <v>35</v>
      </c>
      <c r="U24" s="56">
        <v>25</v>
      </c>
      <c r="V24" s="56">
        <v>25</v>
      </c>
      <c r="W24" s="56">
        <v>24</v>
      </c>
      <c r="X24" s="56"/>
      <c r="Y24" s="56"/>
      <c r="Z24" s="57"/>
      <c r="AA24" s="57">
        <f t="shared" si="0"/>
        <v>486</v>
      </c>
      <c r="AD24" s="15"/>
      <c r="AE24" s="16"/>
      <c r="AF24" s="16"/>
    </row>
    <row r="25" spans="1:32" s="14" customFormat="1" ht="36" customHeight="1" thickBot="1" x14ac:dyDescent="0.5">
      <c r="A25" s="214"/>
      <c r="B25" s="216"/>
      <c r="C25" s="201"/>
      <c r="D25" s="202"/>
      <c r="E25" s="203"/>
      <c r="F25" s="79" t="s">
        <v>23</v>
      </c>
      <c r="G25" s="58">
        <v>90</v>
      </c>
      <c r="H25" s="59">
        <v>79</v>
      </c>
      <c r="I25" s="59">
        <v>101</v>
      </c>
      <c r="J25" s="59">
        <v>95</v>
      </c>
      <c r="K25" s="59">
        <v>93</v>
      </c>
      <c r="L25" s="59">
        <v>92</v>
      </c>
      <c r="M25" s="59">
        <v>39</v>
      </c>
      <c r="N25" s="59">
        <v>34</v>
      </c>
      <c r="O25" s="59">
        <v>30</v>
      </c>
      <c r="P25" s="59">
        <v>37</v>
      </c>
      <c r="Q25" s="59">
        <v>37</v>
      </c>
      <c r="R25" s="59">
        <v>37</v>
      </c>
      <c r="S25" s="59">
        <v>97</v>
      </c>
      <c r="T25" s="59">
        <v>77</v>
      </c>
      <c r="U25" s="59">
        <v>73</v>
      </c>
      <c r="V25" s="59">
        <v>79</v>
      </c>
      <c r="W25" s="59">
        <v>35</v>
      </c>
      <c r="X25" s="59"/>
      <c r="Y25" s="59"/>
      <c r="Z25" s="60"/>
      <c r="AA25" s="60">
        <f t="shared" si="0"/>
        <v>1125</v>
      </c>
      <c r="AD25" s="15"/>
      <c r="AE25" s="16"/>
      <c r="AF25" s="16"/>
    </row>
    <row r="26" spans="1:32" s="14" customFormat="1" ht="36" customHeight="1" thickBot="1" x14ac:dyDescent="0.5">
      <c r="A26" s="214"/>
      <c r="B26" s="196" t="s">
        <v>24</v>
      </c>
      <c r="C26" s="198" t="s">
        <v>82</v>
      </c>
      <c r="D26" s="199"/>
      <c r="E26" s="200"/>
      <c r="F26" s="81" t="s">
        <v>25</v>
      </c>
      <c r="G26" s="64">
        <v>68</v>
      </c>
      <c r="H26" s="65">
        <v>65</v>
      </c>
      <c r="I26" s="65">
        <v>56</v>
      </c>
      <c r="J26" s="65">
        <v>45</v>
      </c>
      <c r="K26" s="65">
        <v>70</v>
      </c>
      <c r="L26" s="65">
        <v>68</v>
      </c>
      <c r="M26" s="65">
        <v>21</v>
      </c>
      <c r="N26" s="66">
        <v>35</v>
      </c>
      <c r="O26" s="66">
        <v>24</v>
      </c>
      <c r="P26" s="66">
        <v>35</v>
      </c>
      <c r="Q26" s="66">
        <v>35</v>
      </c>
      <c r="R26" s="66">
        <v>35</v>
      </c>
      <c r="S26" s="66">
        <v>67</v>
      </c>
      <c r="T26" s="66">
        <v>43</v>
      </c>
      <c r="U26" s="66">
        <v>44</v>
      </c>
      <c r="V26" s="66">
        <v>38</v>
      </c>
      <c r="W26" s="66">
        <v>20</v>
      </c>
      <c r="X26" s="66"/>
      <c r="Y26" s="66"/>
      <c r="Z26" s="67"/>
      <c r="AA26" s="63">
        <f t="shared" si="0"/>
        <v>769</v>
      </c>
      <c r="AE26" s="16"/>
      <c r="AF26" s="16"/>
    </row>
    <row r="27" spans="1:32" s="14" customFormat="1" ht="70.5" customHeight="1" thickBot="1" x14ac:dyDescent="0.5">
      <c r="A27" s="214"/>
      <c r="B27" s="197"/>
      <c r="C27" s="201"/>
      <c r="D27" s="202"/>
      <c r="E27" s="203"/>
      <c r="F27" s="82" t="s">
        <v>26</v>
      </c>
      <c r="G27" s="64">
        <v>5</v>
      </c>
      <c r="H27" s="65">
        <v>4</v>
      </c>
      <c r="I27" s="65">
        <v>6</v>
      </c>
      <c r="J27" s="65">
        <v>5</v>
      </c>
      <c r="K27" s="65">
        <v>8</v>
      </c>
      <c r="L27" s="65">
        <v>5</v>
      </c>
      <c r="M27" s="65">
        <v>5</v>
      </c>
      <c r="N27" s="66">
        <v>3</v>
      </c>
      <c r="O27" s="66">
        <v>3</v>
      </c>
      <c r="P27" s="66">
        <v>2</v>
      </c>
      <c r="Q27" s="66">
        <v>5</v>
      </c>
      <c r="R27" s="66">
        <v>5</v>
      </c>
      <c r="S27" s="66">
        <v>7</v>
      </c>
      <c r="T27" s="66">
        <v>5</v>
      </c>
      <c r="U27" s="66">
        <v>5</v>
      </c>
      <c r="V27" s="66">
        <v>5</v>
      </c>
      <c r="W27" s="66">
        <v>5</v>
      </c>
      <c r="X27" s="66"/>
      <c r="Y27" s="66"/>
      <c r="Z27" s="67"/>
      <c r="AA27" s="63">
        <f t="shared" si="0"/>
        <v>83</v>
      </c>
      <c r="AE27" s="16"/>
      <c r="AF27" s="16"/>
    </row>
    <row r="28" spans="1:32" s="14" customFormat="1" ht="36" customHeight="1" x14ac:dyDescent="0.45">
      <c r="A28" s="214"/>
      <c r="B28" s="197"/>
      <c r="C28" s="198" t="s">
        <v>83</v>
      </c>
      <c r="D28" s="199"/>
      <c r="E28" s="200"/>
      <c r="F28" s="83" t="s">
        <v>27</v>
      </c>
      <c r="G28" s="61"/>
      <c r="H28" s="62"/>
      <c r="I28" s="62"/>
      <c r="J28" s="62"/>
      <c r="K28" s="62"/>
      <c r="L28" s="62"/>
      <c r="M28" s="62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9"/>
      <c r="AA28" s="63">
        <f t="shared" si="0"/>
        <v>0</v>
      </c>
      <c r="AE28" s="16"/>
      <c r="AF28" s="16"/>
    </row>
    <row r="29" spans="1:32" s="14" customFormat="1" ht="36" customHeight="1" x14ac:dyDescent="0.45">
      <c r="A29" s="214"/>
      <c r="B29" s="197"/>
      <c r="C29" s="204"/>
      <c r="D29" s="205"/>
      <c r="E29" s="206"/>
      <c r="F29" s="84" t="s">
        <v>28</v>
      </c>
      <c r="G29" s="55"/>
      <c r="H29" s="56"/>
      <c r="I29" s="56"/>
      <c r="J29" s="56"/>
      <c r="K29" s="56"/>
      <c r="L29" s="56"/>
      <c r="M29" s="56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1"/>
      <c r="AA29" s="54">
        <f t="shared" si="0"/>
        <v>0</v>
      </c>
      <c r="AE29" s="16"/>
      <c r="AF29" s="16"/>
    </row>
    <row r="30" spans="1:32" s="14" customFormat="1" ht="36" customHeight="1" thickBot="1" x14ac:dyDescent="0.5">
      <c r="A30" s="214"/>
      <c r="B30" s="197"/>
      <c r="C30" s="201"/>
      <c r="D30" s="202"/>
      <c r="E30" s="203"/>
      <c r="F30" s="85" t="s">
        <v>29</v>
      </c>
      <c r="G30" s="58"/>
      <c r="H30" s="59"/>
      <c r="I30" s="59"/>
      <c r="J30" s="59"/>
      <c r="K30" s="59"/>
      <c r="L30" s="59"/>
      <c r="M30" s="59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3"/>
      <c r="AA30" s="54">
        <f t="shared" si="0"/>
        <v>0</v>
      </c>
      <c r="AE30" s="16"/>
      <c r="AF30" s="16"/>
    </row>
    <row r="31" spans="1:32" s="14" customFormat="1" ht="36" customHeight="1" x14ac:dyDescent="0.45">
      <c r="A31" s="214"/>
      <c r="B31" s="197"/>
      <c r="C31" s="198" t="s">
        <v>84</v>
      </c>
      <c r="D31" s="199"/>
      <c r="E31" s="200"/>
      <c r="F31" s="83" t="s">
        <v>27</v>
      </c>
      <c r="G31" s="61"/>
      <c r="H31" s="62"/>
      <c r="I31" s="62"/>
      <c r="J31" s="62"/>
      <c r="K31" s="62"/>
      <c r="L31" s="62"/>
      <c r="M31" s="62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9"/>
      <c r="AA31" s="63">
        <f t="shared" si="0"/>
        <v>0</v>
      </c>
      <c r="AE31" s="16"/>
      <c r="AF31" s="16"/>
    </row>
    <row r="32" spans="1:32" s="14" customFormat="1" ht="36" customHeight="1" x14ac:dyDescent="0.45">
      <c r="A32" s="214"/>
      <c r="B32" s="197"/>
      <c r="C32" s="204"/>
      <c r="D32" s="205"/>
      <c r="E32" s="206"/>
      <c r="F32" s="84" t="s">
        <v>28</v>
      </c>
      <c r="G32" s="55"/>
      <c r="H32" s="56">
        <v>1</v>
      </c>
      <c r="I32" s="56"/>
      <c r="J32" s="56"/>
      <c r="K32" s="56"/>
      <c r="L32" s="56"/>
      <c r="M32" s="56"/>
      <c r="N32" s="70"/>
      <c r="O32" s="70"/>
      <c r="P32" s="70"/>
      <c r="Q32" s="70"/>
      <c r="R32" s="70"/>
      <c r="S32" s="70">
        <v>5</v>
      </c>
      <c r="T32" s="70">
        <v>1</v>
      </c>
      <c r="U32" s="70">
        <v>1</v>
      </c>
      <c r="V32" s="70">
        <v>1</v>
      </c>
      <c r="W32" s="70"/>
      <c r="X32" s="70"/>
      <c r="Y32" s="70"/>
      <c r="Z32" s="71"/>
      <c r="AA32" s="54">
        <f t="shared" si="0"/>
        <v>9</v>
      </c>
      <c r="AE32" s="16"/>
      <c r="AF32" s="16"/>
    </row>
    <row r="33" spans="1:32" s="14" customFormat="1" ht="36" customHeight="1" thickBot="1" x14ac:dyDescent="0.5">
      <c r="A33" s="214"/>
      <c r="B33" s="197"/>
      <c r="C33" s="201"/>
      <c r="D33" s="202"/>
      <c r="E33" s="203"/>
      <c r="F33" s="85" t="s">
        <v>29</v>
      </c>
      <c r="G33" s="58">
        <v>50</v>
      </c>
      <c r="H33" s="59">
        <v>74</v>
      </c>
      <c r="I33" s="59">
        <v>74</v>
      </c>
      <c r="J33" s="59">
        <v>43</v>
      </c>
      <c r="K33" s="59">
        <v>44</v>
      </c>
      <c r="L33" s="59">
        <v>53</v>
      </c>
      <c r="M33" s="59">
        <v>31</v>
      </c>
      <c r="N33" s="72">
        <v>49</v>
      </c>
      <c r="O33" s="72">
        <v>30</v>
      </c>
      <c r="P33" s="72">
        <v>42</v>
      </c>
      <c r="Q33" s="72">
        <v>43</v>
      </c>
      <c r="R33" s="72">
        <v>35</v>
      </c>
      <c r="S33" s="72">
        <v>60</v>
      </c>
      <c r="T33" s="72">
        <v>63</v>
      </c>
      <c r="U33" s="72">
        <v>66</v>
      </c>
      <c r="V33" s="72">
        <v>66</v>
      </c>
      <c r="W33" s="72">
        <v>35</v>
      </c>
      <c r="X33" s="72"/>
      <c r="Y33" s="72"/>
      <c r="Z33" s="73"/>
      <c r="AA33" s="54">
        <f t="shared" si="0"/>
        <v>858</v>
      </c>
      <c r="AE33" s="16"/>
      <c r="AF33" s="16"/>
    </row>
    <row r="34" spans="1:32" s="14" customFormat="1" ht="36" customHeight="1" x14ac:dyDescent="0.45">
      <c r="A34" s="214"/>
      <c r="B34" s="197"/>
      <c r="C34" s="198" t="s">
        <v>85</v>
      </c>
      <c r="D34" s="199"/>
      <c r="E34" s="200"/>
      <c r="F34" s="83" t="s">
        <v>27</v>
      </c>
      <c r="G34" s="61">
        <v>9</v>
      </c>
      <c r="H34" s="62">
        <v>14</v>
      </c>
      <c r="I34" s="62">
        <v>11</v>
      </c>
      <c r="J34" s="62">
        <v>10</v>
      </c>
      <c r="K34" s="62">
        <v>10</v>
      </c>
      <c r="L34" s="62">
        <v>10</v>
      </c>
      <c r="M34" s="62">
        <v>5</v>
      </c>
      <c r="N34" s="68">
        <v>5</v>
      </c>
      <c r="O34" s="68">
        <v>5</v>
      </c>
      <c r="P34" s="68">
        <v>5</v>
      </c>
      <c r="Q34" s="68">
        <v>5</v>
      </c>
      <c r="R34" s="68">
        <v>5</v>
      </c>
      <c r="S34" s="68">
        <v>15</v>
      </c>
      <c r="T34" s="68">
        <v>5</v>
      </c>
      <c r="U34" s="68">
        <v>5</v>
      </c>
      <c r="V34" s="68">
        <v>5</v>
      </c>
      <c r="W34" s="68">
        <v>5</v>
      </c>
      <c r="X34" s="68"/>
      <c r="Y34" s="68"/>
      <c r="Z34" s="69"/>
      <c r="AA34" s="63">
        <f t="shared" si="0"/>
        <v>129</v>
      </c>
      <c r="AE34" s="16"/>
      <c r="AF34" s="16"/>
    </row>
    <row r="35" spans="1:32" s="14" customFormat="1" ht="36" customHeight="1" x14ac:dyDescent="0.45">
      <c r="A35" s="214"/>
      <c r="B35" s="197"/>
      <c r="C35" s="204"/>
      <c r="D35" s="205"/>
      <c r="E35" s="206"/>
      <c r="F35" s="84" t="s">
        <v>28</v>
      </c>
      <c r="G35" s="55">
        <v>15</v>
      </c>
      <c r="H35" s="56">
        <v>24</v>
      </c>
      <c r="I35" s="56">
        <v>25</v>
      </c>
      <c r="J35" s="56">
        <v>22</v>
      </c>
      <c r="K35" s="56">
        <v>24</v>
      </c>
      <c r="L35" s="56">
        <v>26</v>
      </c>
      <c r="M35" s="56">
        <v>18</v>
      </c>
      <c r="N35" s="70">
        <v>10</v>
      </c>
      <c r="O35" s="70">
        <v>10</v>
      </c>
      <c r="P35" s="70">
        <v>10</v>
      </c>
      <c r="Q35" s="70">
        <v>10</v>
      </c>
      <c r="R35" s="70">
        <v>10</v>
      </c>
      <c r="S35" s="70">
        <v>21</v>
      </c>
      <c r="T35" s="70">
        <v>20</v>
      </c>
      <c r="U35" s="70">
        <v>20</v>
      </c>
      <c r="V35" s="70">
        <v>20</v>
      </c>
      <c r="W35" s="70">
        <v>10</v>
      </c>
      <c r="X35" s="70"/>
      <c r="Y35" s="70"/>
      <c r="Z35" s="71"/>
      <c r="AA35" s="54">
        <f t="shared" si="0"/>
        <v>295</v>
      </c>
      <c r="AE35" s="16"/>
      <c r="AF35" s="16"/>
    </row>
    <row r="36" spans="1:32" s="14" customFormat="1" ht="36" customHeight="1" thickBot="1" x14ac:dyDescent="0.5">
      <c r="A36" s="214"/>
      <c r="B36" s="197"/>
      <c r="C36" s="201"/>
      <c r="D36" s="202"/>
      <c r="E36" s="203"/>
      <c r="F36" s="85" t="s">
        <v>29</v>
      </c>
      <c r="G36" s="58">
        <v>20</v>
      </c>
      <c r="H36" s="59">
        <v>29</v>
      </c>
      <c r="I36" s="59">
        <v>41</v>
      </c>
      <c r="J36" s="59">
        <v>30</v>
      </c>
      <c r="K36" s="59">
        <v>46</v>
      </c>
      <c r="L36" s="59">
        <v>40</v>
      </c>
      <c r="M36" s="59">
        <v>15</v>
      </c>
      <c r="N36" s="72">
        <v>15</v>
      </c>
      <c r="O36" s="72">
        <v>20</v>
      </c>
      <c r="P36" s="72">
        <v>25</v>
      </c>
      <c r="Q36" s="72">
        <v>15</v>
      </c>
      <c r="R36" s="72">
        <v>15</v>
      </c>
      <c r="S36" s="72">
        <v>55</v>
      </c>
      <c r="T36" s="72">
        <v>60</v>
      </c>
      <c r="U36" s="72">
        <v>62</v>
      </c>
      <c r="V36" s="72">
        <v>64</v>
      </c>
      <c r="W36" s="72">
        <v>15</v>
      </c>
      <c r="X36" s="72"/>
      <c r="Y36" s="72"/>
      <c r="Z36" s="73"/>
      <c r="AA36" s="54">
        <f t="shared" si="0"/>
        <v>567</v>
      </c>
      <c r="AE36" s="16"/>
      <c r="AF36" s="16"/>
    </row>
    <row r="37" spans="1:32" s="14" customFormat="1" ht="36" customHeight="1" x14ac:dyDescent="0.45">
      <c r="A37" s="214"/>
      <c r="B37" s="197"/>
      <c r="C37" s="198" t="s">
        <v>86</v>
      </c>
      <c r="D37" s="199"/>
      <c r="E37" s="200"/>
      <c r="F37" s="83" t="s">
        <v>27</v>
      </c>
      <c r="G37" s="61"/>
      <c r="H37" s="62"/>
      <c r="I37" s="62"/>
      <c r="J37" s="62"/>
      <c r="K37" s="62"/>
      <c r="L37" s="62"/>
      <c r="M37" s="62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9"/>
      <c r="AA37" s="63">
        <f t="shared" si="0"/>
        <v>0</v>
      </c>
      <c r="AE37" s="16"/>
      <c r="AF37" s="16"/>
    </row>
    <row r="38" spans="1:32" s="14" customFormat="1" ht="36" customHeight="1" x14ac:dyDescent="0.45">
      <c r="A38" s="214"/>
      <c r="B38" s="197"/>
      <c r="C38" s="204"/>
      <c r="D38" s="205"/>
      <c r="E38" s="206"/>
      <c r="F38" s="84" t="s">
        <v>28</v>
      </c>
      <c r="G38" s="55"/>
      <c r="H38" s="56">
        <v>1</v>
      </c>
      <c r="I38" s="56"/>
      <c r="J38" s="56"/>
      <c r="K38" s="56"/>
      <c r="L38" s="56"/>
      <c r="M38" s="56"/>
      <c r="N38" s="70"/>
      <c r="O38" s="70"/>
      <c r="P38" s="70"/>
      <c r="Q38" s="70"/>
      <c r="R38" s="70"/>
      <c r="S38" s="70">
        <v>1</v>
      </c>
      <c r="T38" s="70"/>
      <c r="U38" s="70"/>
      <c r="V38" s="70"/>
      <c r="W38" s="70"/>
      <c r="X38" s="70"/>
      <c r="Y38" s="70"/>
      <c r="Z38" s="71"/>
      <c r="AA38" s="54">
        <f t="shared" si="0"/>
        <v>2</v>
      </c>
      <c r="AE38" s="16"/>
      <c r="AF38" s="16"/>
    </row>
    <row r="39" spans="1:32" s="14" customFormat="1" ht="36" customHeight="1" thickBot="1" x14ac:dyDescent="0.5">
      <c r="A39" s="214"/>
      <c r="B39" s="197"/>
      <c r="C39" s="201"/>
      <c r="D39" s="202"/>
      <c r="E39" s="203"/>
      <c r="F39" s="85" t="s">
        <v>29</v>
      </c>
      <c r="G39" s="58">
        <v>10</v>
      </c>
      <c r="H39" s="59">
        <v>10</v>
      </c>
      <c r="I39" s="59">
        <v>10</v>
      </c>
      <c r="J39" s="59">
        <v>10</v>
      </c>
      <c r="K39" s="59">
        <v>10</v>
      </c>
      <c r="L39" s="59">
        <v>10</v>
      </c>
      <c r="M39" s="59">
        <v>5</v>
      </c>
      <c r="N39" s="72">
        <v>10</v>
      </c>
      <c r="O39" s="72">
        <v>5</v>
      </c>
      <c r="P39" s="72">
        <v>5</v>
      </c>
      <c r="Q39" s="72">
        <v>5</v>
      </c>
      <c r="R39" s="72">
        <v>5</v>
      </c>
      <c r="S39" s="72">
        <v>27</v>
      </c>
      <c r="T39" s="72">
        <v>10</v>
      </c>
      <c r="U39" s="72">
        <v>10</v>
      </c>
      <c r="V39" s="72">
        <v>10</v>
      </c>
      <c r="W39" s="72">
        <v>5</v>
      </c>
      <c r="X39" s="72"/>
      <c r="Y39" s="72"/>
      <c r="Z39" s="73"/>
      <c r="AA39" s="54">
        <f t="shared" si="0"/>
        <v>157</v>
      </c>
      <c r="AD39" s="16"/>
      <c r="AE39" s="16"/>
      <c r="AF39" s="16"/>
    </row>
    <row r="40" spans="1:32" s="14" customFormat="1" ht="36" customHeight="1" x14ac:dyDescent="0.45">
      <c r="A40" s="214"/>
      <c r="B40" s="197"/>
      <c r="C40" s="198" t="s">
        <v>87</v>
      </c>
      <c r="D40" s="199"/>
      <c r="E40" s="200"/>
      <c r="F40" s="83" t="s">
        <v>27</v>
      </c>
      <c r="G40" s="61"/>
      <c r="H40" s="62"/>
      <c r="I40" s="62"/>
      <c r="J40" s="62"/>
      <c r="K40" s="62"/>
      <c r="L40" s="62"/>
      <c r="M40" s="62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9"/>
      <c r="AA40" s="63">
        <f t="shared" si="0"/>
        <v>0</v>
      </c>
      <c r="AE40" s="16"/>
      <c r="AF40" s="16"/>
    </row>
    <row r="41" spans="1:32" s="14" customFormat="1" ht="36" customHeight="1" x14ac:dyDescent="0.45">
      <c r="A41" s="214"/>
      <c r="B41" s="197"/>
      <c r="C41" s="204"/>
      <c r="D41" s="205"/>
      <c r="E41" s="206"/>
      <c r="F41" s="84" t="s">
        <v>28</v>
      </c>
      <c r="G41" s="55">
        <v>1</v>
      </c>
      <c r="H41" s="56">
        <v>1</v>
      </c>
      <c r="I41" s="56">
        <v>1</v>
      </c>
      <c r="J41" s="56">
        <v>1</v>
      </c>
      <c r="K41" s="56">
        <v>1</v>
      </c>
      <c r="L41" s="56">
        <v>1</v>
      </c>
      <c r="M41" s="56">
        <v>1</v>
      </c>
      <c r="N41" s="70">
        <v>1</v>
      </c>
      <c r="O41" s="70">
        <v>1</v>
      </c>
      <c r="P41" s="70">
        <v>1</v>
      </c>
      <c r="Q41" s="70">
        <v>1</v>
      </c>
      <c r="R41" s="70">
        <v>1</v>
      </c>
      <c r="S41" s="70">
        <v>1</v>
      </c>
      <c r="T41" s="70">
        <v>1</v>
      </c>
      <c r="U41" s="70">
        <v>1</v>
      </c>
      <c r="V41" s="70">
        <v>1</v>
      </c>
      <c r="W41" s="70">
        <v>1</v>
      </c>
      <c r="X41" s="70"/>
      <c r="Y41" s="70"/>
      <c r="Z41" s="71"/>
      <c r="AA41" s="54">
        <f t="shared" si="0"/>
        <v>17</v>
      </c>
      <c r="AE41" s="16"/>
      <c r="AF41" s="16"/>
    </row>
    <row r="42" spans="1:32" s="14" customFormat="1" ht="36" customHeight="1" thickBot="1" x14ac:dyDescent="0.5">
      <c r="A42" s="214"/>
      <c r="B42" s="197"/>
      <c r="C42" s="201"/>
      <c r="D42" s="202"/>
      <c r="E42" s="203"/>
      <c r="F42" s="85" t="s">
        <v>29</v>
      </c>
      <c r="G42" s="58">
        <v>13</v>
      </c>
      <c r="H42" s="59">
        <v>15</v>
      </c>
      <c r="I42" s="59">
        <v>12</v>
      </c>
      <c r="J42" s="59">
        <v>12</v>
      </c>
      <c r="K42" s="59">
        <v>12</v>
      </c>
      <c r="L42" s="59">
        <v>12</v>
      </c>
      <c r="M42" s="59">
        <v>11</v>
      </c>
      <c r="N42" s="72">
        <v>5</v>
      </c>
      <c r="O42" s="72">
        <v>5</v>
      </c>
      <c r="P42" s="72">
        <v>5</v>
      </c>
      <c r="Q42" s="72">
        <v>5</v>
      </c>
      <c r="R42" s="72">
        <v>5</v>
      </c>
      <c r="S42" s="72">
        <v>25</v>
      </c>
      <c r="T42" s="72">
        <v>10</v>
      </c>
      <c r="U42" s="72">
        <v>10</v>
      </c>
      <c r="V42" s="72">
        <v>10</v>
      </c>
      <c r="W42" s="72">
        <v>5</v>
      </c>
      <c r="X42" s="72"/>
      <c r="Y42" s="72"/>
      <c r="Z42" s="73"/>
      <c r="AA42" s="54">
        <f t="shared" si="0"/>
        <v>172</v>
      </c>
      <c r="AE42" s="16"/>
      <c r="AF42" s="16"/>
    </row>
    <row r="43" spans="1:32" s="14" customFormat="1" ht="36" customHeight="1" x14ac:dyDescent="0.45">
      <c r="A43" s="214"/>
      <c r="B43" s="197"/>
      <c r="C43" s="198" t="s">
        <v>88</v>
      </c>
      <c r="D43" s="199"/>
      <c r="E43" s="200"/>
      <c r="F43" s="83" t="s">
        <v>27</v>
      </c>
      <c r="G43" s="61"/>
      <c r="H43" s="62"/>
      <c r="I43" s="62"/>
      <c r="J43" s="62"/>
      <c r="K43" s="62"/>
      <c r="L43" s="62"/>
      <c r="M43" s="62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9"/>
      <c r="AA43" s="63">
        <f t="shared" si="0"/>
        <v>0</v>
      </c>
      <c r="AE43" s="16"/>
      <c r="AF43" s="16"/>
    </row>
    <row r="44" spans="1:32" s="14" customFormat="1" ht="36" customHeight="1" x14ac:dyDescent="0.45">
      <c r="A44" s="214"/>
      <c r="B44" s="197"/>
      <c r="C44" s="204"/>
      <c r="D44" s="205"/>
      <c r="E44" s="206"/>
      <c r="F44" s="84" t="s">
        <v>28</v>
      </c>
      <c r="G44" s="55"/>
      <c r="H44" s="56"/>
      <c r="I44" s="56"/>
      <c r="J44" s="56"/>
      <c r="K44" s="56"/>
      <c r="L44" s="56"/>
      <c r="M44" s="56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1"/>
      <c r="AA44" s="54">
        <f t="shared" si="0"/>
        <v>0</v>
      </c>
      <c r="AE44" s="16"/>
      <c r="AF44" s="16"/>
    </row>
    <row r="45" spans="1:32" s="14" customFormat="1" ht="36" customHeight="1" thickBot="1" x14ac:dyDescent="0.5">
      <c r="A45" s="214"/>
      <c r="B45" s="197"/>
      <c r="C45" s="201"/>
      <c r="D45" s="202"/>
      <c r="E45" s="203"/>
      <c r="F45" s="85" t="s">
        <v>29</v>
      </c>
      <c r="G45" s="58">
        <v>2</v>
      </c>
      <c r="H45" s="59">
        <v>2</v>
      </c>
      <c r="I45" s="59">
        <v>2</v>
      </c>
      <c r="J45" s="59">
        <v>2</v>
      </c>
      <c r="K45" s="59">
        <v>2</v>
      </c>
      <c r="L45" s="59">
        <v>2</v>
      </c>
      <c r="M45" s="59">
        <v>2</v>
      </c>
      <c r="N45" s="72">
        <v>2</v>
      </c>
      <c r="O45" s="72">
        <v>2</v>
      </c>
      <c r="P45" s="72">
        <v>2</v>
      </c>
      <c r="Q45" s="72">
        <v>2</v>
      </c>
      <c r="R45" s="72">
        <v>2</v>
      </c>
      <c r="S45" s="72">
        <v>2</v>
      </c>
      <c r="T45" s="72">
        <v>2</v>
      </c>
      <c r="U45" s="72">
        <v>2</v>
      </c>
      <c r="V45" s="72">
        <v>2</v>
      </c>
      <c r="W45" s="72">
        <v>2</v>
      </c>
      <c r="X45" s="72"/>
      <c r="Y45" s="72"/>
      <c r="Z45" s="73"/>
      <c r="AA45" s="54">
        <f t="shared" si="0"/>
        <v>34</v>
      </c>
      <c r="AE45" s="16"/>
      <c r="AF45" s="16"/>
    </row>
    <row r="46" spans="1:32" s="14" customFormat="1" ht="55.5" customHeight="1" x14ac:dyDescent="0.45">
      <c r="A46" s="214"/>
      <c r="B46" s="197"/>
      <c r="C46" s="198" t="s">
        <v>89</v>
      </c>
      <c r="D46" s="199"/>
      <c r="E46" s="200"/>
      <c r="F46" s="83" t="s">
        <v>30</v>
      </c>
      <c r="G46" s="61"/>
      <c r="H46" s="62"/>
      <c r="I46" s="62"/>
      <c r="J46" s="62"/>
      <c r="K46" s="62"/>
      <c r="L46" s="62"/>
      <c r="M46" s="62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9"/>
      <c r="AA46" s="63">
        <f t="shared" si="0"/>
        <v>0</v>
      </c>
      <c r="AE46" s="16"/>
      <c r="AF46" s="16"/>
    </row>
    <row r="47" spans="1:32" s="14" customFormat="1" ht="56.25" customHeight="1" thickBot="1" x14ac:dyDescent="0.5">
      <c r="A47" s="214"/>
      <c r="B47" s="197"/>
      <c r="C47" s="204"/>
      <c r="D47" s="205"/>
      <c r="E47" s="206"/>
      <c r="F47" s="86" t="s">
        <v>31</v>
      </c>
      <c r="G47" s="58">
        <v>1</v>
      </c>
      <c r="H47" s="59">
        <v>1</v>
      </c>
      <c r="I47" s="59">
        <v>1</v>
      </c>
      <c r="J47" s="59">
        <v>1</v>
      </c>
      <c r="K47" s="59">
        <v>1</v>
      </c>
      <c r="L47" s="59">
        <v>1</v>
      </c>
      <c r="M47" s="59">
        <v>1</v>
      </c>
      <c r="N47" s="72"/>
      <c r="O47" s="72">
        <v>1</v>
      </c>
      <c r="P47" s="72">
        <v>1</v>
      </c>
      <c r="Q47" s="72"/>
      <c r="R47" s="72"/>
      <c r="S47" s="72">
        <v>1</v>
      </c>
      <c r="T47" s="72">
        <v>1</v>
      </c>
      <c r="U47" s="72">
        <v>1</v>
      </c>
      <c r="V47" s="72">
        <v>1</v>
      </c>
      <c r="W47" s="72"/>
      <c r="X47" s="72"/>
      <c r="Y47" s="72"/>
      <c r="Z47" s="73"/>
      <c r="AA47" s="74">
        <f t="shared" si="0"/>
        <v>13</v>
      </c>
      <c r="AE47" s="16"/>
      <c r="AF47" s="16"/>
    </row>
    <row r="48" spans="1:32" s="14" customFormat="1" ht="36" customHeight="1" x14ac:dyDescent="0.45">
      <c r="A48" s="214"/>
      <c r="B48" s="197"/>
      <c r="C48" s="198" t="s">
        <v>90</v>
      </c>
      <c r="D48" s="199"/>
      <c r="E48" s="200"/>
      <c r="F48" s="83" t="s">
        <v>30</v>
      </c>
      <c r="G48" s="61"/>
      <c r="H48" s="62"/>
      <c r="I48" s="62"/>
      <c r="J48" s="62"/>
      <c r="K48" s="62"/>
      <c r="L48" s="62"/>
      <c r="M48" s="62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9"/>
      <c r="AA48" s="75">
        <f t="shared" si="0"/>
        <v>0</v>
      </c>
      <c r="AE48" s="16"/>
      <c r="AF48" s="16"/>
    </row>
    <row r="49" spans="1:32" s="14" customFormat="1" ht="36" customHeight="1" x14ac:dyDescent="0.45">
      <c r="A49" s="214"/>
      <c r="B49" s="197"/>
      <c r="C49" s="204"/>
      <c r="D49" s="205"/>
      <c r="E49" s="206"/>
      <c r="F49" s="85" t="s">
        <v>31</v>
      </c>
      <c r="G49" s="55"/>
      <c r="H49" s="56"/>
      <c r="I49" s="56"/>
      <c r="J49" s="56"/>
      <c r="K49" s="56"/>
      <c r="L49" s="56"/>
      <c r="M49" s="56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1"/>
      <c r="AA49" s="76">
        <f t="shared" si="0"/>
        <v>0</v>
      </c>
      <c r="AE49" s="16"/>
      <c r="AF49" s="16"/>
    </row>
    <row r="50" spans="1:32" s="14" customFormat="1" ht="36" customHeight="1" thickBot="1" x14ac:dyDescent="0.5">
      <c r="A50" s="214"/>
      <c r="B50" s="197"/>
      <c r="C50" s="201"/>
      <c r="D50" s="202"/>
      <c r="E50" s="203"/>
      <c r="F50" s="86" t="s">
        <v>32</v>
      </c>
      <c r="G50" s="58">
        <v>2</v>
      </c>
      <c r="H50" s="59">
        <v>5</v>
      </c>
      <c r="I50" s="59">
        <v>2</v>
      </c>
      <c r="J50" s="59">
        <v>2</v>
      </c>
      <c r="K50" s="59">
        <v>2</v>
      </c>
      <c r="L50" s="59">
        <v>5</v>
      </c>
      <c r="M50" s="59">
        <v>2</v>
      </c>
      <c r="N50" s="72">
        <v>2</v>
      </c>
      <c r="O50" s="72">
        <v>2</v>
      </c>
      <c r="P50" s="72">
        <v>2</v>
      </c>
      <c r="Q50" s="72">
        <v>2</v>
      </c>
      <c r="R50" s="72">
        <v>2</v>
      </c>
      <c r="S50" s="72">
        <v>5</v>
      </c>
      <c r="T50" s="72">
        <v>2</v>
      </c>
      <c r="U50" s="72">
        <v>2</v>
      </c>
      <c r="V50" s="72">
        <v>2</v>
      </c>
      <c r="W50" s="72">
        <v>2</v>
      </c>
      <c r="X50" s="72"/>
      <c r="Y50" s="72"/>
      <c r="Z50" s="73"/>
      <c r="AA50" s="74">
        <f t="shared" si="0"/>
        <v>43</v>
      </c>
      <c r="AE50" s="16"/>
      <c r="AF50" s="16"/>
    </row>
    <row r="51" spans="1:32" s="14" customFormat="1" ht="36" customHeight="1" x14ac:dyDescent="0.45">
      <c r="A51" s="214"/>
      <c r="B51" s="197"/>
      <c r="C51" s="198" t="s">
        <v>91</v>
      </c>
      <c r="D51" s="199"/>
      <c r="E51" s="200"/>
      <c r="F51" s="83" t="s">
        <v>30</v>
      </c>
      <c r="G51" s="61"/>
      <c r="H51" s="62"/>
      <c r="I51" s="62"/>
      <c r="J51" s="62"/>
      <c r="K51" s="62"/>
      <c r="L51" s="62"/>
      <c r="M51" s="62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9"/>
      <c r="AA51" s="75">
        <f t="shared" si="0"/>
        <v>0</v>
      </c>
      <c r="AE51" s="16"/>
      <c r="AF51" s="16"/>
    </row>
    <row r="52" spans="1:32" s="14" customFormat="1" ht="36" customHeight="1" x14ac:dyDescent="0.45">
      <c r="A52" s="214"/>
      <c r="B52" s="197"/>
      <c r="C52" s="204"/>
      <c r="D52" s="205"/>
      <c r="E52" s="206"/>
      <c r="F52" s="85" t="s">
        <v>31</v>
      </c>
      <c r="G52" s="55"/>
      <c r="H52" s="56">
        <v>1</v>
      </c>
      <c r="I52" s="56">
        <v>1</v>
      </c>
      <c r="J52" s="56">
        <v>1</v>
      </c>
      <c r="K52" s="56">
        <v>1</v>
      </c>
      <c r="L52" s="56">
        <v>1</v>
      </c>
      <c r="M52" s="56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1"/>
      <c r="AA52" s="76">
        <f t="shared" si="0"/>
        <v>5</v>
      </c>
      <c r="AE52" s="16"/>
      <c r="AF52" s="16"/>
    </row>
    <row r="53" spans="1:32" s="14" customFormat="1" ht="36" customHeight="1" thickBot="1" x14ac:dyDescent="0.5">
      <c r="A53" s="214"/>
      <c r="B53" s="197"/>
      <c r="C53" s="201"/>
      <c r="D53" s="202"/>
      <c r="E53" s="203"/>
      <c r="F53" s="86" t="s">
        <v>32</v>
      </c>
      <c r="G53" s="58">
        <v>2</v>
      </c>
      <c r="H53" s="59">
        <v>5</v>
      </c>
      <c r="I53" s="59">
        <v>2</v>
      </c>
      <c r="J53" s="59">
        <v>3</v>
      </c>
      <c r="K53" s="59">
        <v>5</v>
      </c>
      <c r="L53" s="59">
        <v>5</v>
      </c>
      <c r="M53" s="59">
        <v>1</v>
      </c>
      <c r="N53" s="72">
        <v>2</v>
      </c>
      <c r="O53" s="72">
        <v>1</v>
      </c>
      <c r="P53" s="72">
        <v>1</v>
      </c>
      <c r="Q53" s="72">
        <v>2</v>
      </c>
      <c r="R53" s="72">
        <v>2</v>
      </c>
      <c r="S53" s="72">
        <v>5</v>
      </c>
      <c r="T53" s="72">
        <v>1</v>
      </c>
      <c r="U53" s="72">
        <v>1</v>
      </c>
      <c r="V53" s="72">
        <v>1</v>
      </c>
      <c r="W53" s="72">
        <v>2</v>
      </c>
      <c r="X53" s="72"/>
      <c r="Y53" s="72"/>
      <c r="Z53" s="73"/>
      <c r="AA53" s="74">
        <f t="shared" si="0"/>
        <v>41</v>
      </c>
      <c r="AE53" s="16"/>
      <c r="AF53" s="16"/>
    </row>
    <row r="54" spans="1:32" s="14" customFormat="1" ht="36" customHeight="1" x14ac:dyDescent="0.45">
      <c r="A54" s="214"/>
      <c r="B54" s="197"/>
      <c r="C54" s="198" t="s">
        <v>92</v>
      </c>
      <c r="D54" s="199"/>
      <c r="E54" s="200"/>
      <c r="F54" s="83" t="s">
        <v>30</v>
      </c>
      <c r="G54" s="181"/>
      <c r="H54" s="182"/>
      <c r="I54" s="182"/>
      <c r="J54" s="182"/>
      <c r="K54" s="182"/>
      <c r="L54" s="182"/>
      <c r="M54" s="182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4"/>
      <c r="AA54" s="185">
        <f t="shared" si="0"/>
        <v>0</v>
      </c>
      <c r="AE54" s="16"/>
      <c r="AF54" s="16"/>
    </row>
    <row r="55" spans="1:32" s="14" customFormat="1" ht="36" customHeight="1" x14ac:dyDescent="0.45">
      <c r="A55" s="214"/>
      <c r="B55" s="197"/>
      <c r="C55" s="204"/>
      <c r="D55" s="205"/>
      <c r="E55" s="206"/>
      <c r="F55" s="85" t="s">
        <v>31</v>
      </c>
      <c r="G55" s="186"/>
      <c r="H55" s="187"/>
      <c r="I55" s="187"/>
      <c r="J55" s="187"/>
      <c r="K55" s="187"/>
      <c r="L55" s="187"/>
      <c r="M55" s="187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9"/>
      <c r="AA55" s="190">
        <f t="shared" si="0"/>
        <v>0</v>
      </c>
      <c r="AE55" s="16"/>
      <c r="AF55" s="16"/>
    </row>
    <row r="56" spans="1:32" s="14" customFormat="1" ht="36" customHeight="1" thickBot="1" x14ac:dyDescent="0.5">
      <c r="A56" s="214"/>
      <c r="B56" s="197"/>
      <c r="C56" s="204"/>
      <c r="D56" s="205"/>
      <c r="E56" s="206"/>
      <c r="F56" s="87" t="s">
        <v>32</v>
      </c>
      <c r="G56" s="191"/>
      <c r="H56" s="192"/>
      <c r="I56" s="192"/>
      <c r="J56" s="192"/>
      <c r="K56" s="192"/>
      <c r="L56" s="192"/>
      <c r="M56" s="192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4"/>
      <c r="AA56" s="195">
        <f t="shared" si="0"/>
        <v>0</v>
      </c>
      <c r="AE56" s="16"/>
      <c r="AF56" s="16"/>
    </row>
    <row r="57" spans="1:32" s="26" customFormat="1" ht="36" customHeight="1" thickBot="1" x14ac:dyDescent="0.25">
      <c r="A57" s="232" t="s">
        <v>33</v>
      </c>
      <c r="B57" s="233"/>
      <c r="C57" s="233"/>
      <c r="D57" s="233"/>
      <c r="E57" s="233"/>
      <c r="F57" s="233"/>
      <c r="G57" s="90">
        <f>SUM(G11:G56)</f>
        <v>560</v>
      </c>
      <c r="H57" s="90">
        <f t="shared" ref="H57:AA57" si="1">SUM(H11:H56)</f>
        <v>880</v>
      </c>
      <c r="I57" s="90">
        <f t="shared" si="1"/>
        <v>700</v>
      </c>
      <c r="J57" s="90">
        <f t="shared" si="1"/>
        <v>680</v>
      </c>
      <c r="K57" s="90">
        <f t="shared" si="1"/>
        <v>710</v>
      </c>
      <c r="L57" s="90">
        <f t="shared" si="1"/>
        <v>720</v>
      </c>
      <c r="M57" s="90">
        <f t="shared" si="1"/>
        <v>350</v>
      </c>
      <c r="N57" s="90">
        <f t="shared" si="1"/>
        <v>370</v>
      </c>
      <c r="O57" s="90">
        <f t="shared" si="1"/>
        <v>370</v>
      </c>
      <c r="P57" s="90">
        <f t="shared" si="1"/>
        <v>370</v>
      </c>
      <c r="Q57" s="90">
        <f t="shared" si="1"/>
        <v>370</v>
      </c>
      <c r="R57" s="90">
        <f t="shared" si="1"/>
        <v>380</v>
      </c>
      <c r="S57" s="90">
        <f t="shared" si="1"/>
        <v>850</v>
      </c>
      <c r="T57" s="90">
        <f t="shared" si="1"/>
        <v>550</v>
      </c>
      <c r="U57" s="90">
        <f t="shared" si="1"/>
        <v>550</v>
      </c>
      <c r="V57" s="90">
        <f t="shared" si="1"/>
        <v>560</v>
      </c>
      <c r="W57" s="90">
        <f t="shared" si="1"/>
        <v>370</v>
      </c>
      <c r="X57" s="90">
        <f t="shared" si="1"/>
        <v>0</v>
      </c>
      <c r="Y57" s="90">
        <f t="shared" si="1"/>
        <v>0</v>
      </c>
      <c r="Z57" s="90">
        <f t="shared" si="1"/>
        <v>0</v>
      </c>
      <c r="AA57" s="90">
        <f t="shared" si="1"/>
        <v>9340</v>
      </c>
      <c r="AB57" s="25"/>
      <c r="AC57" s="25"/>
      <c r="AD57" s="25"/>
      <c r="AE57" s="25"/>
    </row>
    <row r="58" spans="1:32" ht="15.75" thickBot="1" x14ac:dyDescent="0.3">
      <c r="B58" s="27"/>
    </row>
    <row r="59" spans="1:32" ht="22.5" thickBot="1" x14ac:dyDescent="0.45">
      <c r="B59" s="27"/>
      <c r="E59" s="211" t="s">
        <v>55</v>
      </c>
      <c r="F59" s="212"/>
      <c r="G59" s="32">
        <f>ROUNDUP(SUM(G11:G24)/50,0)</f>
        <v>6</v>
      </c>
      <c r="H59" s="32">
        <f t="shared" ref="H59:Z59" si="2">ROUNDUP(SUM(H11:H24)/50,0)</f>
        <v>11</v>
      </c>
      <c r="I59" s="32">
        <f t="shared" si="2"/>
        <v>8</v>
      </c>
      <c r="J59" s="32">
        <f t="shared" si="2"/>
        <v>8</v>
      </c>
      <c r="K59" s="32">
        <f t="shared" si="2"/>
        <v>8</v>
      </c>
      <c r="L59" s="32">
        <f t="shared" si="2"/>
        <v>8</v>
      </c>
      <c r="M59" s="32">
        <f t="shared" si="2"/>
        <v>4</v>
      </c>
      <c r="N59" s="32">
        <f t="shared" si="2"/>
        <v>4</v>
      </c>
      <c r="O59" s="32">
        <f t="shared" si="2"/>
        <v>5</v>
      </c>
      <c r="P59" s="32">
        <f t="shared" si="2"/>
        <v>4</v>
      </c>
      <c r="Q59" s="32">
        <f t="shared" si="2"/>
        <v>5</v>
      </c>
      <c r="R59" s="32">
        <f t="shared" si="2"/>
        <v>5</v>
      </c>
      <c r="S59" s="32">
        <f t="shared" si="2"/>
        <v>10</v>
      </c>
      <c r="T59" s="32">
        <f t="shared" si="2"/>
        <v>5</v>
      </c>
      <c r="U59" s="32">
        <f t="shared" si="2"/>
        <v>5</v>
      </c>
      <c r="V59" s="32">
        <f t="shared" si="2"/>
        <v>6</v>
      </c>
      <c r="W59" s="32">
        <f t="shared" si="2"/>
        <v>5</v>
      </c>
      <c r="X59" s="32">
        <f t="shared" si="2"/>
        <v>0</v>
      </c>
      <c r="Y59" s="32">
        <f t="shared" si="2"/>
        <v>0</v>
      </c>
      <c r="Z59" s="32">
        <f t="shared" si="2"/>
        <v>0</v>
      </c>
      <c r="AA59" s="32">
        <f>SUM(G59:Z59)</f>
        <v>107</v>
      </c>
    </row>
    <row r="60" spans="1:32" ht="22.5" thickBot="1" x14ac:dyDescent="0.45">
      <c r="B60" s="28"/>
      <c r="E60" s="213" t="s">
        <v>56</v>
      </c>
      <c r="F60" s="213"/>
      <c r="G60" s="33">
        <f>ROUNDUP(SUM(G25:G56)/50,0)</f>
        <v>6</v>
      </c>
      <c r="H60" s="33">
        <f t="shared" ref="H60:Z60" si="3">ROUNDUP(SUM(H25:H56)/50,0)</f>
        <v>7</v>
      </c>
      <c r="I60" s="33">
        <f t="shared" si="3"/>
        <v>7</v>
      </c>
      <c r="J60" s="33">
        <f t="shared" si="3"/>
        <v>6</v>
      </c>
      <c r="K60" s="33">
        <f t="shared" si="3"/>
        <v>7</v>
      </c>
      <c r="L60" s="33">
        <f t="shared" si="3"/>
        <v>7</v>
      </c>
      <c r="M60" s="33">
        <f t="shared" si="3"/>
        <v>4</v>
      </c>
      <c r="N60" s="33">
        <f t="shared" si="3"/>
        <v>4</v>
      </c>
      <c r="O60" s="33">
        <f t="shared" si="3"/>
        <v>3</v>
      </c>
      <c r="P60" s="33">
        <f t="shared" si="3"/>
        <v>4</v>
      </c>
      <c r="Q60" s="33">
        <f t="shared" si="3"/>
        <v>4</v>
      </c>
      <c r="R60" s="33">
        <f t="shared" si="3"/>
        <v>4</v>
      </c>
      <c r="S60" s="33">
        <f t="shared" si="3"/>
        <v>8</v>
      </c>
      <c r="T60" s="33">
        <f t="shared" si="3"/>
        <v>7</v>
      </c>
      <c r="U60" s="33">
        <f t="shared" si="3"/>
        <v>7</v>
      </c>
      <c r="V60" s="33">
        <f t="shared" si="3"/>
        <v>7</v>
      </c>
      <c r="W60" s="33">
        <f t="shared" si="3"/>
        <v>3</v>
      </c>
      <c r="X60" s="33">
        <f t="shared" si="3"/>
        <v>0</v>
      </c>
      <c r="Y60" s="33">
        <f t="shared" si="3"/>
        <v>0</v>
      </c>
      <c r="Z60" s="33">
        <f t="shared" si="3"/>
        <v>0</v>
      </c>
      <c r="AA60" s="33">
        <f>SUM(G60:Z60)</f>
        <v>95</v>
      </c>
    </row>
    <row r="61" spans="1:32" ht="22.5" thickBot="1" x14ac:dyDescent="0.45">
      <c r="E61" s="207" t="s">
        <v>58</v>
      </c>
      <c r="F61" s="208"/>
      <c r="G61" s="35">
        <f>G57/10</f>
        <v>56</v>
      </c>
      <c r="H61" s="36">
        <f t="shared" ref="H61:AA61" si="4">H57/10</f>
        <v>88</v>
      </c>
      <c r="I61" s="36">
        <f t="shared" si="4"/>
        <v>70</v>
      </c>
      <c r="J61" s="36">
        <f t="shared" si="4"/>
        <v>68</v>
      </c>
      <c r="K61" s="36">
        <f t="shared" si="4"/>
        <v>71</v>
      </c>
      <c r="L61" s="36">
        <f t="shared" si="4"/>
        <v>72</v>
      </c>
      <c r="M61" s="36">
        <f t="shared" si="4"/>
        <v>35</v>
      </c>
      <c r="N61" s="36">
        <f t="shared" si="4"/>
        <v>37</v>
      </c>
      <c r="O61" s="36">
        <f t="shared" si="4"/>
        <v>37</v>
      </c>
      <c r="P61" s="36">
        <f t="shared" si="4"/>
        <v>37</v>
      </c>
      <c r="Q61" s="36">
        <f t="shared" si="4"/>
        <v>37</v>
      </c>
      <c r="R61" s="36">
        <f t="shared" si="4"/>
        <v>38</v>
      </c>
      <c r="S61" s="36">
        <f t="shared" si="4"/>
        <v>85</v>
      </c>
      <c r="T61" s="36">
        <f t="shared" si="4"/>
        <v>55</v>
      </c>
      <c r="U61" s="36">
        <f t="shared" si="4"/>
        <v>55</v>
      </c>
      <c r="V61" s="36">
        <f t="shared" si="4"/>
        <v>56</v>
      </c>
      <c r="W61" s="36">
        <f t="shared" si="4"/>
        <v>37</v>
      </c>
      <c r="X61" s="36">
        <f t="shared" si="4"/>
        <v>0</v>
      </c>
      <c r="Y61" s="36">
        <f t="shared" si="4"/>
        <v>0</v>
      </c>
      <c r="Z61" s="36">
        <f t="shared" si="4"/>
        <v>0</v>
      </c>
      <c r="AA61" s="37">
        <f t="shared" si="4"/>
        <v>934</v>
      </c>
    </row>
    <row r="62" spans="1:32" x14ac:dyDescent="0.25"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spans="1:32" ht="7.5" customHeight="1" x14ac:dyDescent="0.25"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spans="1:32" x14ac:dyDescent="0.25"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11:27" x14ac:dyDescent="0.25"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spans="11:27" x14ac:dyDescent="0.25"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spans="11:27" x14ac:dyDescent="0.25"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spans="11:27" x14ac:dyDescent="0.25"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spans="11:27" x14ac:dyDescent="0.25"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spans="11:27" x14ac:dyDescent="0.25"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spans="11:27" x14ac:dyDescent="0.25"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spans="11:27" x14ac:dyDescent="0.25"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spans="11:27" x14ac:dyDescent="0.25"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11:27" x14ac:dyDescent="0.25"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11:27" x14ac:dyDescent="0.25"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spans="11:27" x14ac:dyDescent="0.25"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spans="11:27" x14ac:dyDescent="0.25"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spans="11:27" x14ac:dyDescent="0.25"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spans="11:27" x14ac:dyDescent="0.25"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spans="11:27" x14ac:dyDescent="0.25"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spans="11:27" x14ac:dyDescent="0.25"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spans="11:27" x14ac:dyDescent="0.25"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spans="11:27" x14ac:dyDescent="0.25"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spans="11:27" x14ac:dyDescent="0.25"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spans="11:27" x14ac:dyDescent="0.25"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spans="11:27" x14ac:dyDescent="0.25"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spans="11:27" x14ac:dyDescent="0.25"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spans="11:27" x14ac:dyDescent="0.25"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spans="11:27" x14ac:dyDescent="0.25"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spans="11:27" x14ac:dyDescent="0.25"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spans="11:27" x14ac:dyDescent="0.25"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spans="11:27" x14ac:dyDescent="0.25"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</sheetData>
  <mergeCells count="35">
    <mergeCell ref="E60:F60"/>
    <mergeCell ref="C46:E47"/>
    <mergeCell ref="C48:E50"/>
    <mergeCell ref="E61:F61"/>
    <mergeCell ref="A11:A56"/>
    <mergeCell ref="B11:B25"/>
    <mergeCell ref="C11:E15"/>
    <mergeCell ref="C16:E20"/>
    <mergeCell ref="C21:E25"/>
    <mergeCell ref="B26:B56"/>
    <mergeCell ref="C26:E27"/>
    <mergeCell ref="C28:E30"/>
    <mergeCell ref="C31:E33"/>
    <mergeCell ref="C34:E36"/>
    <mergeCell ref="C54:E56"/>
    <mergeCell ref="C37:E39"/>
    <mergeCell ref="A10:B10"/>
    <mergeCell ref="C10:F10"/>
    <mergeCell ref="N6:R6"/>
    <mergeCell ref="A57:F57"/>
    <mergeCell ref="E59:F59"/>
    <mergeCell ref="C40:E42"/>
    <mergeCell ref="C43:E45"/>
    <mergeCell ref="C51:E53"/>
    <mergeCell ref="D6:J6"/>
    <mergeCell ref="A1:AA1"/>
    <mergeCell ref="L6:M6"/>
    <mergeCell ref="V6:Z6"/>
    <mergeCell ref="U5:W5"/>
    <mergeCell ref="T6:U6"/>
    <mergeCell ref="D5:J5"/>
    <mergeCell ref="X5:AA5"/>
    <mergeCell ref="A4:AA4"/>
    <mergeCell ref="A3:AA3"/>
    <mergeCell ref="A2:AA2"/>
  </mergeCells>
  <printOptions horizontalCentered="1" verticalCentered="1"/>
  <pageMargins left="0" right="0" top="0" bottom="0" header="0" footer="0"/>
  <pageSetup scale="28" orientation="landscape" horizont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CAE0-3F8E-4508-8FE6-8193EF7195E3}">
  <dimension ref="A3:M56"/>
  <sheetViews>
    <sheetView topLeftCell="C24" zoomScaleNormal="100" workbookViewId="0">
      <selection activeCell="H27" sqref="H27"/>
    </sheetView>
  </sheetViews>
  <sheetFormatPr baseColWidth="10" defaultRowHeight="15" x14ac:dyDescent="0.25"/>
  <cols>
    <col min="6" max="6" width="23.140625" customWidth="1"/>
    <col min="7" max="8" width="15.140625" bestFit="1" customWidth="1"/>
    <col min="9" max="9" width="15" customWidth="1"/>
  </cols>
  <sheetData>
    <row r="3" spans="1:12" ht="15.75" thickBot="1" x14ac:dyDescent="0.3"/>
    <row r="4" spans="1:12" ht="36.75" customHeight="1" thickBot="1" x14ac:dyDescent="0.3">
      <c r="A4" s="234" t="s">
        <v>77</v>
      </c>
      <c r="B4" s="235"/>
      <c r="C4" s="234" t="s">
        <v>8</v>
      </c>
      <c r="D4" s="236"/>
      <c r="E4" s="236"/>
      <c r="F4" s="236" t="s">
        <v>78</v>
      </c>
      <c r="G4" s="38" t="s">
        <v>9</v>
      </c>
      <c r="H4" s="38" t="s">
        <v>298</v>
      </c>
      <c r="I4" s="38" t="s">
        <v>93</v>
      </c>
    </row>
    <row r="5" spans="1:12" ht="18" customHeight="1" x14ac:dyDescent="0.35">
      <c r="A5" s="237" t="s">
        <v>10</v>
      </c>
      <c r="B5" s="240" t="s">
        <v>11</v>
      </c>
      <c r="C5" s="204" t="s">
        <v>79</v>
      </c>
      <c r="D5" s="205"/>
      <c r="E5" s="218"/>
      <c r="F5" s="13" t="s">
        <v>12</v>
      </c>
      <c r="G5" s="39">
        <f>SUM('METAS UNIDADES RURALES'!AA11,'METAS UNIDADES URBANAS'!AA11)</f>
        <v>5547</v>
      </c>
      <c r="H5" s="39">
        <v>5547</v>
      </c>
      <c r="I5" s="39">
        <f>H5-G5</f>
        <v>0</v>
      </c>
      <c r="L5" s="173"/>
    </row>
    <row r="6" spans="1:12" ht="18" x14ac:dyDescent="0.35">
      <c r="A6" s="238"/>
      <c r="B6" s="240"/>
      <c r="C6" s="204"/>
      <c r="D6" s="205"/>
      <c r="E6" s="218"/>
      <c r="F6" s="13" t="s">
        <v>13</v>
      </c>
      <c r="G6" s="40">
        <f>SUM('METAS UNIDADES RURALES'!AA12,'METAS UNIDADES URBANAS'!AA12)</f>
        <v>5126</v>
      </c>
      <c r="H6" s="40">
        <v>5126</v>
      </c>
      <c r="I6" s="40">
        <f t="shared" ref="I6:I50" si="0">H6-G6</f>
        <v>0</v>
      </c>
      <c r="L6" s="173"/>
    </row>
    <row r="7" spans="1:12" ht="18" x14ac:dyDescent="0.35">
      <c r="A7" s="238"/>
      <c r="B7" s="240"/>
      <c r="C7" s="204"/>
      <c r="D7" s="205"/>
      <c r="E7" s="218"/>
      <c r="F7" s="13" t="s">
        <v>14</v>
      </c>
      <c r="G7" s="40">
        <f>SUM('METAS UNIDADES RURALES'!AA13,'METAS UNIDADES URBANAS'!AA13)</f>
        <v>325</v>
      </c>
      <c r="H7" s="40">
        <v>325</v>
      </c>
      <c r="I7" s="40">
        <f t="shared" si="0"/>
        <v>0</v>
      </c>
      <c r="L7" s="173"/>
    </row>
    <row r="8" spans="1:12" ht="18" x14ac:dyDescent="0.35">
      <c r="A8" s="238"/>
      <c r="B8" s="240"/>
      <c r="C8" s="204"/>
      <c r="D8" s="205"/>
      <c r="E8" s="218"/>
      <c r="F8" s="17" t="s">
        <v>15</v>
      </c>
      <c r="G8" s="40">
        <f>SUM('METAS UNIDADES RURALES'!AA14,'METAS UNIDADES URBANAS'!AA14)</f>
        <v>582</v>
      </c>
      <c r="H8" s="40">
        <v>582</v>
      </c>
      <c r="I8" s="40">
        <f t="shared" si="0"/>
        <v>0</v>
      </c>
      <c r="L8" s="173"/>
    </row>
    <row r="9" spans="1:12" ht="18.75" thickBot="1" x14ac:dyDescent="0.4">
      <c r="A9" s="238"/>
      <c r="B9" s="240"/>
      <c r="C9" s="201"/>
      <c r="D9" s="202"/>
      <c r="E9" s="219"/>
      <c r="F9" s="17" t="s">
        <v>16</v>
      </c>
      <c r="G9" s="41">
        <f>SUM('METAS UNIDADES RURALES'!AA15,'METAS UNIDADES URBANAS'!AA15)</f>
        <v>340</v>
      </c>
      <c r="H9" s="41">
        <v>340</v>
      </c>
      <c r="I9" s="41">
        <f t="shared" si="0"/>
        <v>0</v>
      </c>
      <c r="L9" s="173"/>
    </row>
    <row r="10" spans="1:12" ht="18" customHeight="1" x14ac:dyDescent="0.35">
      <c r="A10" s="238"/>
      <c r="B10" s="240"/>
      <c r="C10" s="198" t="s">
        <v>80</v>
      </c>
      <c r="D10" s="199"/>
      <c r="E10" s="217"/>
      <c r="F10" s="19" t="s">
        <v>17</v>
      </c>
      <c r="G10" s="39">
        <f>SUM('METAS UNIDADES RURALES'!AA16,'METAS UNIDADES URBANAS'!AA16)</f>
        <v>5547</v>
      </c>
      <c r="H10" s="39">
        <v>5547</v>
      </c>
      <c r="I10" s="39">
        <f t="shared" si="0"/>
        <v>0</v>
      </c>
      <c r="L10" s="173"/>
    </row>
    <row r="11" spans="1:12" ht="18" x14ac:dyDescent="0.35">
      <c r="A11" s="238"/>
      <c r="B11" s="240"/>
      <c r="C11" s="204"/>
      <c r="D11" s="205"/>
      <c r="E11" s="218"/>
      <c r="F11" s="13" t="s">
        <v>18</v>
      </c>
      <c r="G11" s="39">
        <f>SUM('METAS UNIDADES RURALES'!AA17,'METAS UNIDADES URBANAS'!AA17)</f>
        <v>5126</v>
      </c>
      <c r="H11" s="39">
        <v>5126</v>
      </c>
      <c r="I11" s="39">
        <f t="shared" si="0"/>
        <v>0</v>
      </c>
      <c r="L11" s="173"/>
    </row>
    <row r="12" spans="1:12" ht="18" x14ac:dyDescent="0.35">
      <c r="A12" s="238"/>
      <c r="B12" s="240"/>
      <c r="C12" s="204"/>
      <c r="D12" s="205"/>
      <c r="E12" s="218"/>
      <c r="F12" s="13" t="s">
        <v>19</v>
      </c>
      <c r="G12" s="39">
        <f>SUM('METAS UNIDADES RURALES'!AA18,'METAS UNIDADES URBANAS'!AA18)</f>
        <v>325</v>
      </c>
      <c r="H12" s="39">
        <v>325</v>
      </c>
      <c r="I12" s="39">
        <f t="shared" si="0"/>
        <v>0</v>
      </c>
      <c r="L12" s="173"/>
    </row>
    <row r="13" spans="1:12" ht="18" x14ac:dyDescent="0.35">
      <c r="A13" s="238"/>
      <c r="B13" s="240"/>
      <c r="C13" s="204"/>
      <c r="D13" s="205"/>
      <c r="E13" s="218"/>
      <c r="F13" s="17" t="s">
        <v>20</v>
      </c>
      <c r="G13" s="40">
        <f>SUM('METAS UNIDADES RURALES'!AA19,'METAS UNIDADES URBANAS'!AA19)</f>
        <v>582</v>
      </c>
      <c r="H13" s="40">
        <v>582</v>
      </c>
      <c r="I13" s="40">
        <f t="shared" si="0"/>
        <v>0</v>
      </c>
      <c r="L13" s="173"/>
    </row>
    <row r="14" spans="1:12" ht="18.75" thickBot="1" x14ac:dyDescent="0.4">
      <c r="A14" s="238"/>
      <c r="B14" s="240"/>
      <c r="C14" s="201"/>
      <c r="D14" s="202"/>
      <c r="E14" s="219"/>
      <c r="F14" s="17" t="s">
        <v>21</v>
      </c>
      <c r="G14" s="41">
        <f>SUM('METAS UNIDADES RURALES'!AA20,'METAS UNIDADES URBANAS'!AA20)</f>
        <v>340</v>
      </c>
      <c r="H14" s="41">
        <v>340</v>
      </c>
      <c r="I14" s="41">
        <f t="shared" si="0"/>
        <v>0</v>
      </c>
      <c r="L14" s="173"/>
    </row>
    <row r="15" spans="1:12" ht="18" customHeight="1" x14ac:dyDescent="0.35">
      <c r="A15" s="238"/>
      <c r="B15" s="240"/>
      <c r="C15" s="198" t="s">
        <v>81</v>
      </c>
      <c r="D15" s="199"/>
      <c r="E15" s="200"/>
      <c r="F15" s="42" t="s">
        <v>22</v>
      </c>
      <c r="G15" s="39">
        <f>SUM('METAS UNIDADES RURALES'!AA21,'METAS UNIDADES URBANAS'!AA21)</f>
        <v>4761</v>
      </c>
      <c r="H15" s="39">
        <v>4761</v>
      </c>
      <c r="I15" s="39">
        <f t="shared" si="0"/>
        <v>0</v>
      </c>
      <c r="L15" s="173"/>
    </row>
    <row r="16" spans="1:12" ht="18" x14ac:dyDescent="0.35">
      <c r="A16" s="238"/>
      <c r="B16" s="240"/>
      <c r="C16" s="204"/>
      <c r="D16" s="205"/>
      <c r="E16" s="206"/>
      <c r="F16" s="43" t="s">
        <v>19</v>
      </c>
      <c r="G16" s="39">
        <f>SUM('METAS UNIDADES RURALES'!AA22,'METAS UNIDADES URBANAS'!AA22)</f>
        <v>7503</v>
      </c>
      <c r="H16" s="39">
        <v>7503</v>
      </c>
      <c r="I16" s="39">
        <f t="shared" si="0"/>
        <v>0</v>
      </c>
      <c r="L16" s="173"/>
    </row>
    <row r="17" spans="1:13" ht="18" x14ac:dyDescent="0.35">
      <c r="A17" s="238"/>
      <c r="B17" s="240"/>
      <c r="C17" s="204"/>
      <c r="D17" s="205"/>
      <c r="E17" s="206"/>
      <c r="F17" s="43" t="s">
        <v>15</v>
      </c>
      <c r="G17" s="39">
        <f>SUM('METAS UNIDADES RURALES'!AA23,'METAS UNIDADES URBANAS'!AA23)</f>
        <v>8099</v>
      </c>
      <c r="H17" s="39">
        <v>8099</v>
      </c>
      <c r="I17" s="39">
        <f t="shared" si="0"/>
        <v>0</v>
      </c>
      <c r="L17" s="173"/>
    </row>
    <row r="18" spans="1:13" ht="18" x14ac:dyDescent="0.35">
      <c r="A18" s="238"/>
      <c r="B18" s="240"/>
      <c r="C18" s="204"/>
      <c r="D18" s="205"/>
      <c r="E18" s="206"/>
      <c r="F18" s="43" t="s">
        <v>16</v>
      </c>
      <c r="G18" s="39">
        <f>SUM('METAS UNIDADES RURALES'!AA24,'METAS UNIDADES URBANAS'!AA24)</f>
        <v>6689</v>
      </c>
      <c r="H18" s="39">
        <v>6689</v>
      </c>
      <c r="I18" s="39">
        <f t="shared" si="0"/>
        <v>0</v>
      </c>
      <c r="L18" s="173"/>
    </row>
    <row r="19" spans="1:13" ht="18.75" thickBot="1" x14ac:dyDescent="0.4">
      <c r="A19" s="238"/>
      <c r="B19" s="241"/>
      <c r="C19" s="201"/>
      <c r="D19" s="202"/>
      <c r="E19" s="203"/>
      <c r="F19" s="44" t="s">
        <v>23</v>
      </c>
      <c r="G19" s="40">
        <f>SUM('METAS UNIDADES RURALES'!AA25,'METAS UNIDADES URBANAS'!AA25)</f>
        <v>23001</v>
      </c>
      <c r="H19" s="40">
        <v>23001</v>
      </c>
      <c r="I19" s="40">
        <f t="shared" si="0"/>
        <v>0</v>
      </c>
      <c r="L19" s="173"/>
    </row>
    <row r="20" spans="1:13" ht="18.75" customHeight="1" thickBot="1" x14ac:dyDescent="0.4">
      <c r="A20" s="238"/>
      <c r="B20" s="242" t="s">
        <v>24</v>
      </c>
      <c r="C20" s="198" t="s">
        <v>82</v>
      </c>
      <c r="D20" s="199"/>
      <c r="E20" s="200"/>
      <c r="F20" s="20" t="s">
        <v>25</v>
      </c>
      <c r="G20" s="45">
        <f>SUM('METAS UNIDADES RURALES'!AA26,'METAS UNIDADES URBANAS'!AA26)</f>
        <v>4755</v>
      </c>
      <c r="H20" s="45">
        <v>4755</v>
      </c>
      <c r="I20" s="45">
        <f t="shared" si="0"/>
        <v>0</v>
      </c>
      <c r="L20" s="173"/>
    </row>
    <row r="21" spans="1:13" ht="72.75" thickBot="1" x14ac:dyDescent="0.4">
      <c r="A21" s="238"/>
      <c r="B21" s="240"/>
      <c r="C21" s="201"/>
      <c r="D21" s="202"/>
      <c r="E21" s="203"/>
      <c r="F21" s="21" t="s">
        <v>26</v>
      </c>
      <c r="G21" s="45">
        <f>SUM('METAS UNIDADES RURALES'!AA27,'METAS UNIDADES URBANAS'!AA27)</f>
        <v>629</v>
      </c>
      <c r="H21" s="45">
        <v>629</v>
      </c>
      <c r="I21" s="45">
        <f t="shared" si="0"/>
        <v>0</v>
      </c>
      <c r="L21" s="173"/>
    </row>
    <row r="22" spans="1:13" ht="18" customHeight="1" x14ac:dyDescent="0.35">
      <c r="A22" s="238"/>
      <c r="B22" s="240"/>
      <c r="C22" s="198" t="s">
        <v>83</v>
      </c>
      <c r="D22" s="199"/>
      <c r="E22" s="200"/>
      <c r="F22" s="22" t="s">
        <v>27</v>
      </c>
      <c r="G22" s="46">
        <f>SUM('METAS UNIDADES RURALES'!AA28,'METAS UNIDADES URBANAS'!AA28)</f>
        <v>13</v>
      </c>
      <c r="H22" s="46">
        <v>13</v>
      </c>
      <c r="I22" s="46">
        <f t="shared" si="0"/>
        <v>0</v>
      </c>
      <c r="L22" s="173"/>
    </row>
    <row r="23" spans="1:13" ht="18" x14ac:dyDescent="0.35">
      <c r="A23" s="238"/>
      <c r="B23" s="240"/>
      <c r="C23" s="204"/>
      <c r="D23" s="205"/>
      <c r="E23" s="206"/>
      <c r="F23" s="23" t="s">
        <v>28</v>
      </c>
      <c r="G23" s="40">
        <f>SUM('METAS UNIDADES RURALES'!AA29,'METAS UNIDADES URBANAS'!AA29)</f>
        <v>18</v>
      </c>
      <c r="H23" s="40">
        <v>18</v>
      </c>
      <c r="I23" s="40">
        <f t="shared" si="0"/>
        <v>0</v>
      </c>
      <c r="L23" s="173"/>
    </row>
    <row r="24" spans="1:13" ht="18.75" thickBot="1" x14ac:dyDescent="0.4">
      <c r="A24" s="238"/>
      <c r="B24" s="240"/>
      <c r="C24" s="201"/>
      <c r="D24" s="202"/>
      <c r="E24" s="203"/>
      <c r="F24" s="24" t="s">
        <v>29</v>
      </c>
      <c r="G24" s="41">
        <f>SUM('METAS UNIDADES RURALES'!AA30,'METAS UNIDADES URBANAS'!AA30)</f>
        <v>186</v>
      </c>
      <c r="H24" s="41">
        <v>186</v>
      </c>
      <c r="I24" s="41">
        <f t="shared" si="0"/>
        <v>0</v>
      </c>
      <c r="L24" s="173"/>
    </row>
    <row r="25" spans="1:13" ht="18" customHeight="1" x14ac:dyDescent="0.35">
      <c r="A25" s="238"/>
      <c r="B25" s="240"/>
      <c r="C25" s="198" t="s">
        <v>84</v>
      </c>
      <c r="D25" s="199"/>
      <c r="E25" s="200"/>
      <c r="F25" s="22" t="s">
        <v>27</v>
      </c>
      <c r="G25" s="46">
        <f>SUM('METAS UNIDADES RURALES'!AA31,'METAS UNIDADES URBANAS'!AA31)</f>
        <v>68</v>
      </c>
      <c r="H25" s="46">
        <v>68</v>
      </c>
      <c r="I25" s="46">
        <f t="shared" si="0"/>
        <v>0</v>
      </c>
      <c r="L25" s="173"/>
      <c r="M25" s="173"/>
    </row>
    <row r="26" spans="1:13" ht="18" x14ac:dyDescent="0.35">
      <c r="A26" s="238"/>
      <c r="B26" s="240"/>
      <c r="C26" s="204"/>
      <c r="D26" s="205"/>
      <c r="E26" s="206"/>
      <c r="F26" s="23" t="s">
        <v>28</v>
      </c>
      <c r="G26" s="40">
        <f>SUM('METAS UNIDADES RURALES'!AA32,'METAS UNIDADES URBANAS'!AA32)</f>
        <v>426</v>
      </c>
      <c r="H26" s="40">
        <v>426</v>
      </c>
      <c r="I26" s="40">
        <f t="shared" si="0"/>
        <v>0</v>
      </c>
      <c r="L26" s="173"/>
      <c r="M26" s="173"/>
    </row>
    <row r="27" spans="1:13" ht="18.75" thickBot="1" x14ac:dyDescent="0.4">
      <c r="A27" s="238"/>
      <c r="B27" s="240"/>
      <c r="C27" s="201"/>
      <c r="D27" s="202"/>
      <c r="E27" s="203"/>
      <c r="F27" s="24" t="s">
        <v>29</v>
      </c>
      <c r="G27" s="41">
        <f>SUM('METAS UNIDADES RURALES'!AA33,'METAS UNIDADES URBANAS'!AA33)</f>
        <v>4659</v>
      </c>
      <c r="H27" s="41">
        <v>4659</v>
      </c>
      <c r="I27" s="41">
        <f t="shared" si="0"/>
        <v>0</v>
      </c>
      <c r="L27" s="173"/>
      <c r="M27" s="173"/>
    </row>
    <row r="28" spans="1:13" ht="18" customHeight="1" x14ac:dyDescent="0.35">
      <c r="A28" s="238"/>
      <c r="B28" s="240"/>
      <c r="C28" s="198" t="s">
        <v>85</v>
      </c>
      <c r="D28" s="199"/>
      <c r="E28" s="200"/>
      <c r="F28" s="22" t="s">
        <v>27</v>
      </c>
      <c r="G28" s="46">
        <f>SUM('METAS UNIDADES RURALES'!AA34,'METAS UNIDADES URBANAS'!AA34)</f>
        <v>1048</v>
      </c>
      <c r="H28" s="46">
        <v>1048</v>
      </c>
      <c r="I28" s="46">
        <f t="shared" si="0"/>
        <v>0</v>
      </c>
      <c r="L28" s="173"/>
      <c r="M28" s="173"/>
    </row>
    <row r="29" spans="1:13" ht="18" x14ac:dyDescent="0.35">
      <c r="A29" s="238"/>
      <c r="B29" s="240"/>
      <c r="C29" s="204"/>
      <c r="D29" s="205"/>
      <c r="E29" s="206"/>
      <c r="F29" s="24" t="s">
        <v>28</v>
      </c>
      <c r="G29" s="40">
        <f>SUM('METAS UNIDADES RURALES'!AA35,'METAS UNIDADES URBANAS'!AA35)</f>
        <v>2013</v>
      </c>
      <c r="H29" s="40">
        <v>2013</v>
      </c>
      <c r="I29" s="40">
        <f t="shared" si="0"/>
        <v>0</v>
      </c>
      <c r="L29" s="173"/>
      <c r="M29" s="173"/>
    </row>
    <row r="30" spans="1:13" ht="18.75" thickBot="1" x14ac:dyDescent="0.4">
      <c r="A30" s="238"/>
      <c r="B30" s="240"/>
      <c r="C30" s="201"/>
      <c r="D30" s="202"/>
      <c r="E30" s="203"/>
      <c r="F30" s="24" t="s">
        <v>29</v>
      </c>
      <c r="G30" s="41">
        <f>SUM('METAS UNIDADES RURALES'!AA36,'METAS UNIDADES URBANAS'!AA36)</f>
        <v>2421</v>
      </c>
      <c r="H30" s="41">
        <v>2421</v>
      </c>
      <c r="I30" s="41">
        <f t="shared" si="0"/>
        <v>0</v>
      </c>
      <c r="L30" s="173"/>
      <c r="M30" s="173"/>
    </row>
    <row r="31" spans="1:13" ht="18" customHeight="1" x14ac:dyDescent="0.35">
      <c r="A31" s="238"/>
      <c r="B31" s="240"/>
      <c r="C31" s="198" t="s">
        <v>86</v>
      </c>
      <c r="D31" s="199"/>
      <c r="E31" s="200"/>
      <c r="F31" s="22" t="s">
        <v>27</v>
      </c>
      <c r="G31" s="46">
        <f>SUM('METAS UNIDADES RURALES'!AA37,'METAS UNIDADES URBANAS'!AA37)</f>
        <v>138</v>
      </c>
      <c r="H31" s="46">
        <v>138</v>
      </c>
      <c r="I31" s="46">
        <f t="shared" si="0"/>
        <v>0</v>
      </c>
      <c r="L31" s="173"/>
      <c r="M31" s="173"/>
    </row>
    <row r="32" spans="1:13" ht="18" x14ac:dyDescent="0.35">
      <c r="A32" s="238"/>
      <c r="B32" s="240"/>
      <c r="C32" s="204"/>
      <c r="D32" s="205"/>
      <c r="E32" s="206"/>
      <c r="F32" s="24" t="s">
        <v>28</v>
      </c>
      <c r="G32" s="40">
        <f>SUM('METAS UNIDADES RURALES'!AA38,'METAS UNIDADES URBANAS'!AA38)</f>
        <v>171</v>
      </c>
      <c r="H32" s="40">
        <v>171</v>
      </c>
      <c r="I32" s="40">
        <f t="shared" si="0"/>
        <v>0</v>
      </c>
      <c r="L32" s="173"/>
      <c r="M32" s="173"/>
    </row>
    <row r="33" spans="1:13" ht="18.75" thickBot="1" x14ac:dyDescent="0.4">
      <c r="A33" s="238"/>
      <c r="B33" s="240"/>
      <c r="C33" s="201"/>
      <c r="D33" s="202"/>
      <c r="E33" s="203"/>
      <c r="F33" s="24" t="s">
        <v>29</v>
      </c>
      <c r="G33" s="41">
        <f>SUM('METAS UNIDADES RURALES'!AA39,'METAS UNIDADES URBANAS'!AA39)</f>
        <v>3210</v>
      </c>
      <c r="H33" s="41">
        <v>3210</v>
      </c>
      <c r="I33" s="41">
        <f t="shared" si="0"/>
        <v>0</v>
      </c>
      <c r="L33" s="173"/>
      <c r="M33" s="173"/>
    </row>
    <row r="34" spans="1:13" ht="18" customHeight="1" x14ac:dyDescent="0.35">
      <c r="A34" s="238"/>
      <c r="B34" s="240"/>
      <c r="C34" s="198" t="s">
        <v>87</v>
      </c>
      <c r="D34" s="199"/>
      <c r="E34" s="200"/>
      <c r="F34" s="22" t="s">
        <v>27</v>
      </c>
      <c r="G34" s="46">
        <f>SUM('METAS UNIDADES RURALES'!AA40,'METAS UNIDADES URBANAS'!AA40)</f>
        <v>190</v>
      </c>
      <c r="H34" s="46">
        <v>190</v>
      </c>
      <c r="I34" s="46">
        <f t="shared" si="0"/>
        <v>0</v>
      </c>
      <c r="L34" s="173"/>
      <c r="M34" s="173"/>
    </row>
    <row r="35" spans="1:13" ht="18" x14ac:dyDescent="0.35">
      <c r="A35" s="238"/>
      <c r="B35" s="240"/>
      <c r="C35" s="204"/>
      <c r="D35" s="205"/>
      <c r="E35" s="206"/>
      <c r="F35" s="24" t="s">
        <v>28</v>
      </c>
      <c r="G35" s="40">
        <f>SUM('METAS UNIDADES RURALES'!AA41,'METAS UNIDADES URBANAS'!AA41)</f>
        <v>388</v>
      </c>
      <c r="H35" s="40">
        <v>388</v>
      </c>
      <c r="I35" s="40">
        <f t="shared" si="0"/>
        <v>0</v>
      </c>
      <c r="L35" s="173"/>
      <c r="M35" s="173"/>
    </row>
    <row r="36" spans="1:13" ht="18.75" thickBot="1" x14ac:dyDescent="0.4">
      <c r="A36" s="238"/>
      <c r="B36" s="240"/>
      <c r="C36" s="201"/>
      <c r="D36" s="202"/>
      <c r="E36" s="203"/>
      <c r="F36" s="24" t="s">
        <v>29</v>
      </c>
      <c r="G36" s="41">
        <f>SUM('METAS UNIDADES RURALES'!AA42,'METAS UNIDADES URBANAS'!AA42)</f>
        <v>2070</v>
      </c>
      <c r="H36" s="41">
        <v>2070</v>
      </c>
      <c r="I36" s="41">
        <f t="shared" si="0"/>
        <v>0</v>
      </c>
      <c r="L36" s="173"/>
      <c r="M36" s="173"/>
    </row>
    <row r="37" spans="1:13" ht="18" customHeight="1" x14ac:dyDescent="0.35">
      <c r="A37" s="238"/>
      <c r="B37" s="240"/>
      <c r="C37" s="198" t="s">
        <v>88</v>
      </c>
      <c r="D37" s="199"/>
      <c r="E37" s="200"/>
      <c r="F37" s="22" t="s">
        <v>27</v>
      </c>
      <c r="G37" s="46">
        <f>SUM('METAS UNIDADES RURALES'!AA43,'METAS UNIDADES URBANAS'!AA43)</f>
        <v>55</v>
      </c>
      <c r="H37" s="46">
        <v>55</v>
      </c>
      <c r="I37" s="46">
        <f t="shared" si="0"/>
        <v>0</v>
      </c>
      <c r="L37" s="173"/>
      <c r="M37" s="173"/>
    </row>
    <row r="38" spans="1:13" ht="18" x14ac:dyDescent="0.35">
      <c r="A38" s="238"/>
      <c r="B38" s="240"/>
      <c r="C38" s="204"/>
      <c r="D38" s="205"/>
      <c r="E38" s="206"/>
      <c r="F38" s="30" t="s">
        <v>28</v>
      </c>
      <c r="G38" s="40">
        <f>SUM('METAS UNIDADES RURALES'!AA44,'METAS UNIDADES URBANAS'!AA44)</f>
        <v>104</v>
      </c>
      <c r="H38" s="40">
        <v>104</v>
      </c>
      <c r="I38" s="40">
        <f t="shared" si="0"/>
        <v>0</v>
      </c>
      <c r="L38" s="173"/>
      <c r="M38" s="173"/>
    </row>
    <row r="39" spans="1:13" ht="18.75" thickBot="1" x14ac:dyDescent="0.4">
      <c r="A39" s="238"/>
      <c r="B39" s="240"/>
      <c r="C39" s="201"/>
      <c r="D39" s="202"/>
      <c r="E39" s="203"/>
      <c r="F39" s="31" t="s">
        <v>29</v>
      </c>
      <c r="G39" s="41">
        <f>SUM('METAS UNIDADES RURALES'!AA45,'METAS UNIDADES URBANAS'!AA45)</f>
        <v>570</v>
      </c>
      <c r="H39" s="41">
        <v>570</v>
      </c>
      <c r="I39" s="48">
        <f t="shared" si="0"/>
        <v>0</v>
      </c>
      <c r="L39" s="173"/>
      <c r="M39" s="173"/>
    </row>
    <row r="40" spans="1:13" ht="18" customHeight="1" x14ac:dyDescent="0.35">
      <c r="A40" s="238"/>
      <c r="B40" s="240"/>
      <c r="C40" s="198" t="s">
        <v>89</v>
      </c>
      <c r="D40" s="199"/>
      <c r="E40" s="200"/>
      <c r="F40" s="23" t="s">
        <v>30</v>
      </c>
      <c r="G40" s="46">
        <f>SUM('METAS UNIDADES RURALES'!AA46,'METAS UNIDADES URBANAS'!AA46)</f>
        <v>74</v>
      </c>
      <c r="H40" s="50">
        <v>74</v>
      </c>
      <c r="I40" s="46">
        <f t="shared" si="0"/>
        <v>0</v>
      </c>
      <c r="L40" s="173"/>
      <c r="M40" s="173"/>
    </row>
    <row r="41" spans="1:13" ht="18.75" thickBot="1" x14ac:dyDescent="0.4">
      <c r="A41" s="238"/>
      <c r="B41" s="240"/>
      <c r="C41" s="204"/>
      <c r="D41" s="205"/>
      <c r="E41" s="206"/>
      <c r="F41" s="24" t="s">
        <v>31</v>
      </c>
      <c r="G41" s="47">
        <f>SUM('METAS UNIDADES RURALES'!AA47,'METAS UNIDADES URBANAS'!AA47)</f>
        <v>150</v>
      </c>
      <c r="H41" s="51">
        <v>150</v>
      </c>
      <c r="I41" s="41">
        <f t="shared" si="0"/>
        <v>0</v>
      </c>
      <c r="L41" s="173"/>
      <c r="M41" s="173"/>
    </row>
    <row r="42" spans="1:13" ht="18" customHeight="1" x14ac:dyDescent="0.35">
      <c r="A42" s="238"/>
      <c r="B42" s="240"/>
      <c r="C42" s="198" t="s">
        <v>90</v>
      </c>
      <c r="D42" s="199"/>
      <c r="E42" s="200"/>
      <c r="F42" s="22" t="s">
        <v>30</v>
      </c>
      <c r="G42" s="46">
        <f>SUM('METAS UNIDADES RURALES'!AA48,'METAS UNIDADES URBANAS'!AA48)</f>
        <v>182</v>
      </c>
      <c r="H42" s="46">
        <v>182</v>
      </c>
      <c r="I42" s="39">
        <f t="shared" si="0"/>
        <v>0</v>
      </c>
      <c r="L42" s="173"/>
      <c r="M42" s="173"/>
    </row>
    <row r="43" spans="1:13" ht="18" x14ac:dyDescent="0.35">
      <c r="A43" s="238"/>
      <c r="B43" s="240"/>
      <c r="C43" s="204"/>
      <c r="D43" s="205"/>
      <c r="E43" s="206"/>
      <c r="F43" s="24" t="s">
        <v>31</v>
      </c>
      <c r="G43" s="40">
        <f>SUM('METAS UNIDADES RURALES'!AA49,'METAS UNIDADES URBANAS'!AA49)</f>
        <v>69</v>
      </c>
      <c r="H43" s="40">
        <v>69</v>
      </c>
      <c r="I43" s="40">
        <f t="shared" si="0"/>
        <v>0</v>
      </c>
      <c r="L43" s="173"/>
      <c r="M43" s="173"/>
    </row>
    <row r="44" spans="1:13" ht="18.75" thickBot="1" x14ac:dyDescent="0.4">
      <c r="A44" s="238"/>
      <c r="B44" s="240"/>
      <c r="C44" s="201"/>
      <c r="D44" s="202"/>
      <c r="E44" s="203"/>
      <c r="F44" s="24" t="s">
        <v>32</v>
      </c>
      <c r="G44" s="41">
        <f>SUM('METAS UNIDADES RURALES'!AA50,'METAS UNIDADES URBANAS'!AA50)</f>
        <v>2020</v>
      </c>
      <c r="H44" s="41">
        <v>2020</v>
      </c>
      <c r="I44" s="41">
        <f t="shared" si="0"/>
        <v>0</v>
      </c>
      <c r="L44" s="173"/>
      <c r="M44" s="173"/>
    </row>
    <row r="45" spans="1:13" ht="18" customHeight="1" x14ac:dyDescent="0.35">
      <c r="A45" s="238"/>
      <c r="B45" s="240"/>
      <c r="C45" s="198" t="s">
        <v>91</v>
      </c>
      <c r="D45" s="199"/>
      <c r="E45" s="200"/>
      <c r="F45" s="22" t="s">
        <v>30</v>
      </c>
      <c r="G45" s="46">
        <f>SUM('METAS UNIDADES RURALES'!AA51,'METAS UNIDADES URBANAS'!AA51)</f>
        <v>179</v>
      </c>
      <c r="H45" s="46">
        <v>179</v>
      </c>
      <c r="I45" s="46">
        <f t="shared" si="0"/>
        <v>0</v>
      </c>
      <c r="L45" s="173"/>
      <c r="M45" s="173"/>
    </row>
    <row r="46" spans="1:13" ht="18" x14ac:dyDescent="0.35">
      <c r="A46" s="238"/>
      <c r="B46" s="240"/>
      <c r="C46" s="204"/>
      <c r="D46" s="205"/>
      <c r="E46" s="206"/>
      <c r="F46" s="24" t="s">
        <v>31</v>
      </c>
      <c r="G46" s="40">
        <f>SUM('METAS UNIDADES RURALES'!AA52,'METAS UNIDADES URBANAS'!AA52)</f>
        <v>207</v>
      </c>
      <c r="H46" s="40">
        <v>207</v>
      </c>
      <c r="I46" s="40">
        <f t="shared" si="0"/>
        <v>0</v>
      </c>
      <c r="L46" s="173"/>
      <c r="M46" s="173"/>
    </row>
    <row r="47" spans="1:13" ht="18.75" thickBot="1" x14ac:dyDescent="0.4">
      <c r="A47" s="238"/>
      <c r="B47" s="240"/>
      <c r="C47" s="201"/>
      <c r="D47" s="202"/>
      <c r="E47" s="203"/>
      <c r="F47" s="24" t="s">
        <v>32</v>
      </c>
      <c r="G47" s="41">
        <f>SUM('METAS UNIDADES RURALES'!AA53,'METAS UNIDADES URBANAS'!AA53)</f>
        <v>816</v>
      </c>
      <c r="H47" s="41">
        <v>816</v>
      </c>
      <c r="I47" s="41">
        <f t="shared" si="0"/>
        <v>0</v>
      </c>
      <c r="L47" s="173"/>
      <c r="M47" s="173"/>
    </row>
    <row r="48" spans="1:13" ht="18" customHeight="1" x14ac:dyDescent="0.35">
      <c r="A48" s="238"/>
      <c r="B48" s="240"/>
      <c r="C48" s="198" t="s">
        <v>92</v>
      </c>
      <c r="D48" s="199"/>
      <c r="E48" s="200"/>
      <c r="F48" s="22" t="s">
        <v>30</v>
      </c>
      <c r="G48" s="46">
        <f>SUM('METAS UNIDADES RURALES'!AA54,'METAS UNIDADES URBANAS'!AA54)</f>
        <v>0</v>
      </c>
      <c r="H48" s="46">
        <v>0</v>
      </c>
      <c r="I48" s="46">
        <f t="shared" si="0"/>
        <v>0</v>
      </c>
      <c r="L48" s="173"/>
    </row>
    <row r="49" spans="1:12" ht="18" x14ac:dyDescent="0.35">
      <c r="A49" s="238"/>
      <c r="B49" s="240"/>
      <c r="C49" s="204"/>
      <c r="D49" s="205"/>
      <c r="E49" s="206"/>
      <c r="F49" s="24" t="s">
        <v>31</v>
      </c>
      <c r="G49" s="40">
        <f>SUM('METAS UNIDADES RURALES'!AA55,'METAS UNIDADES URBANAS'!AA55)</f>
        <v>0</v>
      </c>
      <c r="H49" s="40">
        <v>0</v>
      </c>
      <c r="I49" s="40">
        <f t="shared" si="0"/>
        <v>0</v>
      </c>
      <c r="L49" s="173"/>
    </row>
    <row r="50" spans="1:12" ht="18.75" thickBot="1" x14ac:dyDescent="0.4">
      <c r="A50" s="238"/>
      <c r="B50" s="240"/>
      <c r="C50" s="204"/>
      <c r="D50" s="205"/>
      <c r="E50" s="206"/>
      <c r="F50" s="30" t="s">
        <v>32</v>
      </c>
      <c r="G50" s="48">
        <f>SUM('METAS UNIDADES RURALES'!AA56,'METAS UNIDADES URBANAS'!AA56)</f>
        <v>0</v>
      </c>
      <c r="H50" s="48">
        <v>0</v>
      </c>
      <c r="I50" s="48">
        <f t="shared" si="0"/>
        <v>0</v>
      </c>
      <c r="L50" s="173"/>
    </row>
    <row r="51" spans="1:12" ht="15.75" thickBot="1" x14ac:dyDescent="0.3">
      <c r="A51" s="239"/>
      <c r="B51" s="243" t="s">
        <v>33</v>
      </c>
      <c r="C51" s="244"/>
      <c r="D51" s="244"/>
      <c r="E51" s="244"/>
      <c r="F51" s="245"/>
      <c r="G51" s="49">
        <f>SUM(G5:G50)</f>
        <v>100722</v>
      </c>
      <c r="H51" s="49">
        <f>SUM(H5:H50)</f>
        <v>100722</v>
      </c>
      <c r="I51" s="49">
        <f>SUM(I5:I50)</f>
        <v>0</v>
      </c>
    </row>
    <row r="52" spans="1:12" ht="15.75" thickBot="1" x14ac:dyDescent="0.3"/>
    <row r="53" spans="1:12" ht="22.5" thickBot="1" x14ac:dyDescent="0.45">
      <c r="E53" s="211" t="s">
        <v>55</v>
      </c>
      <c r="F53" s="212"/>
      <c r="G53" s="32">
        <f>SUM(G5:G18)</f>
        <v>50892</v>
      </c>
      <c r="H53" s="32">
        <f>SUM(H5:H18)</f>
        <v>50892</v>
      </c>
    </row>
    <row r="54" spans="1:12" ht="22.5" thickBot="1" x14ac:dyDescent="0.45">
      <c r="E54" s="213" t="s">
        <v>56</v>
      </c>
      <c r="F54" s="213"/>
      <c r="G54" s="33">
        <f>SUM(G19:G50)</f>
        <v>49830</v>
      </c>
      <c r="H54" s="33">
        <f>SUM(H19:H50)</f>
        <v>49830</v>
      </c>
    </row>
    <row r="55" spans="1:12" ht="22.5" thickBot="1" x14ac:dyDescent="0.45">
      <c r="E55" s="207" t="s">
        <v>57</v>
      </c>
      <c r="F55" s="208"/>
      <c r="G55" s="34">
        <f>((G53)/2)+(G54)</f>
        <v>75276</v>
      </c>
      <c r="H55" s="34">
        <f>((H53)/2)+(H54)</f>
        <v>75276</v>
      </c>
    </row>
    <row r="56" spans="1:12" ht="22.5" thickBot="1" x14ac:dyDescent="0.45">
      <c r="E56" s="207" t="s">
        <v>58</v>
      </c>
      <c r="F56" s="208"/>
      <c r="G56" s="35">
        <f>G55/10</f>
        <v>7527.6</v>
      </c>
      <c r="H56" s="35">
        <f>H55/10</f>
        <v>7527.6</v>
      </c>
    </row>
  </sheetData>
  <mergeCells count="24">
    <mergeCell ref="C48:E50"/>
    <mergeCell ref="B51:F51"/>
    <mergeCell ref="C25:E27"/>
    <mergeCell ref="C28:E30"/>
    <mergeCell ref="C31:E33"/>
    <mergeCell ref="C34:E36"/>
    <mergeCell ref="C37:E39"/>
    <mergeCell ref="C40:E41"/>
    <mergeCell ref="E53:F53"/>
    <mergeCell ref="E54:F54"/>
    <mergeCell ref="E55:F55"/>
    <mergeCell ref="E56:F56"/>
    <mergeCell ref="A4:B4"/>
    <mergeCell ref="C4:F4"/>
    <mergeCell ref="A5:A51"/>
    <mergeCell ref="B5:B19"/>
    <mergeCell ref="C5:E9"/>
    <mergeCell ref="C10:E14"/>
    <mergeCell ref="C15:E19"/>
    <mergeCell ref="B20:B50"/>
    <mergeCell ref="C20:E21"/>
    <mergeCell ref="C22:E24"/>
    <mergeCell ref="C42:E44"/>
    <mergeCell ref="C45:E47"/>
  </mergeCells>
  <conditionalFormatting sqref="G5:G50">
    <cfRule type="expression" dxfId="1" priority="1">
      <formula>(G5=H5)</formula>
    </cfRule>
    <cfRule type="expression" dxfId="0" priority="2">
      <formula>G5&lt;&gt;H5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2CF7-EF67-4799-ABF5-E8E31ED47DA0}">
  <sheetPr>
    <pageSetUpPr fitToPage="1"/>
  </sheetPr>
  <dimension ref="A1:L39"/>
  <sheetViews>
    <sheetView workbookViewId="0">
      <selection activeCell="J2" sqref="J2"/>
    </sheetView>
  </sheetViews>
  <sheetFormatPr baseColWidth="10" defaultRowHeight="18" x14ac:dyDescent="0.35"/>
  <cols>
    <col min="1" max="1" width="17.42578125" style="139" bestFit="1" customWidth="1"/>
    <col min="2" max="2" width="33.7109375" style="140" customWidth="1"/>
    <col min="3" max="4" width="20.140625" style="140" bestFit="1" customWidth="1"/>
    <col min="5" max="6" width="14.140625" style="140" bestFit="1" customWidth="1"/>
    <col min="7" max="8" width="18.140625" style="134" customWidth="1"/>
    <col min="9" max="10" width="20.140625" style="134" bestFit="1" customWidth="1"/>
    <col min="11" max="12" width="14.140625" style="134" bestFit="1" customWidth="1"/>
    <col min="13" max="16384" width="11.42578125" style="134"/>
  </cols>
  <sheetData>
    <row r="1" spans="1:12" ht="65.25" x14ac:dyDescent="0.35">
      <c r="A1" s="130" t="s">
        <v>100</v>
      </c>
      <c r="B1" s="131" t="s">
        <v>99</v>
      </c>
      <c r="C1" s="133" t="s">
        <v>295</v>
      </c>
      <c r="D1" s="133" t="s">
        <v>297</v>
      </c>
      <c r="E1" s="132" t="s">
        <v>293</v>
      </c>
      <c r="F1" s="133" t="s">
        <v>292</v>
      </c>
      <c r="G1" s="132" t="s">
        <v>294</v>
      </c>
      <c r="H1" s="133" t="s">
        <v>294</v>
      </c>
      <c r="I1" s="133" t="s">
        <v>295</v>
      </c>
      <c r="J1" s="133" t="s">
        <v>295</v>
      </c>
      <c r="K1" s="132" t="s">
        <v>293</v>
      </c>
      <c r="L1" s="133" t="s">
        <v>292</v>
      </c>
    </row>
    <row r="2" spans="1:12" ht="21.75" x14ac:dyDescent="0.4">
      <c r="A2" s="135" t="s">
        <v>289</v>
      </c>
      <c r="B2" s="136" t="s">
        <v>37</v>
      </c>
      <c r="C2" s="146">
        <f t="shared" ref="C2:D17" si="0">ROUNDDOWN(I2,0)</f>
        <v>0</v>
      </c>
      <c r="D2" s="146">
        <f t="shared" si="0"/>
        <v>30</v>
      </c>
      <c r="E2" s="146">
        <f>((G2)-(C2*50))</f>
        <v>0</v>
      </c>
      <c r="F2" s="146">
        <f>((H2)-(D2*50))</f>
        <v>0</v>
      </c>
      <c r="G2" s="141">
        <v>0</v>
      </c>
      <c r="H2" s="143">
        <v>1500</v>
      </c>
      <c r="I2" s="145">
        <f>G2/50</f>
        <v>0</v>
      </c>
      <c r="J2" s="147">
        <f>H2/50</f>
        <v>30</v>
      </c>
      <c r="K2" s="141"/>
      <c r="L2" s="143"/>
    </row>
    <row r="3" spans="1:12" ht="21.75" x14ac:dyDescent="0.4">
      <c r="A3" s="135" t="str">
        <f>_xlfn.XLOOKUP(B3,'CLUES JS1'!$C$44:$C$85,'CLUES JS1'!$B$44:$B$85,"NO EXISTE",0)</f>
        <v>QTSSA001764</v>
      </c>
      <c r="B3" s="136" t="s">
        <v>291</v>
      </c>
      <c r="C3" s="146">
        <f t="shared" si="0"/>
        <v>0</v>
      </c>
      <c r="D3" s="146">
        <f t="shared" si="0"/>
        <v>4</v>
      </c>
      <c r="E3" s="146">
        <f t="shared" ref="E3:E39" si="1">((G3)-(C3*50))</f>
        <v>0</v>
      </c>
      <c r="F3" s="146">
        <f t="shared" ref="F3:F39" si="2">((H3)-(D3*50))</f>
        <v>0</v>
      </c>
      <c r="G3" s="141">
        <v>0</v>
      </c>
      <c r="H3" s="143">
        <v>200</v>
      </c>
      <c r="I3" s="145">
        <f t="shared" ref="I3:I39" si="3">G3/50</f>
        <v>0</v>
      </c>
      <c r="J3" s="147">
        <f t="shared" ref="J3:J39" si="4">H3/50</f>
        <v>4</v>
      </c>
      <c r="K3" s="141"/>
      <c r="L3" s="143"/>
    </row>
    <row r="4" spans="1:12" ht="21.75" x14ac:dyDescent="0.4">
      <c r="A4" s="135" t="str">
        <f>_xlfn.XLOOKUP(B4,'CLUES JS1'!$C$44:$C$85,'CLUES JS1'!$B$44:$B$85,"NO EXISTE",0)</f>
        <v>QTSSA001793</v>
      </c>
      <c r="B4" s="136" t="s">
        <v>38</v>
      </c>
      <c r="C4" s="146">
        <f>ROUNDDOWN(I4,0)</f>
        <v>16</v>
      </c>
      <c r="D4" s="146">
        <f t="shared" si="0"/>
        <v>11</v>
      </c>
      <c r="E4" s="146">
        <f t="shared" si="1"/>
        <v>46</v>
      </c>
      <c r="F4" s="146">
        <f t="shared" si="2"/>
        <v>24</v>
      </c>
      <c r="G4" s="141">
        <v>846</v>
      </c>
      <c r="H4" s="143">
        <v>574</v>
      </c>
      <c r="I4" s="145">
        <f t="shared" si="3"/>
        <v>16.920000000000002</v>
      </c>
      <c r="J4" s="147">
        <f t="shared" si="4"/>
        <v>11.48</v>
      </c>
      <c r="K4" s="141"/>
      <c r="L4" s="143"/>
    </row>
    <row r="5" spans="1:12" ht="21.75" x14ac:dyDescent="0.4">
      <c r="A5" s="135" t="str">
        <f>_xlfn.XLOOKUP(B5,'CLUES JS1'!$C$44:$C$85,'CLUES JS1'!$B$44:$B$85,"NO EXISTE",0)</f>
        <v>QTSSA001810</v>
      </c>
      <c r="B5" s="136" t="s">
        <v>39</v>
      </c>
      <c r="C5" s="146">
        <f t="shared" ref="C5:D39" si="5">ROUNDDOWN(I5,0)</f>
        <v>6</v>
      </c>
      <c r="D5" s="146">
        <f t="shared" si="0"/>
        <v>8</v>
      </c>
      <c r="E5" s="146">
        <f t="shared" si="1"/>
        <v>33</v>
      </c>
      <c r="F5" s="146">
        <f t="shared" si="2"/>
        <v>7</v>
      </c>
      <c r="G5" s="141">
        <v>333</v>
      </c>
      <c r="H5" s="143">
        <v>407</v>
      </c>
      <c r="I5" s="145">
        <f t="shared" si="3"/>
        <v>6.66</v>
      </c>
      <c r="J5" s="147">
        <f t="shared" si="4"/>
        <v>8.14</v>
      </c>
      <c r="K5" s="141"/>
      <c r="L5" s="143"/>
    </row>
    <row r="6" spans="1:12" ht="21.75" x14ac:dyDescent="0.4">
      <c r="A6" s="135" t="str">
        <f>_xlfn.XLOOKUP(B6,'CLUES JS1'!$C$44:$C$85,'CLUES JS1'!$B$44:$B$85,"NO EXISTE",0)</f>
        <v>QTSSA001822</v>
      </c>
      <c r="B6" s="136" t="s">
        <v>40</v>
      </c>
      <c r="C6" s="146">
        <f t="shared" si="5"/>
        <v>8</v>
      </c>
      <c r="D6" s="146">
        <f t="shared" si="0"/>
        <v>7</v>
      </c>
      <c r="E6" s="146">
        <f t="shared" si="1"/>
        <v>46</v>
      </c>
      <c r="F6" s="146">
        <f t="shared" si="2"/>
        <v>4</v>
      </c>
      <c r="G6" s="141">
        <v>446</v>
      </c>
      <c r="H6" s="143">
        <v>354</v>
      </c>
      <c r="I6" s="145">
        <f t="shared" si="3"/>
        <v>8.92</v>
      </c>
      <c r="J6" s="147">
        <f t="shared" si="4"/>
        <v>7.08</v>
      </c>
      <c r="K6" s="141"/>
      <c r="L6" s="143"/>
    </row>
    <row r="7" spans="1:12" ht="21.75" x14ac:dyDescent="0.4">
      <c r="A7" s="135" t="str">
        <f>_xlfn.XLOOKUP(B7,'CLUES JS1'!$C$44:$C$85,'CLUES JS1'!$B$44:$B$85,"NO EXISTE",0)</f>
        <v>QTSSA001834</v>
      </c>
      <c r="B7" s="136" t="s">
        <v>41</v>
      </c>
      <c r="C7" s="146">
        <f t="shared" si="5"/>
        <v>11</v>
      </c>
      <c r="D7" s="146">
        <f t="shared" si="0"/>
        <v>9</v>
      </c>
      <c r="E7" s="146">
        <f t="shared" si="1"/>
        <v>36</v>
      </c>
      <c r="F7" s="146">
        <f t="shared" si="2"/>
        <v>24</v>
      </c>
      <c r="G7" s="141">
        <v>586</v>
      </c>
      <c r="H7" s="143">
        <v>474</v>
      </c>
      <c r="I7" s="145">
        <f t="shared" si="3"/>
        <v>11.72</v>
      </c>
      <c r="J7" s="147">
        <f t="shared" si="4"/>
        <v>9.48</v>
      </c>
      <c r="K7" s="141"/>
      <c r="L7" s="143"/>
    </row>
    <row r="8" spans="1:12" ht="21.75" x14ac:dyDescent="0.4">
      <c r="A8" s="135" t="str">
        <f>_xlfn.XLOOKUP(B8,'CLUES JS1'!$C$44:$C$85,'CLUES JS1'!$B$44:$B$85,"NO EXISTE",0)</f>
        <v>QTSSA001846</v>
      </c>
      <c r="B8" s="136" t="s">
        <v>217</v>
      </c>
      <c r="C8" s="146">
        <f t="shared" si="5"/>
        <v>11</v>
      </c>
      <c r="D8" s="146">
        <f t="shared" si="0"/>
        <v>11</v>
      </c>
      <c r="E8" s="146">
        <f t="shared" si="1"/>
        <v>32</v>
      </c>
      <c r="F8" s="146">
        <f t="shared" si="2"/>
        <v>18</v>
      </c>
      <c r="G8" s="141">
        <v>582</v>
      </c>
      <c r="H8" s="143">
        <v>568</v>
      </c>
      <c r="I8" s="145">
        <f t="shared" si="3"/>
        <v>11.64</v>
      </c>
      <c r="J8" s="147">
        <f t="shared" si="4"/>
        <v>11.36</v>
      </c>
      <c r="K8" s="141"/>
      <c r="L8" s="143"/>
    </row>
    <row r="9" spans="1:12" ht="21.75" x14ac:dyDescent="0.4">
      <c r="A9" s="135" t="str">
        <f>_xlfn.XLOOKUP(B9,'CLUES JS1'!$C$44:$C$85,'CLUES JS1'!$B$44:$B$85,"NO EXISTE",0)</f>
        <v>QTSSA001851</v>
      </c>
      <c r="B9" s="136" t="s">
        <v>43</v>
      </c>
      <c r="C9" s="146">
        <f t="shared" si="5"/>
        <v>12</v>
      </c>
      <c r="D9" s="146">
        <f t="shared" si="0"/>
        <v>12</v>
      </c>
      <c r="E9" s="146">
        <f t="shared" si="1"/>
        <v>2</v>
      </c>
      <c r="F9" s="146">
        <f t="shared" si="2"/>
        <v>38</v>
      </c>
      <c r="G9" s="141">
        <v>602</v>
      </c>
      <c r="H9" s="143">
        <v>638</v>
      </c>
      <c r="I9" s="145">
        <f t="shared" si="3"/>
        <v>12.04</v>
      </c>
      <c r="J9" s="147">
        <f t="shared" si="4"/>
        <v>12.76</v>
      </c>
      <c r="K9" s="141"/>
      <c r="L9" s="143"/>
    </row>
    <row r="10" spans="1:12" ht="21.75" x14ac:dyDescent="0.4">
      <c r="A10" s="135" t="str">
        <f>_xlfn.XLOOKUP(B10,'CLUES JS1'!$C$44:$C$85,'CLUES JS1'!$B$44:$B$85,"NO EXISTE",0)</f>
        <v>QTSSA001863</v>
      </c>
      <c r="B10" s="136" t="s">
        <v>44</v>
      </c>
      <c r="C10" s="146">
        <f t="shared" si="5"/>
        <v>564</v>
      </c>
      <c r="D10" s="146">
        <f t="shared" si="0"/>
        <v>888</v>
      </c>
      <c r="E10" s="146">
        <f t="shared" si="1"/>
        <v>1</v>
      </c>
      <c r="F10" s="146">
        <f t="shared" si="2"/>
        <v>25</v>
      </c>
      <c r="G10" s="141">
        <v>28201</v>
      </c>
      <c r="H10" s="143">
        <v>44425</v>
      </c>
      <c r="I10" s="145">
        <f t="shared" si="3"/>
        <v>564.02</v>
      </c>
      <c r="J10" s="147">
        <f t="shared" si="4"/>
        <v>888.5</v>
      </c>
      <c r="K10" s="141"/>
      <c r="L10" s="143"/>
    </row>
    <row r="11" spans="1:12" ht="21.75" x14ac:dyDescent="0.4">
      <c r="A11" s="135" t="str">
        <f>_xlfn.XLOOKUP(B11,'CLUES JS1'!$C$44:$C$85,'CLUES JS1'!$B$44:$B$85,"NO EXISTE",0)</f>
        <v>QTSSA001904</v>
      </c>
      <c r="B11" s="136" t="s">
        <v>59</v>
      </c>
      <c r="C11" s="146">
        <f t="shared" si="5"/>
        <v>4</v>
      </c>
      <c r="D11" s="146">
        <f t="shared" si="0"/>
        <v>6</v>
      </c>
      <c r="E11" s="146">
        <f t="shared" si="1"/>
        <v>39</v>
      </c>
      <c r="F11" s="146">
        <f t="shared" si="2"/>
        <v>11</v>
      </c>
      <c r="G11" s="141">
        <v>239</v>
      </c>
      <c r="H11" s="143">
        <v>311</v>
      </c>
      <c r="I11" s="145">
        <f t="shared" si="3"/>
        <v>4.78</v>
      </c>
      <c r="J11" s="147">
        <f t="shared" si="4"/>
        <v>6.22</v>
      </c>
      <c r="K11" s="141"/>
      <c r="L11" s="143"/>
    </row>
    <row r="12" spans="1:12" ht="21.75" x14ac:dyDescent="0.4">
      <c r="A12" s="135" t="str">
        <f>_xlfn.XLOOKUP(B12,'CLUES JS1'!$C$44:$C$85,'CLUES JS1'!$B$44:$B$85,"NO EXISTE",0)</f>
        <v>QTSSA001916</v>
      </c>
      <c r="B12" s="136" t="s">
        <v>60</v>
      </c>
      <c r="C12" s="146">
        <f t="shared" si="5"/>
        <v>10</v>
      </c>
      <c r="D12" s="146">
        <f t="shared" si="0"/>
        <v>6</v>
      </c>
      <c r="E12" s="146">
        <f t="shared" si="1"/>
        <v>39</v>
      </c>
      <c r="F12" s="146">
        <f t="shared" si="2"/>
        <v>31</v>
      </c>
      <c r="G12" s="141">
        <v>539</v>
      </c>
      <c r="H12" s="143">
        <v>331</v>
      </c>
      <c r="I12" s="145">
        <f t="shared" si="3"/>
        <v>10.78</v>
      </c>
      <c r="J12" s="147">
        <f t="shared" si="4"/>
        <v>6.62</v>
      </c>
      <c r="K12" s="141"/>
      <c r="L12" s="143"/>
    </row>
    <row r="13" spans="1:12" ht="21.75" x14ac:dyDescent="0.4">
      <c r="A13" s="135" t="str">
        <f>_xlfn.XLOOKUP(B13,'CLUES JS1'!$C$44:$C$85,'CLUES JS1'!$B$44:$B$85,"NO EXISTE",0)</f>
        <v>QTSSA001921</v>
      </c>
      <c r="B13" s="136" t="s">
        <v>61</v>
      </c>
      <c r="C13" s="146">
        <f t="shared" si="5"/>
        <v>6</v>
      </c>
      <c r="D13" s="146">
        <f t="shared" si="0"/>
        <v>6</v>
      </c>
      <c r="E13" s="146">
        <f t="shared" si="1"/>
        <v>49</v>
      </c>
      <c r="F13" s="146">
        <f t="shared" si="2"/>
        <v>41</v>
      </c>
      <c r="G13" s="141">
        <v>349</v>
      </c>
      <c r="H13" s="143">
        <v>341</v>
      </c>
      <c r="I13" s="145">
        <f t="shared" si="3"/>
        <v>6.98</v>
      </c>
      <c r="J13" s="147">
        <f t="shared" si="4"/>
        <v>6.82</v>
      </c>
      <c r="K13" s="141"/>
      <c r="L13" s="143"/>
    </row>
    <row r="14" spans="1:12" ht="21.75" x14ac:dyDescent="0.4">
      <c r="A14" s="135" t="str">
        <f>_xlfn.XLOOKUP(B14,'CLUES JS1'!$C$44:$C$85,'CLUES JS1'!$B$44:$B$85,"NO EXISTE",0)</f>
        <v>QTSSA001945</v>
      </c>
      <c r="B14" s="136" t="s">
        <v>62</v>
      </c>
      <c r="C14" s="146">
        <f t="shared" si="5"/>
        <v>7</v>
      </c>
      <c r="D14" s="146">
        <f t="shared" si="0"/>
        <v>5</v>
      </c>
      <c r="E14" s="146">
        <f t="shared" si="1"/>
        <v>36</v>
      </c>
      <c r="F14" s="146">
        <f t="shared" si="2"/>
        <v>44</v>
      </c>
      <c r="G14" s="141">
        <v>386</v>
      </c>
      <c r="H14" s="143">
        <v>294</v>
      </c>
      <c r="I14" s="145">
        <f t="shared" si="3"/>
        <v>7.72</v>
      </c>
      <c r="J14" s="147">
        <f t="shared" si="4"/>
        <v>5.88</v>
      </c>
      <c r="K14" s="141"/>
      <c r="L14" s="143"/>
    </row>
    <row r="15" spans="1:12" ht="21.75" x14ac:dyDescent="0.4">
      <c r="A15" s="135" t="str">
        <f>_xlfn.XLOOKUP(B15,'CLUES JS1'!$C$44:$C$85,'CLUES JS1'!$B$44:$B$85,"NO EXISTE",0)</f>
        <v>QTSSA001962</v>
      </c>
      <c r="B15" s="136" t="s">
        <v>63</v>
      </c>
      <c r="C15" s="146">
        <f t="shared" si="5"/>
        <v>7</v>
      </c>
      <c r="D15" s="146">
        <f t="shared" si="0"/>
        <v>7</v>
      </c>
      <c r="E15" s="146">
        <f t="shared" si="1"/>
        <v>39</v>
      </c>
      <c r="F15" s="146">
        <f t="shared" si="2"/>
        <v>21</v>
      </c>
      <c r="G15" s="141">
        <v>389</v>
      </c>
      <c r="H15" s="143">
        <v>371</v>
      </c>
      <c r="I15" s="145">
        <f t="shared" si="3"/>
        <v>7.78</v>
      </c>
      <c r="J15" s="147">
        <f t="shared" si="4"/>
        <v>7.42</v>
      </c>
      <c r="K15" s="141"/>
      <c r="L15" s="143"/>
    </row>
    <row r="16" spans="1:12" ht="21.75" x14ac:dyDescent="0.4">
      <c r="A16" s="135" t="str">
        <f>_xlfn.XLOOKUP(B16,'CLUES JS1'!$C$44:$C$85,'CLUES JS1'!$B$44:$B$85,"NO EXISTE",0)</f>
        <v>QTSSA001974</v>
      </c>
      <c r="B16" s="136" t="s">
        <v>45</v>
      </c>
      <c r="C16" s="146">
        <f t="shared" si="5"/>
        <v>10</v>
      </c>
      <c r="D16" s="146">
        <f t="shared" si="0"/>
        <v>7</v>
      </c>
      <c r="E16" s="146">
        <f t="shared" si="1"/>
        <v>17</v>
      </c>
      <c r="F16" s="146">
        <f t="shared" si="2"/>
        <v>23</v>
      </c>
      <c r="G16" s="141">
        <v>517</v>
      </c>
      <c r="H16" s="143">
        <v>373</v>
      </c>
      <c r="I16" s="145">
        <f t="shared" si="3"/>
        <v>10.34</v>
      </c>
      <c r="J16" s="147">
        <f t="shared" si="4"/>
        <v>7.46</v>
      </c>
      <c r="K16" s="141"/>
      <c r="L16" s="143"/>
    </row>
    <row r="17" spans="1:12" ht="21.75" x14ac:dyDescent="0.4">
      <c r="A17" s="135" t="str">
        <f>_xlfn.XLOOKUP(B17,'CLUES JS1'!$C$44:$C$85,'CLUES JS1'!$B$44:$B$85,"NO EXISTE",0)</f>
        <v>QTSSA002003</v>
      </c>
      <c r="B17" s="136" t="s">
        <v>64</v>
      </c>
      <c r="C17" s="146">
        <f t="shared" si="5"/>
        <v>8</v>
      </c>
      <c r="D17" s="146">
        <f t="shared" si="0"/>
        <v>6</v>
      </c>
      <c r="E17" s="146">
        <f t="shared" si="1"/>
        <v>42</v>
      </c>
      <c r="F17" s="146">
        <f t="shared" si="2"/>
        <v>48</v>
      </c>
      <c r="G17" s="141">
        <v>442</v>
      </c>
      <c r="H17" s="143">
        <v>348</v>
      </c>
      <c r="I17" s="145">
        <f t="shared" si="3"/>
        <v>8.84</v>
      </c>
      <c r="J17" s="147">
        <f t="shared" si="4"/>
        <v>6.96</v>
      </c>
      <c r="K17" s="141"/>
      <c r="L17" s="143"/>
    </row>
    <row r="18" spans="1:12" ht="21.75" x14ac:dyDescent="0.4">
      <c r="A18" s="135" t="str">
        <f>_xlfn.XLOOKUP(B18,'CLUES JS1'!$C$44:$C$85,'CLUES JS1'!$B$44:$B$85,"NO EXISTE",0)</f>
        <v>QTSSA002015</v>
      </c>
      <c r="B18" s="136" t="s">
        <v>65</v>
      </c>
      <c r="C18" s="146">
        <f t="shared" si="5"/>
        <v>4</v>
      </c>
      <c r="D18" s="146">
        <f t="shared" si="5"/>
        <v>3</v>
      </c>
      <c r="E18" s="146">
        <f t="shared" si="1"/>
        <v>28</v>
      </c>
      <c r="F18" s="146">
        <f t="shared" si="2"/>
        <v>32</v>
      </c>
      <c r="G18" s="141">
        <v>228</v>
      </c>
      <c r="H18" s="143">
        <v>182</v>
      </c>
      <c r="I18" s="145">
        <f t="shared" si="3"/>
        <v>4.5599999999999996</v>
      </c>
      <c r="J18" s="147">
        <f t="shared" si="4"/>
        <v>3.64</v>
      </c>
      <c r="K18" s="141"/>
      <c r="L18" s="143"/>
    </row>
    <row r="19" spans="1:12" ht="21.75" x14ac:dyDescent="0.4">
      <c r="A19" s="135" t="str">
        <f>_xlfn.XLOOKUP(B19,'CLUES JS1'!$C$44:$C$85,'CLUES JS1'!$B$44:$B$85,"NO EXISTE",0)</f>
        <v>QTSSA002020</v>
      </c>
      <c r="B19" s="136" t="s">
        <v>46</v>
      </c>
      <c r="C19" s="146">
        <f t="shared" si="5"/>
        <v>8</v>
      </c>
      <c r="D19" s="146">
        <f t="shared" si="5"/>
        <v>9</v>
      </c>
      <c r="E19" s="146">
        <f t="shared" si="1"/>
        <v>42</v>
      </c>
      <c r="F19" s="146">
        <f t="shared" si="2"/>
        <v>18</v>
      </c>
      <c r="G19" s="141">
        <v>442</v>
      </c>
      <c r="H19" s="143">
        <v>468</v>
      </c>
      <c r="I19" s="145">
        <f t="shared" si="3"/>
        <v>8.84</v>
      </c>
      <c r="J19" s="147">
        <f t="shared" si="4"/>
        <v>9.36</v>
      </c>
      <c r="K19" s="141"/>
      <c r="L19" s="143"/>
    </row>
    <row r="20" spans="1:12" ht="21.75" x14ac:dyDescent="0.4">
      <c r="A20" s="135" t="str">
        <f>_xlfn.XLOOKUP(B20,'CLUES JS1'!$C$44:$C$85,'CLUES JS1'!$B$44:$B$85,"NO EXISTE",0)</f>
        <v>QTSSA002522</v>
      </c>
      <c r="B20" s="136" t="s">
        <v>47</v>
      </c>
      <c r="C20" s="146">
        <f t="shared" si="5"/>
        <v>34</v>
      </c>
      <c r="D20" s="146">
        <f t="shared" si="5"/>
        <v>20</v>
      </c>
      <c r="E20" s="146">
        <f t="shared" si="1"/>
        <v>23</v>
      </c>
      <c r="F20" s="146">
        <f t="shared" si="2"/>
        <v>37</v>
      </c>
      <c r="G20" s="141">
        <v>1723</v>
      </c>
      <c r="H20" s="143">
        <v>1037</v>
      </c>
      <c r="I20" s="145">
        <f t="shared" si="3"/>
        <v>34.46</v>
      </c>
      <c r="J20" s="147">
        <f t="shared" si="4"/>
        <v>20.74</v>
      </c>
      <c r="K20" s="141"/>
      <c r="L20" s="143"/>
    </row>
    <row r="21" spans="1:12" ht="21.75" x14ac:dyDescent="0.4">
      <c r="A21" s="135" t="str">
        <f>_xlfn.XLOOKUP(B21,'CLUES JS1'!$C$44:$C$85,'CLUES JS1'!$B$44:$B$85,"NO EXISTE",0)</f>
        <v>QTSSA002534</v>
      </c>
      <c r="B21" s="136" t="s">
        <v>48</v>
      </c>
      <c r="C21" s="146">
        <f t="shared" si="5"/>
        <v>34</v>
      </c>
      <c r="D21" s="146">
        <f t="shared" si="5"/>
        <v>21</v>
      </c>
      <c r="E21" s="146">
        <f t="shared" si="1"/>
        <v>40</v>
      </c>
      <c r="F21" s="146">
        <f t="shared" si="2"/>
        <v>20</v>
      </c>
      <c r="G21" s="141">
        <v>1740</v>
      </c>
      <c r="H21" s="143">
        <v>1070</v>
      </c>
      <c r="I21" s="145">
        <f t="shared" si="3"/>
        <v>34.799999999999997</v>
      </c>
      <c r="J21" s="147">
        <f t="shared" si="4"/>
        <v>21.4</v>
      </c>
      <c r="K21" s="141"/>
      <c r="L21" s="143"/>
    </row>
    <row r="22" spans="1:12" ht="21.75" x14ac:dyDescent="0.4">
      <c r="A22" s="135" t="str">
        <f>_xlfn.XLOOKUP(B22,'CLUES JS1'!$C$44:$C$85,'CLUES JS1'!$B$44:$B$85,"NO EXISTE",0)</f>
        <v>QTSSA002703</v>
      </c>
      <c r="B22" s="136" t="s">
        <v>49</v>
      </c>
      <c r="C22" s="146">
        <f t="shared" si="5"/>
        <v>8</v>
      </c>
      <c r="D22" s="146">
        <f t="shared" si="5"/>
        <v>13</v>
      </c>
      <c r="E22" s="146">
        <f t="shared" si="1"/>
        <v>38</v>
      </c>
      <c r="F22" s="146">
        <f t="shared" si="2"/>
        <v>22</v>
      </c>
      <c r="G22" s="141">
        <v>438</v>
      </c>
      <c r="H22" s="143">
        <v>672</v>
      </c>
      <c r="I22" s="145">
        <f t="shared" si="3"/>
        <v>8.76</v>
      </c>
      <c r="J22" s="147">
        <f t="shared" si="4"/>
        <v>13.44</v>
      </c>
      <c r="K22" s="141"/>
      <c r="L22" s="143"/>
    </row>
    <row r="23" spans="1:12" ht="21.75" x14ac:dyDescent="0.4">
      <c r="A23" s="135" t="s">
        <v>290</v>
      </c>
      <c r="B23" s="136" t="s">
        <v>36</v>
      </c>
      <c r="C23" s="146">
        <f t="shared" si="5"/>
        <v>0</v>
      </c>
      <c r="D23" s="146">
        <f t="shared" si="5"/>
        <v>36</v>
      </c>
      <c r="E23" s="146">
        <f t="shared" si="1"/>
        <v>0</v>
      </c>
      <c r="F23" s="146">
        <f t="shared" si="2"/>
        <v>0</v>
      </c>
      <c r="G23" s="141">
        <v>0</v>
      </c>
      <c r="H23" s="143">
        <v>1800</v>
      </c>
      <c r="I23" s="145">
        <f t="shared" si="3"/>
        <v>0</v>
      </c>
      <c r="J23" s="147">
        <f t="shared" si="4"/>
        <v>36</v>
      </c>
      <c r="K23" s="141"/>
      <c r="L23" s="143"/>
    </row>
    <row r="24" spans="1:12" ht="21.75" x14ac:dyDescent="0.4">
      <c r="A24" s="135" t="str">
        <f>_xlfn.XLOOKUP(B24,'CLUES JS1'!$C$44:$C$85,'CLUES JS1'!$B$44:$B$85,"NO EXISTE",0)</f>
        <v>QTSSA003553</v>
      </c>
      <c r="B24" s="136" t="s">
        <v>245</v>
      </c>
      <c r="C24" s="146">
        <f t="shared" si="5"/>
        <v>5</v>
      </c>
      <c r="D24" s="146">
        <f t="shared" si="5"/>
        <v>3</v>
      </c>
      <c r="E24" s="146">
        <f t="shared" si="1"/>
        <v>44</v>
      </c>
      <c r="F24" s="146">
        <f t="shared" si="2"/>
        <v>36</v>
      </c>
      <c r="G24" s="141">
        <v>294</v>
      </c>
      <c r="H24" s="143">
        <v>186</v>
      </c>
      <c r="I24" s="145">
        <f t="shared" si="3"/>
        <v>5.88</v>
      </c>
      <c r="J24" s="147">
        <f t="shared" si="4"/>
        <v>3.72</v>
      </c>
      <c r="K24" s="141"/>
      <c r="L24" s="143"/>
    </row>
    <row r="25" spans="1:12" ht="21.75" x14ac:dyDescent="0.4">
      <c r="A25" s="135" t="str">
        <f>_xlfn.XLOOKUP(B25,'CLUES JS1'!$C$44:$C$85,'CLUES JS1'!$B$44:$B$85,"NO EXISTE",0)</f>
        <v>QTSSA003562</v>
      </c>
      <c r="B25" s="136" t="s">
        <v>247</v>
      </c>
      <c r="C25" s="146">
        <f t="shared" si="5"/>
        <v>1</v>
      </c>
      <c r="D25" s="146">
        <f t="shared" si="5"/>
        <v>2</v>
      </c>
      <c r="E25" s="146">
        <f t="shared" si="1"/>
        <v>8</v>
      </c>
      <c r="F25" s="146">
        <f t="shared" si="2"/>
        <v>42</v>
      </c>
      <c r="G25" s="141">
        <v>58</v>
      </c>
      <c r="H25" s="143">
        <v>142</v>
      </c>
      <c r="I25" s="145">
        <f t="shared" si="3"/>
        <v>1.1599999999999999</v>
      </c>
      <c r="J25" s="147">
        <f t="shared" si="4"/>
        <v>2.84</v>
      </c>
      <c r="K25" s="141"/>
      <c r="L25" s="143"/>
    </row>
    <row r="26" spans="1:12" ht="21.75" x14ac:dyDescent="0.4">
      <c r="A26" s="135" t="str">
        <f>_xlfn.XLOOKUP(B26,'CLUES JS1'!$C$44:$C$85,'CLUES JS1'!$B$44:$B$85,"NO EXISTE",0)</f>
        <v>QTSSA003595</v>
      </c>
      <c r="B26" s="136" t="s">
        <v>97</v>
      </c>
      <c r="C26" s="146">
        <f t="shared" si="5"/>
        <v>4</v>
      </c>
      <c r="D26" s="146">
        <f t="shared" si="5"/>
        <v>3</v>
      </c>
      <c r="E26" s="146">
        <f t="shared" si="1"/>
        <v>31</v>
      </c>
      <c r="F26" s="146">
        <f t="shared" si="2"/>
        <v>29</v>
      </c>
      <c r="G26" s="141">
        <v>231</v>
      </c>
      <c r="H26" s="143">
        <v>179</v>
      </c>
      <c r="I26" s="145">
        <f t="shared" si="3"/>
        <v>4.62</v>
      </c>
      <c r="J26" s="147">
        <f t="shared" si="4"/>
        <v>3.58</v>
      </c>
      <c r="K26" s="141"/>
      <c r="L26" s="143"/>
    </row>
    <row r="27" spans="1:12" ht="21.75" x14ac:dyDescent="0.4">
      <c r="A27" s="135" t="str">
        <f>_xlfn.XLOOKUP(B27,'CLUES JS1'!$C$44:$C$85,'CLUES JS1'!$B$44:$B$85,"NO EXISTE",0)</f>
        <v>QTSSA003604</v>
      </c>
      <c r="B27" s="136" t="s">
        <v>96</v>
      </c>
      <c r="C27" s="146">
        <f t="shared" si="5"/>
        <v>4</v>
      </c>
      <c r="D27" s="146">
        <f t="shared" si="5"/>
        <v>3</v>
      </c>
      <c r="E27" s="146">
        <f t="shared" si="1"/>
        <v>31</v>
      </c>
      <c r="F27" s="146">
        <f t="shared" si="2"/>
        <v>29</v>
      </c>
      <c r="G27" s="141">
        <v>231</v>
      </c>
      <c r="H27" s="143">
        <v>179</v>
      </c>
      <c r="I27" s="145">
        <f t="shared" si="3"/>
        <v>4.62</v>
      </c>
      <c r="J27" s="147">
        <f t="shared" si="4"/>
        <v>3.58</v>
      </c>
      <c r="K27" s="141"/>
      <c r="L27" s="143"/>
    </row>
    <row r="28" spans="1:12" ht="21.75" x14ac:dyDescent="0.4">
      <c r="A28" s="135" t="str">
        <f>_xlfn.XLOOKUP(B28,'CLUES JS1'!$C$44:$C$85,'CLUES JS1'!$B$44:$B$85,"NO EXISTE",0)</f>
        <v>QTSSA003715</v>
      </c>
      <c r="B28" s="136" t="s">
        <v>66</v>
      </c>
      <c r="C28" s="146">
        <f t="shared" si="5"/>
        <v>8</v>
      </c>
      <c r="D28" s="146">
        <f t="shared" si="5"/>
        <v>8</v>
      </c>
      <c r="E28" s="146">
        <f t="shared" si="1"/>
        <v>46</v>
      </c>
      <c r="F28" s="146">
        <f t="shared" si="2"/>
        <v>4</v>
      </c>
      <c r="G28" s="141">
        <v>446</v>
      </c>
      <c r="H28" s="143">
        <v>404</v>
      </c>
      <c r="I28" s="145">
        <f t="shared" si="3"/>
        <v>8.92</v>
      </c>
      <c r="J28" s="147">
        <f t="shared" si="4"/>
        <v>8.08</v>
      </c>
      <c r="K28" s="141"/>
      <c r="L28" s="143"/>
    </row>
    <row r="29" spans="1:12" ht="21.75" x14ac:dyDescent="0.4">
      <c r="A29" s="135" t="str">
        <f>_xlfn.XLOOKUP(B29,'CLUES JS1'!$C$44:$C$85,'CLUES JS1'!$B$44:$B$85,"NO EXISTE",0)</f>
        <v>QTSSA012240</v>
      </c>
      <c r="B29" s="136" t="s">
        <v>50</v>
      </c>
      <c r="C29" s="146">
        <f t="shared" si="5"/>
        <v>13</v>
      </c>
      <c r="D29" s="146">
        <f t="shared" si="5"/>
        <v>47</v>
      </c>
      <c r="E29" s="146">
        <f t="shared" si="1"/>
        <v>9</v>
      </c>
      <c r="F29" s="146">
        <f t="shared" si="2"/>
        <v>41</v>
      </c>
      <c r="G29" s="141">
        <v>659</v>
      </c>
      <c r="H29" s="143">
        <v>2391</v>
      </c>
      <c r="I29" s="145">
        <f t="shared" si="3"/>
        <v>13.18</v>
      </c>
      <c r="J29" s="147">
        <f t="shared" si="4"/>
        <v>47.82</v>
      </c>
      <c r="K29" s="141"/>
      <c r="L29" s="143"/>
    </row>
    <row r="30" spans="1:12" ht="21.75" x14ac:dyDescent="0.4">
      <c r="A30" s="135" t="str">
        <f>_xlfn.XLOOKUP(B30,'CLUES JS1'!$C$44:$C$85,'CLUES JS1'!$B$44:$B$85,"NO EXISTE",0)</f>
        <v>QTSSA012276</v>
      </c>
      <c r="B30" s="136" t="s">
        <v>67</v>
      </c>
      <c r="C30" s="146">
        <f t="shared" si="5"/>
        <v>7</v>
      </c>
      <c r="D30" s="146">
        <f t="shared" si="5"/>
        <v>5</v>
      </c>
      <c r="E30" s="146">
        <f t="shared" si="1"/>
        <v>16</v>
      </c>
      <c r="F30" s="146">
        <f t="shared" si="2"/>
        <v>34</v>
      </c>
      <c r="G30" s="141">
        <v>366</v>
      </c>
      <c r="H30" s="143">
        <v>284</v>
      </c>
      <c r="I30" s="145">
        <f t="shared" si="3"/>
        <v>7.32</v>
      </c>
      <c r="J30" s="147">
        <f t="shared" si="4"/>
        <v>5.68</v>
      </c>
      <c r="K30" s="141"/>
      <c r="L30" s="143"/>
    </row>
    <row r="31" spans="1:12" ht="21.75" x14ac:dyDescent="0.4">
      <c r="A31" s="135" t="str">
        <f>_xlfn.XLOOKUP(B31,'CLUES JS1'!$C$44:$C$85,'CLUES JS1'!$B$44:$B$85,"NO EXISTE",0)</f>
        <v>QTSSA012281</v>
      </c>
      <c r="B31" s="136" t="s">
        <v>68</v>
      </c>
      <c r="C31" s="146">
        <f t="shared" si="5"/>
        <v>7</v>
      </c>
      <c r="D31" s="146">
        <f t="shared" si="5"/>
        <v>5</v>
      </c>
      <c r="E31" s="146">
        <f t="shared" si="1"/>
        <v>16</v>
      </c>
      <c r="F31" s="146">
        <f t="shared" si="2"/>
        <v>34</v>
      </c>
      <c r="G31" s="141">
        <v>366</v>
      </c>
      <c r="H31" s="143">
        <v>284</v>
      </c>
      <c r="I31" s="145">
        <f t="shared" si="3"/>
        <v>7.32</v>
      </c>
      <c r="J31" s="147">
        <f t="shared" si="4"/>
        <v>5.68</v>
      </c>
      <c r="K31" s="141"/>
      <c r="L31" s="143"/>
    </row>
    <row r="32" spans="1:12" ht="21.75" x14ac:dyDescent="0.4">
      <c r="A32" s="135" t="str">
        <f>_xlfn.XLOOKUP(B32,'CLUES JS1'!$C$44:$C$85,'CLUES JS1'!$B$44:$B$85,"NO EXISTE",0)</f>
        <v>QTSSA012544</v>
      </c>
      <c r="B32" s="136" t="s">
        <v>255</v>
      </c>
      <c r="C32" s="146">
        <f t="shared" si="5"/>
        <v>7</v>
      </c>
      <c r="D32" s="146">
        <f t="shared" si="5"/>
        <v>5</v>
      </c>
      <c r="E32" s="146">
        <f t="shared" si="1"/>
        <v>16</v>
      </c>
      <c r="F32" s="146">
        <f t="shared" si="2"/>
        <v>34</v>
      </c>
      <c r="G32" s="141">
        <v>366</v>
      </c>
      <c r="H32" s="143">
        <v>284</v>
      </c>
      <c r="I32" s="145">
        <f t="shared" si="3"/>
        <v>7.32</v>
      </c>
      <c r="J32" s="147">
        <f t="shared" si="4"/>
        <v>5.68</v>
      </c>
      <c r="K32" s="141"/>
      <c r="L32" s="143"/>
    </row>
    <row r="33" spans="1:12" ht="21.75" x14ac:dyDescent="0.4">
      <c r="A33" s="135" t="str">
        <f>_xlfn.XLOOKUP(B33,'CLUES JS1'!$C$44:$C$85,'CLUES JS1'!$B$44:$B$85,"NO EXISTE",0)</f>
        <v>QTSSA012556</v>
      </c>
      <c r="B33" s="136" t="s">
        <v>70</v>
      </c>
      <c r="C33" s="146">
        <f t="shared" si="5"/>
        <v>5</v>
      </c>
      <c r="D33" s="146">
        <f t="shared" si="5"/>
        <v>3</v>
      </c>
      <c r="E33" s="146">
        <f t="shared" si="1"/>
        <v>38</v>
      </c>
      <c r="F33" s="146">
        <f t="shared" si="2"/>
        <v>32</v>
      </c>
      <c r="G33" s="141">
        <v>288</v>
      </c>
      <c r="H33" s="143">
        <v>182</v>
      </c>
      <c r="I33" s="145">
        <f t="shared" si="3"/>
        <v>5.76</v>
      </c>
      <c r="J33" s="147">
        <f t="shared" si="4"/>
        <v>3.64</v>
      </c>
      <c r="K33" s="141"/>
      <c r="L33" s="143"/>
    </row>
    <row r="34" spans="1:12" ht="21.75" x14ac:dyDescent="0.4">
      <c r="A34" s="135" t="str">
        <f>_xlfn.XLOOKUP(B34,'CLUES JS1'!$C$44:$C$85,'CLUES JS1'!$B$44:$B$85,"NO EXISTE",0)</f>
        <v>QTSSA012561</v>
      </c>
      <c r="B34" s="136" t="s">
        <v>258</v>
      </c>
      <c r="C34" s="146">
        <f t="shared" si="5"/>
        <v>4</v>
      </c>
      <c r="D34" s="146">
        <f t="shared" si="5"/>
        <v>3</v>
      </c>
      <c r="E34" s="146">
        <f t="shared" si="1"/>
        <v>41</v>
      </c>
      <c r="F34" s="146">
        <f t="shared" si="2"/>
        <v>19</v>
      </c>
      <c r="G34" s="141">
        <v>241</v>
      </c>
      <c r="H34" s="143">
        <v>169</v>
      </c>
      <c r="I34" s="145">
        <f t="shared" si="3"/>
        <v>4.82</v>
      </c>
      <c r="J34" s="147">
        <f t="shared" si="4"/>
        <v>3.38</v>
      </c>
      <c r="K34" s="141"/>
      <c r="L34" s="143"/>
    </row>
    <row r="35" spans="1:12" ht="21.75" x14ac:dyDescent="0.4">
      <c r="A35" s="135" t="str">
        <f>_xlfn.XLOOKUP(B35,'CLUES JS1'!$C$44:$C$85,'CLUES JS1'!$B$44:$B$85,"NO EXISTE",0)</f>
        <v>QTSSA012631</v>
      </c>
      <c r="B35" s="136" t="s">
        <v>73</v>
      </c>
      <c r="C35" s="146">
        <f t="shared" si="5"/>
        <v>4</v>
      </c>
      <c r="D35" s="146">
        <f t="shared" si="5"/>
        <v>3</v>
      </c>
      <c r="E35" s="146">
        <f t="shared" si="1"/>
        <v>33</v>
      </c>
      <c r="F35" s="146">
        <f t="shared" si="2"/>
        <v>27</v>
      </c>
      <c r="G35" s="141">
        <v>233</v>
      </c>
      <c r="H35" s="143">
        <v>177</v>
      </c>
      <c r="I35" s="145">
        <f t="shared" si="3"/>
        <v>4.66</v>
      </c>
      <c r="J35" s="147">
        <f t="shared" si="4"/>
        <v>3.54</v>
      </c>
      <c r="K35" s="141"/>
      <c r="L35" s="143"/>
    </row>
    <row r="36" spans="1:12" ht="21.75" x14ac:dyDescent="0.4">
      <c r="A36" s="135" t="str">
        <f>_xlfn.XLOOKUP(B36,'CLUES JS1'!$C$44:$C$85,'CLUES JS1'!$B$44:$B$85,"NO EXISTE",0)</f>
        <v>QTSSA012655</v>
      </c>
      <c r="B36" s="136" t="s">
        <v>51</v>
      </c>
      <c r="C36" s="146">
        <f t="shared" si="5"/>
        <v>20</v>
      </c>
      <c r="D36" s="146">
        <f t="shared" si="5"/>
        <v>18</v>
      </c>
      <c r="E36" s="146">
        <f t="shared" si="1"/>
        <v>14</v>
      </c>
      <c r="F36" s="146">
        <f t="shared" si="2"/>
        <v>46</v>
      </c>
      <c r="G36" s="141">
        <v>1014</v>
      </c>
      <c r="H36" s="143">
        <v>946</v>
      </c>
      <c r="I36" s="145">
        <f t="shared" si="3"/>
        <v>20.28</v>
      </c>
      <c r="J36" s="147">
        <f t="shared" si="4"/>
        <v>18.920000000000002</v>
      </c>
      <c r="K36" s="141"/>
      <c r="L36" s="143"/>
    </row>
    <row r="37" spans="1:12" ht="21.75" x14ac:dyDescent="0.4">
      <c r="A37" s="135" t="str">
        <f>_xlfn.XLOOKUP(B37,'CLUES JS1'!$C$44:$C$85,'CLUES JS1'!$B$44:$B$85,"NO EXISTE",0)</f>
        <v>QTSSA012923</v>
      </c>
      <c r="B37" s="136" t="s">
        <v>52</v>
      </c>
      <c r="C37" s="146">
        <f t="shared" si="5"/>
        <v>50</v>
      </c>
      <c r="D37" s="146">
        <f t="shared" si="5"/>
        <v>47</v>
      </c>
      <c r="E37" s="146">
        <f t="shared" si="1"/>
        <v>35</v>
      </c>
      <c r="F37" s="146">
        <f t="shared" si="2"/>
        <v>35</v>
      </c>
      <c r="G37" s="141">
        <v>2535</v>
      </c>
      <c r="H37" s="143">
        <v>2385</v>
      </c>
      <c r="I37" s="145">
        <f t="shared" si="3"/>
        <v>50.7</v>
      </c>
      <c r="J37" s="147">
        <f t="shared" si="4"/>
        <v>47.7</v>
      </c>
      <c r="K37" s="141"/>
      <c r="L37" s="143"/>
    </row>
    <row r="38" spans="1:12" ht="21.75" x14ac:dyDescent="0.4">
      <c r="A38" s="135" t="str">
        <f>_xlfn.XLOOKUP(B38,'CLUES JS1'!$C$44:$C$85,'CLUES JS1'!$B$44:$B$85,"NO EXISTE",0)</f>
        <v>QTSSA012976</v>
      </c>
      <c r="B38" s="136" t="s">
        <v>53</v>
      </c>
      <c r="C38" s="146">
        <f t="shared" si="5"/>
        <v>20</v>
      </c>
      <c r="D38" s="146">
        <f t="shared" si="5"/>
        <v>19</v>
      </c>
      <c r="E38" s="146">
        <f t="shared" si="1"/>
        <v>32</v>
      </c>
      <c r="F38" s="146">
        <f t="shared" si="2"/>
        <v>48</v>
      </c>
      <c r="G38" s="141">
        <v>1032</v>
      </c>
      <c r="H38" s="143">
        <v>998</v>
      </c>
      <c r="I38" s="145">
        <f t="shared" si="3"/>
        <v>20.64</v>
      </c>
      <c r="J38" s="147">
        <f t="shared" si="4"/>
        <v>19.96</v>
      </c>
      <c r="K38" s="141"/>
      <c r="L38" s="143"/>
    </row>
    <row r="39" spans="1:12" ht="22.5" thickBot="1" x14ac:dyDescent="0.45">
      <c r="A39" s="137" t="str">
        <f>_xlfn.XLOOKUP(B39,'CLUES JS1'!$C$44:$C$85,'CLUES JS1'!$B$44:$B$85,"NO EXISTE",0)</f>
        <v>QTSSA012982</v>
      </c>
      <c r="B39" s="138" t="s">
        <v>273</v>
      </c>
      <c r="C39" s="146">
        <f t="shared" si="5"/>
        <v>52</v>
      </c>
      <c r="D39" s="146">
        <f t="shared" si="5"/>
        <v>48</v>
      </c>
      <c r="E39" s="146">
        <f t="shared" si="1"/>
        <v>6</v>
      </c>
      <c r="F39" s="146">
        <f t="shared" si="2"/>
        <v>44</v>
      </c>
      <c r="G39" s="142">
        <v>2606</v>
      </c>
      <c r="H39" s="144">
        <v>2444</v>
      </c>
      <c r="I39" s="145">
        <f t="shared" si="3"/>
        <v>52.12</v>
      </c>
      <c r="J39" s="147">
        <f t="shared" si="4"/>
        <v>48.88</v>
      </c>
      <c r="K39" s="142"/>
      <c r="L39" s="144"/>
    </row>
  </sheetData>
  <sortState xmlns:xlrd2="http://schemas.microsoft.com/office/spreadsheetml/2017/richdata2" ref="A2:H39">
    <sortCondition ref="A1:A39"/>
  </sortState>
  <printOptions horizontalCentered="1" verticalCentered="1"/>
  <pageMargins left="0.31496062992125984" right="0.31496062992125984" top="0.15748031496062992" bottom="0.15748031496062992" header="0.31496062992125984" footer="0.31496062992125984"/>
  <pageSetup scale="45" orientation="portrait" horizontalDpi="12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7229-5A7B-4B8B-B83A-8E2C3B3D46D3}">
  <sheetPr>
    <pageSetUpPr fitToPage="1"/>
  </sheetPr>
  <dimension ref="A1:G9"/>
  <sheetViews>
    <sheetView workbookViewId="0">
      <selection activeCell="C85" sqref="C85"/>
    </sheetView>
  </sheetViews>
  <sheetFormatPr baseColWidth="10" defaultRowHeight="15" x14ac:dyDescent="0.25"/>
  <cols>
    <col min="1" max="1" width="17.42578125" bestFit="1" customWidth="1"/>
    <col min="2" max="2" width="30" bestFit="1" customWidth="1"/>
    <col min="3" max="4" width="20.7109375" customWidth="1"/>
    <col min="5" max="6" width="15.7109375" customWidth="1"/>
    <col min="7" max="7" width="26.7109375" customWidth="1"/>
  </cols>
  <sheetData>
    <row r="1" spans="1:7" ht="66" thickBot="1" x14ac:dyDescent="0.3">
      <c r="A1" s="148" t="s">
        <v>100</v>
      </c>
      <c r="B1" s="149" t="s">
        <v>99</v>
      </c>
      <c r="C1" s="150" t="s">
        <v>295</v>
      </c>
      <c r="D1" s="151" t="s">
        <v>295</v>
      </c>
      <c r="E1" s="152" t="s">
        <v>293</v>
      </c>
      <c r="F1" s="153" t="s">
        <v>292</v>
      </c>
      <c r="G1" s="154" t="s">
        <v>296</v>
      </c>
    </row>
    <row r="2" spans="1:7" s="172" customFormat="1" ht="67.5" customHeight="1" x14ac:dyDescent="0.25">
      <c r="A2" s="157" t="str">
        <f>_xlfn.XLOOKUP(B2,'CLUES JS1'!$C$44:$C$85,'CLUES JS1'!$B$44:$B$85,"NO EXISTE",0)</f>
        <v>QTSSA001810</v>
      </c>
      <c r="B2" s="158" t="s">
        <v>39</v>
      </c>
      <c r="C2" s="159">
        <v>6</v>
      </c>
      <c r="D2" s="160">
        <v>8</v>
      </c>
      <c r="E2" s="161">
        <v>33</v>
      </c>
      <c r="F2" s="162">
        <v>7</v>
      </c>
      <c r="G2" s="163"/>
    </row>
    <row r="3" spans="1:7" s="172" customFormat="1" ht="67.5" customHeight="1" x14ac:dyDescent="0.25">
      <c r="A3" s="157" t="str">
        <f>_xlfn.XLOOKUP(B3,'CLUES JS1'!$C$44:$C$85,'CLUES JS1'!$B$44:$B$85,"NO EXISTE",0)</f>
        <v>QTSSA001851</v>
      </c>
      <c r="B3" s="158" t="s">
        <v>43</v>
      </c>
      <c r="C3" s="159">
        <v>12</v>
      </c>
      <c r="D3" s="160">
        <v>12</v>
      </c>
      <c r="E3" s="161">
        <v>2</v>
      </c>
      <c r="F3" s="162">
        <v>38</v>
      </c>
      <c r="G3" s="163"/>
    </row>
    <row r="4" spans="1:7" s="172" customFormat="1" ht="67.5" customHeight="1" x14ac:dyDescent="0.25">
      <c r="A4" s="157" t="str">
        <f>_xlfn.XLOOKUP(B4,'CLUES JS1'!$C$44:$C$85,'CLUES JS1'!$B$44:$B$85,"NO EXISTE",0)</f>
        <v>QTSSA002522</v>
      </c>
      <c r="B4" s="158" t="s">
        <v>47</v>
      </c>
      <c r="C4" s="159">
        <v>34</v>
      </c>
      <c r="D4" s="160">
        <v>20</v>
      </c>
      <c r="E4" s="161">
        <v>23</v>
      </c>
      <c r="F4" s="162">
        <v>37</v>
      </c>
      <c r="G4" s="163"/>
    </row>
    <row r="5" spans="1:7" s="172" customFormat="1" ht="67.5" customHeight="1" x14ac:dyDescent="0.25">
      <c r="A5" s="157" t="str">
        <f>_xlfn.XLOOKUP(B5,'CLUES JS1'!$C$44:$C$85,'CLUES JS1'!$B$44:$B$85,"NO EXISTE",0)</f>
        <v>QTSSA002534</v>
      </c>
      <c r="B5" s="158" t="s">
        <v>48</v>
      </c>
      <c r="C5" s="159">
        <v>34</v>
      </c>
      <c r="D5" s="160">
        <v>21</v>
      </c>
      <c r="E5" s="161">
        <v>40</v>
      </c>
      <c r="F5" s="162">
        <v>20</v>
      </c>
      <c r="G5" s="163"/>
    </row>
    <row r="6" spans="1:7" s="172" customFormat="1" ht="67.5" customHeight="1" x14ac:dyDescent="0.25">
      <c r="A6" s="157" t="str">
        <f>_xlfn.XLOOKUP(B6,'CLUES JS1'!$C$44:$C$85,'CLUES JS1'!$B$44:$B$85,"NO EXISTE",0)</f>
        <v>QTSSA002703</v>
      </c>
      <c r="B6" s="158" t="s">
        <v>49</v>
      </c>
      <c r="C6" s="159">
        <v>8</v>
      </c>
      <c r="D6" s="160">
        <v>13</v>
      </c>
      <c r="E6" s="161">
        <v>38</v>
      </c>
      <c r="F6" s="162">
        <v>22</v>
      </c>
      <c r="G6" s="163"/>
    </row>
    <row r="7" spans="1:7" s="172" customFormat="1" ht="67.5" customHeight="1" x14ac:dyDescent="0.25">
      <c r="A7" s="157" t="str">
        <f>_xlfn.XLOOKUP(B7,'CLUES JS1'!$C$44:$C$85,'CLUES JS1'!$B$44:$B$85,"NO EXISTE",0)</f>
        <v>QTSSA012240</v>
      </c>
      <c r="B7" s="158" t="s">
        <v>50</v>
      </c>
      <c r="C7" s="159">
        <v>13</v>
      </c>
      <c r="D7" s="160">
        <v>47</v>
      </c>
      <c r="E7" s="161">
        <v>9</v>
      </c>
      <c r="F7" s="162">
        <v>41</v>
      </c>
      <c r="G7" s="163"/>
    </row>
    <row r="8" spans="1:7" s="172" customFormat="1" ht="67.5" customHeight="1" x14ac:dyDescent="0.25">
      <c r="A8" s="157" t="str">
        <f>_xlfn.XLOOKUP(B8,'CLUES JS1'!$C$44:$C$85,'CLUES JS1'!$B$44:$B$85,"NO EXISTE",0)</f>
        <v>QTSSA012923</v>
      </c>
      <c r="B8" s="158" t="s">
        <v>52</v>
      </c>
      <c r="C8" s="159">
        <v>50</v>
      </c>
      <c r="D8" s="160">
        <v>47</v>
      </c>
      <c r="E8" s="161">
        <v>35</v>
      </c>
      <c r="F8" s="162">
        <v>35</v>
      </c>
      <c r="G8" s="163"/>
    </row>
    <row r="9" spans="1:7" s="172" customFormat="1" ht="67.5" customHeight="1" x14ac:dyDescent="0.25">
      <c r="A9" s="157" t="str">
        <f>_xlfn.XLOOKUP(B9,'CLUES JS1'!$C$44:$C$85,'CLUES JS1'!$B$44:$B$85,"NO EXISTE",0)</f>
        <v>QTSSA012976</v>
      </c>
      <c r="B9" s="158" t="s">
        <v>53</v>
      </c>
      <c r="C9" s="159">
        <v>20</v>
      </c>
      <c r="D9" s="160">
        <v>19</v>
      </c>
      <c r="E9" s="161">
        <v>32</v>
      </c>
      <c r="F9" s="162">
        <v>48</v>
      </c>
      <c r="G9" s="163"/>
    </row>
  </sheetData>
  <printOptions horizontalCentered="1" verticalCentered="1"/>
  <pageMargins left="0.11811023622047245" right="0.11811023622047245" top="0.15748031496062992" bottom="0.15748031496062992" header="0.31496062992125984" footer="0.31496062992125984"/>
  <pageSetup scale="92" orientation="landscape" horizontalDpi="12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1FB0-3AD6-4087-A369-612B1F00CAAD}">
  <sheetPr>
    <pageSetUpPr fitToPage="1"/>
  </sheetPr>
  <dimension ref="A1:G9"/>
  <sheetViews>
    <sheetView workbookViewId="0">
      <selection activeCell="C85" sqref="C85"/>
    </sheetView>
  </sheetViews>
  <sheetFormatPr baseColWidth="10" defaultRowHeight="15" x14ac:dyDescent="0.25"/>
  <cols>
    <col min="1" max="1" width="17.42578125" bestFit="1" customWidth="1"/>
    <col min="2" max="2" width="30" bestFit="1" customWidth="1"/>
    <col min="3" max="4" width="20.7109375" customWidth="1"/>
    <col min="5" max="6" width="15.7109375" customWidth="1"/>
    <col min="7" max="7" width="26.7109375" customWidth="1"/>
  </cols>
  <sheetData>
    <row r="1" spans="1:7" ht="66" thickBot="1" x14ac:dyDescent="0.3">
      <c r="A1" s="148" t="s">
        <v>100</v>
      </c>
      <c r="B1" s="149" t="s">
        <v>99</v>
      </c>
      <c r="C1" s="150" t="s">
        <v>295</v>
      </c>
      <c r="D1" s="151" t="s">
        <v>295</v>
      </c>
      <c r="E1" s="152" t="s">
        <v>293</v>
      </c>
      <c r="F1" s="153" t="s">
        <v>292</v>
      </c>
      <c r="G1" s="154" t="s">
        <v>296</v>
      </c>
    </row>
    <row r="2" spans="1:7" s="171" customFormat="1" ht="67.5" customHeight="1" x14ac:dyDescent="0.25">
      <c r="A2" s="157" t="str">
        <f>_xlfn.XLOOKUP(B2,'CLUES JS1'!$C$44:$C$85,'CLUES JS1'!$B$44:$B$85,"NO EXISTE",0)</f>
        <v>QTSSA001904</v>
      </c>
      <c r="B2" s="158" t="s">
        <v>59</v>
      </c>
      <c r="C2" s="159">
        <v>4</v>
      </c>
      <c r="D2" s="160">
        <v>6</v>
      </c>
      <c r="E2" s="161">
        <v>39</v>
      </c>
      <c r="F2" s="162">
        <v>11</v>
      </c>
      <c r="G2" s="163"/>
    </row>
    <row r="3" spans="1:7" s="171" customFormat="1" ht="67.5" customHeight="1" x14ac:dyDescent="0.25">
      <c r="A3" s="157" t="str">
        <f>_xlfn.XLOOKUP(B3,'CLUES JS1'!$C$44:$C$85,'CLUES JS1'!$B$44:$B$85,"NO EXISTE",0)</f>
        <v>QTSSA001916</v>
      </c>
      <c r="B3" s="158" t="s">
        <v>60</v>
      </c>
      <c r="C3" s="159">
        <v>10</v>
      </c>
      <c r="D3" s="160">
        <v>6</v>
      </c>
      <c r="E3" s="161">
        <v>39</v>
      </c>
      <c r="F3" s="162">
        <v>31</v>
      </c>
      <c r="G3" s="163"/>
    </row>
    <row r="4" spans="1:7" s="171" customFormat="1" ht="67.5" customHeight="1" x14ac:dyDescent="0.25">
      <c r="A4" s="157" t="str">
        <f>_xlfn.XLOOKUP(B4,'CLUES JS1'!$C$44:$C$85,'CLUES JS1'!$B$44:$B$85,"NO EXISTE",0)</f>
        <v>QTSSA001921</v>
      </c>
      <c r="B4" s="158" t="s">
        <v>61</v>
      </c>
      <c r="C4" s="159">
        <v>6</v>
      </c>
      <c r="D4" s="160">
        <v>6</v>
      </c>
      <c r="E4" s="161">
        <v>49</v>
      </c>
      <c r="F4" s="162">
        <v>41</v>
      </c>
      <c r="G4" s="163"/>
    </row>
    <row r="5" spans="1:7" s="171" customFormat="1" ht="67.5" customHeight="1" x14ac:dyDescent="0.25">
      <c r="A5" s="157" t="str">
        <f>_xlfn.XLOOKUP(B5,'CLUES JS1'!$C$44:$C$85,'CLUES JS1'!$B$44:$B$85,"NO EXISTE",0)</f>
        <v>QTSSA001945</v>
      </c>
      <c r="B5" s="158" t="s">
        <v>62</v>
      </c>
      <c r="C5" s="159">
        <v>7</v>
      </c>
      <c r="D5" s="160">
        <v>5</v>
      </c>
      <c r="E5" s="161">
        <v>36</v>
      </c>
      <c r="F5" s="162">
        <v>44</v>
      </c>
      <c r="G5" s="163"/>
    </row>
    <row r="6" spans="1:7" s="171" customFormat="1" ht="67.5" customHeight="1" x14ac:dyDescent="0.25">
      <c r="A6" s="157" t="str">
        <f>_xlfn.XLOOKUP(B6,'CLUES JS1'!$C$44:$C$85,'CLUES JS1'!$B$44:$B$85,"NO EXISTE",0)</f>
        <v>QTSSA001962</v>
      </c>
      <c r="B6" s="158" t="s">
        <v>63</v>
      </c>
      <c r="C6" s="159">
        <v>7</v>
      </c>
      <c r="D6" s="160">
        <v>7</v>
      </c>
      <c r="E6" s="161">
        <v>39</v>
      </c>
      <c r="F6" s="162">
        <v>21</v>
      </c>
      <c r="G6" s="163"/>
    </row>
    <row r="7" spans="1:7" s="171" customFormat="1" ht="67.5" customHeight="1" x14ac:dyDescent="0.25">
      <c r="A7" s="157" t="str">
        <f>_xlfn.XLOOKUP(B7,'CLUES JS1'!$C$44:$C$85,'CLUES JS1'!$B$44:$B$85,"NO EXISTE",0)</f>
        <v>QTSSA002003</v>
      </c>
      <c r="B7" s="158" t="s">
        <v>64</v>
      </c>
      <c r="C7" s="159">
        <v>8</v>
      </c>
      <c r="D7" s="160">
        <v>6</v>
      </c>
      <c r="E7" s="161">
        <v>42</v>
      </c>
      <c r="F7" s="162">
        <v>48</v>
      </c>
      <c r="G7" s="163"/>
    </row>
    <row r="8" spans="1:7" s="171" customFormat="1" ht="67.5" customHeight="1" x14ac:dyDescent="0.25">
      <c r="A8" s="157" t="str">
        <f>_xlfn.XLOOKUP(B8,'CLUES JS1'!$C$44:$C$85,'CLUES JS1'!$B$44:$B$85,"NO EXISTE",0)</f>
        <v>QTSSA003715</v>
      </c>
      <c r="B8" s="158" t="s">
        <v>66</v>
      </c>
      <c r="C8" s="159">
        <v>8</v>
      </c>
      <c r="D8" s="160">
        <v>8</v>
      </c>
      <c r="E8" s="161">
        <v>46</v>
      </c>
      <c r="F8" s="162">
        <v>4</v>
      </c>
      <c r="G8" s="163"/>
    </row>
    <row r="9" spans="1:7" s="171" customFormat="1" ht="67.5" customHeight="1" x14ac:dyDescent="0.25">
      <c r="A9" s="157" t="str">
        <f>_xlfn.XLOOKUP(B9,'CLUES JS1'!$C$44:$C$85,'CLUES JS1'!$B$44:$B$85,"NO EXISTE",0)</f>
        <v>QTSSA012655</v>
      </c>
      <c r="B9" s="158" t="s">
        <v>51</v>
      </c>
      <c r="C9" s="159">
        <v>20</v>
      </c>
      <c r="D9" s="160">
        <v>18</v>
      </c>
      <c r="E9" s="161">
        <v>14</v>
      </c>
      <c r="F9" s="162">
        <v>46</v>
      </c>
      <c r="G9" s="163"/>
    </row>
  </sheetData>
  <printOptions horizontalCentered="1" verticalCentered="1"/>
  <pageMargins left="0.11811023622047245" right="0.11811023622047245" top="0.15748031496062992" bottom="0.15748031496062992" header="0.31496062992125984" footer="0.31496062992125984"/>
  <pageSetup scale="92" orientation="landscape" horizontalDpi="12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7A83-685E-49D0-9FA2-12595A55D76F}">
  <sheetPr>
    <pageSetUpPr fitToPage="1"/>
  </sheetPr>
  <dimension ref="A1:G9"/>
  <sheetViews>
    <sheetView workbookViewId="0">
      <selection activeCell="C85" sqref="C85"/>
    </sheetView>
  </sheetViews>
  <sheetFormatPr baseColWidth="10" defaultRowHeight="15" x14ac:dyDescent="0.25"/>
  <cols>
    <col min="1" max="1" width="17.42578125" style="155" bestFit="1" customWidth="1"/>
    <col min="2" max="2" width="30" style="155" bestFit="1" customWidth="1"/>
    <col min="3" max="4" width="20.7109375" style="155" customWidth="1"/>
    <col min="5" max="6" width="15.7109375" style="155" customWidth="1"/>
    <col min="7" max="7" width="26.7109375" style="155" customWidth="1"/>
    <col min="8" max="16384" width="11.42578125" style="155"/>
  </cols>
  <sheetData>
    <row r="1" spans="1:7" ht="66" thickBot="1" x14ac:dyDescent="0.3">
      <c r="A1" s="148" t="s">
        <v>100</v>
      </c>
      <c r="B1" s="149" t="s">
        <v>99</v>
      </c>
      <c r="C1" s="150" t="s">
        <v>295</v>
      </c>
      <c r="D1" s="151" t="s">
        <v>295</v>
      </c>
      <c r="E1" s="152" t="s">
        <v>293</v>
      </c>
      <c r="F1" s="153" t="s">
        <v>292</v>
      </c>
      <c r="G1" s="154" t="s">
        <v>296</v>
      </c>
    </row>
    <row r="2" spans="1:7" ht="67.5" customHeight="1" x14ac:dyDescent="0.25">
      <c r="A2" s="157" t="str">
        <f>_xlfn.XLOOKUP(B2,'CLUES JS1'!$C$44:$C$85,'CLUES JS1'!$B$44:$B$85,"NO EXISTE",0)</f>
        <v>QTSSA001793</v>
      </c>
      <c r="B2" s="158" t="s">
        <v>38</v>
      </c>
      <c r="C2" s="159">
        <v>16</v>
      </c>
      <c r="D2" s="160">
        <v>11</v>
      </c>
      <c r="E2" s="161">
        <v>46</v>
      </c>
      <c r="F2" s="162">
        <v>24</v>
      </c>
      <c r="G2" s="163"/>
    </row>
    <row r="3" spans="1:7" ht="67.5" customHeight="1" x14ac:dyDescent="0.25">
      <c r="A3" s="157" t="str">
        <f>_xlfn.XLOOKUP(B3,'CLUES JS1'!$C$44:$C$85,'CLUES JS1'!$B$44:$B$85,"NO EXISTE",0)</f>
        <v>QTSSA001822</v>
      </c>
      <c r="B3" s="158" t="s">
        <v>40</v>
      </c>
      <c r="C3" s="159">
        <v>8</v>
      </c>
      <c r="D3" s="160">
        <v>7</v>
      </c>
      <c r="E3" s="161">
        <v>46</v>
      </c>
      <c r="F3" s="162">
        <v>4</v>
      </c>
      <c r="G3" s="163"/>
    </row>
    <row r="4" spans="1:7" ht="67.5" customHeight="1" x14ac:dyDescent="0.25">
      <c r="A4" s="157" t="str">
        <f>_xlfn.XLOOKUP(B4,'CLUES JS1'!$C$44:$C$85,'CLUES JS1'!$B$44:$B$85,"NO EXISTE",0)</f>
        <v>QTSSA001834</v>
      </c>
      <c r="B4" s="158" t="s">
        <v>41</v>
      </c>
      <c r="C4" s="159">
        <v>11</v>
      </c>
      <c r="D4" s="160">
        <v>9</v>
      </c>
      <c r="E4" s="161">
        <v>36</v>
      </c>
      <c r="F4" s="162">
        <v>24</v>
      </c>
      <c r="G4" s="163"/>
    </row>
    <row r="5" spans="1:7" ht="67.5" customHeight="1" x14ac:dyDescent="0.25">
      <c r="A5" s="157" t="str">
        <f>_xlfn.XLOOKUP(B5,'CLUES JS1'!$C$44:$C$85,'CLUES JS1'!$B$44:$B$85,"NO EXISTE",0)</f>
        <v>QTSSA001846</v>
      </c>
      <c r="B5" s="158" t="s">
        <v>217</v>
      </c>
      <c r="C5" s="159">
        <v>11</v>
      </c>
      <c r="D5" s="160">
        <v>11</v>
      </c>
      <c r="E5" s="161">
        <v>32</v>
      </c>
      <c r="F5" s="162">
        <v>18</v>
      </c>
      <c r="G5" s="163"/>
    </row>
    <row r="6" spans="1:7" ht="67.5" customHeight="1" x14ac:dyDescent="0.25">
      <c r="A6" s="157" t="str">
        <f>_xlfn.XLOOKUP(B6,'CLUES JS1'!$C$44:$C$85,'CLUES JS1'!$B$44:$B$85,"NO EXISTE",0)</f>
        <v>QTSSA001974</v>
      </c>
      <c r="B6" s="158" t="s">
        <v>45</v>
      </c>
      <c r="C6" s="159">
        <v>10</v>
      </c>
      <c r="D6" s="160">
        <v>7</v>
      </c>
      <c r="E6" s="161">
        <v>17</v>
      </c>
      <c r="F6" s="162">
        <v>23</v>
      </c>
      <c r="G6" s="163"/>
    </row>
    <row r="7" spans="1:7" ht="67.5" customHeight="1" x14ac:dyDescent="0.25">
      <c r="A7" s="157" t="str">
        <f>_xlfn.XLOOKUP(B7,'CLUES JS1'!$C$44:$C$85,'CLUES JS1'!$B$44:$B$85,"NO EXISTE",0)</f>
        <v>QTSSA002015</v>
      </c>
      <c r="B7" s="158" t="s">
        <v>65</v>
      </c>
      <c r="C7" s="159">
        <v>4</v>
      </c>
      <c r="D7" s="160">
        <v>3</v>
      </c>
      <c r="E7" s="161">
        <v>28</v>
      </c>
      <c r="F7" s="162">
        <v>32</v>
      </c>
      <c r="G7" s="163"/>
    </row>
    <row r="8" spans="1:7" ht="67.5" customHeight="1" x14ac:dyDescent="0.25">
      <c r="A8" s="157" t="str">
        <f>_xlfn.XLOOKUP(B8,'CLUES JS1'!$C$44:$C$85,'CLUES JS1'!$B$44:$B$85,"NO EXISTE",0)</f>
        <v>QTSSA002020</v>
      </c>
      <c r="B8" s="158" t="s">
        <v>46</v>
      </c>
      <c r="C8" s="159">
        <v>8</v>
      </c>
      <c r="D8" s="160">
        <v>9</v>
      </c>
      <c r="E8" s="161">
        <v>42</v>
      </c>
      <c r="F8" s="162">
        <v>18</v>
      </c>
      <c r="G8" s="163"/>
    </row>
    <row r="9" spans="1:7" ht="67.5" customHeight="1" thickBot="1" x14ac:dyDescent="0.3">
      <c r="A9" s="164" t="str">
        <f>_xlfn.XLOOKUP(B9,'CLUES JS1'!$C$44:$C$85,'CLUES JS1'!$B$44:$B$85,"NO EXISTE",0)</f>
        <v>QTSSA012982</v>
      </c>
      <c r="B9" s="165" t="s">
        <v>273</v>
      </c>
      <c r="C9" s="167">
        <v>52</v>
      </c>
      <c r="D9" s="168">
        <v>48</v>
      </c>
      <c r="E9" s="169">
        <v>6</v>
      </c>
      <c r="F9" s="170">
        <v>44</v>
      </c>
      <c r="G9" s="166"/>
    </row>
  </sheetData>
  <printOptions horizontalCentered="1" verticalCentered="1"/>
  <pageMargins left="0.11811023622047245" right="0.11811023622047245" top="0.15748031496062992" bottom="0.15748031496062992" header="0.31496062992125984" footer="0.31496062992125984"/>
  <pageSetup scale="92" orientation="landscape" horizontalDpi="12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065A-0158-4CE1-8704-15198BB80C91}">
  <sheetPr>
    <pageSetUpPr fitToPage="1"/>
  </sheetPr>
  <dimension ref="A1:G12"/>
  <sheetViews>
    <sheetView workbookViewId="0">
      <selection activeCell="C85" sqref="C85"/>
    </sheetView>
  </sheetViews>
  <sheetFormatPr baseColWidth="10" defaultRowHeight="15" x14ac:dyDescent="0.25"/>
  <cols>
    <col min="1" max="1" width="17.42578125" style="155" bestFit="1" customWidth="1"/>
    <col min="2" max="2" width="30" style="155" bestFit="1" customWidth="1"/>
    <col min="3" max="4" width="20.7109375" style="155" customWidth="1"/>
    <col min="5" max="6" width="15.7109375" style="155" customWidth="1"/>
    <col min="7" max="7" width="26.7109375" style="155" customWidth="1"/>
    <col min="8" max="16384" width="11.42578125" style="155"/>
  </cols>
  <sheetData>
    <row r="1" spans="1:7" ht="66" thickBot="1" x14ac:dyDescent="0.3">
      <c r="A1" s="148" t="s">
        <v>100</v>
      </c>
      <c r="B1" s="149" t="s">
        <v>99</v>
      </c>
      <c r="C1" s="150" t="s">
        <v>295</v>
      </c>
      <c r="D1" s="151" t="s">
        <v>295</v>
      </c>
      <c r="E1" s="152" t="s">
        <v>293</v>
      </c>
      <c r="F1" s="153" t="s">
        <v>292</v>
      </c>
      <c r="G1" s="154" t="s">
        <v>296</v>
      </c>
    </row>
    <row r="2" spans="1:7" ht="70.5" customHeight="1" x14ac:dyDescent="0.25">
      <c r="A2" s="157" t="s">
        <v>211</v>
      </c>
      <c r="B2" s="158" t="s">
        <v>291</v>
      </c>
      <c r="C2" s="159">
        <v>0</v>
      </c>
      <c r="D2" s="160">
        <v>4</v>
      </c>
      <c r="E2" s="161">
        <v>0</v>
      </c>
      <c r="F2" s="162">
        <v>0</v>
      </c>
      <c r="G2" s="156"/>
    </row>
    <row r="3" spans="1:7" ht="70.5" customHeight="1" x14ac:dyDescent="0.25">
      <c r="A3" s="157" t="str">
        <f>_xlfn.XLOOKUP(B3,'CLUES JS1'!$C$44:$C$85,'CLUES JS1'!$B$44:$B$85,"NO EXISTE",0)</f>
        <v>QTSSA003553</v>
      </c>
      <c r="B3" s="158" t="s">
        <v>245</v>
      </c>
      <c r="C3" s="159">
        <v>5</v>
      </c>
      <c r="D3" s="160">
        <v>3</v>
      </c>
      <c r="E3" s="161">
        <v>44</v>
      </c>
      <c r="F3" s="162">
        <v>36</v>
      </c>
      <c r="G3" s="156"/>
    </row>
    <row r="4" spans="1:7" ht="70.5" customHeight="1" x14ac:dyDescent="0.25">
      <c r="A4" s="157" t="str">
        <f>_xlfn.XLOOKUP(B4,'CLUES JS1'!$C$44:$C$85,'CLUES JS1'!$B$44:$B$85,"NO EXISTE",0)</f>
        <v>QTSSA003562</v>
      </c>
      <c r="B4" s="158" t="s">
        <v>247</v>
      </c>
      <c r="C4" s="159">
        <v>1</v>
      </c>
      <c r="D4" s="160">
        <v>2</v>
      </c>
      <c r="E4" s="161">
        <v>8</v>
      </c>
      <c r="F4" s="162">
        <v>42</v>
      </c>
      <c r="G4" s="156"/>
    </row>
    <row r="5" spans="1:7" ht="70.5" customHeight="1" x14ac:dyDescent="0.25">
      <c r="A5" s="157" t="str">
        <f>_xlfn.XLOOKUP(B5,'CLUES JS1'!$C$44:$C$85,'CLUES JS1'!$B$44:$B$85,"NO EXISTE",0)</f>
        <v>QTSSA003595</v>
      </c>
      <c r="B5" s="158" t="s">
        <v>97</v>
      </c>
      <c r="C5" s="159">
        <v>4</v>
      </c>
      <c r="D5" s="160">
        <v>3</v>
      </c>
      <c r="E5" s="161">
        <v>31</v>
      </c>
      <c r="F5" s="162">
        <v>29</v>
      </c>
      <c r="G5" s="156"/>
    </row>
    <row r="6" spans="1:7" ht="70.5" customHeight="1" x14ac:dyDescent="0.25">
      <c r="A6" s="157" t="str">
        <f>_xlfn.XLOOKUP(B6,'CLUES JS1'!$C$44:$C$85,'CLUES JS1'!$B$44:$B$85,"NO EXISTE",0)</f>
        <v>QTSSA003604</v>
      </c>
      <c r="B6" s="158" t="s">
        <v>96</v>
      </c>
      <c r="C6" s="159">
        <v>4</v>
      </c>
      <c r="D6" s="160">
        <v>3</v>
      </c>
      <c r="E6" s="161">
        <v>31</v>
      </c>
      <c r="F6" s="162">
        <v>29</v>
      </c>
      <c r="G6" s="156"/>
    </row>
    <row r="7" spans="1:7" ht="70.5" customHeight="1" x14ac:dyDescent="0.25">
      <c r="A7" s="157" t="str">
        <f>_xlfn.XLOOKUP(B7,'CLUES JS1'!$C$44:$C$85,'CLUES JS1'!$B$44:$B$85,"NO EXISTE",0)</f>
        <v>QTSSA012276</v>
      </c>
      <c r="B7" s="158" t="s">
        <v>67</v>
      </c>
      <c r="C7" s="159">
        <v>7</v>
      </c>
      <c r="D7" s="160">
        <v>5</v>
      </c>
      <c r="E7" s="161">
        <v>16</v>
      </c>
      <c r="F7" s="162">
        <v>34</v>
      </c>
      <c r="G7" s="156"/>
    </row>
    <row r="8" spans="1:7" ht="70.5" customHeight="1" x14ac:dyDescent="0.25">
      <c r="A8" s="157" t="str">
        <f>_xlfn.XLOOKUP(B8,'CLUES JS1'!$C$44:$C$85,'CLUES JS1'!$B$44:$B$85,"NO EXISTE",0)</f>
        <v>QTSSA012281</v>
      </c>
      <c r="B8" s="158" t="s">
        <v>68</v>
      </c>
      <c r="C8" s="159">
        <v>7</v>
      </c>
      <c r="D8" s="160">
        <v>5</v>
      </c>
      <c r="E8" s="161">
        <v>16</v>
      </c>
      <c r="F8" s="162">
        <v>34</v>
      </c>
      <c r="G8" s="156"/>
    </row>
    <row r="9" spans="1:7" ht="70.5" customHeight="1" x14ac:dyDescent="0.25">
      <c r="A9" s="157" t="str">
        <f>_xlfn.XLOOKUP(B9,'CLUES JS1'!$C$44:$C$85,'CLUES JS1'!$B$44:$B$85,"NO EXISTE",0)</f>
        <v>QTSSA012544</v>
      </c>
      <c r="B9" s="158" t="s">
        <v>255</v>
      </c>
      <c r="C9" s="159">
        <v>7</v>
      </c>
      <c r="D9" s="160">
        <v>5</v>
      </c>
      <c r="E9" s="161">
        <v>16</v>
      </c>
      <c r="F9" s="162">
        <v>34</v>
      </c>
      <c r="G9" s="156"/>
    </row>
    <row r="10" spans="1:7" ht="70.5" customHeight="1" x14ac:dyDescent="0.25">
      <c r="A10" s="157" t="str">
        <f>_xlfn.XLOOKUP(B10,'CLUES JS1'!$C$44:$C$85,'CLUES JS1'!$B$44:$B$85,"NO EXISTE",0)</f>
        <v>QTSSA012556</v>
      </c>
      <c r="B10" s="158" t="s">
        <v>70</v>
      </c>
      <c r="C10" s="159">
        <v>5</v>
      </c>
      <c r="D10" s="160">
        <v>3</v>
      </c>
      <c r="E10" s="161">
        <v>38</v>
      </c>
      <c r="F10" s="162">
        <v>32</v>
      </c>
      <c r="G10" s="156"/>
    </row>
    <row r="11" spans="1:7" ht="70.5" customHeight="1" x14ac:dyDescent="0.25">
      <c r="A11" s="157" t="str">
        <f>_xlfn.XLOOKUP(B11,'CLUES JS1'!$C$44:$C$85,'CLUES JS1'!$B$44:$B$85,"NO EXISTE",0)</f>
        <v>QTSSA012561</v>
      </c>
      <c r="B11" s="158" t="s">
        <v>258</v>
      </c>
      <c r="C11" s="159">
        <v>4</v>
      </c>
      <c r="D11" s="160">
        <v>3</v>
      </c>
      <c r="E11" s="161">
        <v>41</v>
      </c>
      <c r="F11" s="162">
        <v>19</v>
      </c>
      <c r="G11" s="156"/>
    </row>
    <row r="12" spans="1:7" ht="70.5" customHeight="1" x14ac:dyDescent="0.25">
      <c r="A12" s="157" t="str">
        <f>_xlfn.XLOOKUP(B12,'CLUES JS1'!$C$44:$C$85,'CLUES JS1'!$B$44:$B$85,"NO EXISTE",0)</f>
        <v>QTSSA012631</v>
      </c>
      <c r="B12" s="158" t="s">
        <v>73</v>
      </c>
      <c r="C12" s="159">
        <v>4</v>
      </c>
      <c r="D12" s="160">
        <v>3</v>
      </c>
      <c r="E12" s="161">
        <v>33</v>
      </c>
      <c r="F12" s="162">
        <v>27</v>
      </c>
      <c r="G12" s="156"/>
    </row>
  </sheetData>
  <printOptions horizontalCentered="1" verticalCentered="1"/>
  <pageMargins left="0.11811023622047245" right="0.11811023622047245" top="0.15748031496062992" bottom="0.15748031496062992" header="0.31496062992125984" footer="0.31496062992125984"/>
  <pageSetup scale="72" orientation="landscape" horizontalDpi="12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01B6-60EB-49F7-A448-0DFBB2CC9C5D}">
  <sheetPr>
    <tabColor theme="3" tint="0.39997558519241921"/>
  </sheetPr>
  <dimension ref="A1:F98"/>
  <sheetViews>
    <sheetView zoomScaleNormal="100" zoomScaleSheetLayoutView="140" workbookViewId="0">
      <selection activeCell="C85" sqref="C85"/>
    </sheetView>
  </sheetViews>
  <sheetFormatPr baseColWidth="10" defaultRowHeight="12.75" x14ac:dyDescent="0.2"/>
  <cols>
    <col min="1" max="1" width="6.7109375" style="91" customWidth="1"/>
    <col min="2" max="2" width="15" style="91" customWidth="1"/>
    <col min="3" max="3" width="41.42578125" style="91" customWidth="1"/>
    <col min="4" max="4" width="42.85546875" style="91" bestFit="1" customWidth="1"/>
    <col min="5" max="5" width="47.28515625" style="91" bestFit="1" customWidth="1"/>
    <col min="6" max="6" width="11.7109375" style="91" customWidth="1"/>
    <col min="7" max="256" width="11.42578125" style="91"/>
    <col min="257" max="257" width="6.7109375" style="91" customWidth="1"/>
    <col min="258" max="258" width="15" style="91" customWidth="1"/>
    <col min="259" max="259" width="41.42578125" style="91" customWidth="1"/>
    <col min="260" max="260" width="42.85546875" style="91" bestFit="1" customWidth="1"/>
    <col min="261" max="261" width="47.28515625" style="91" bestFit="1" customWidth="1"/>
    <col min="262" max="262" width="11.7109375" style="91" customWidth="1"/>
    <col min="263" max="512" width="11.42578125" style="91"/>
    <col min="513" max="513" width="6.7109375" style="91" customWidth="1"/>
    <col min="514" max="514" width="15" style="91" customWidth="1"/>
    <col min="515" max="515" width="41.42578125" style="91" customWidth="1"/>
    <col min="516" max="516" width="42.85546875" style="91" bestFit="1" customWidth="1"/>
    <col min="517" max="517" width="47.28515625" style="91" bestFit="1" customWidth="1"/>
    <col min="518" max="518" width="11.7109375" style="91" customWidth="1"/>
    <col min="519" max="768" width="11.42578125" style="91"/>
    <col min="769" max="769" width="6.7109375" style="91" customWidth="1"/>
    <col min="770" max="770" width="15" style="91" customWidth="1"/>
    <col min="771" max="771" width="41.42578125" style="91" customWidth="1"/>
    <col min="772" max="772" width="42.85546875" style="91" bestFit="1" customWidth="1"/>
    <col min="773" max="773" width="47.28515625" style="91" bestFit="1" customWidth="1"/>
    <col min="774" max="774" width="11.7109375" style="91" customWidth="1"/>
    <col min="775" max="1024" width="11.42578125" style="91"/>
    <col min="1025" max="1025" width="6.7109375" style="91" customWidth="1"/>
    <col min="1026" max="1026" width="15" style="91" customWidth="1"/>
    <col min="1027" max="1027" width="41.42578125" style="91" customWidth="1"/>
    <col min="1028" max="1028" width="42.85546875" style="91" bestFit="1" customWidth="1"/>
    <col min="1029" max="1029" width="47.28515625" style="91" bestFit="1" customWidth="1"/>
    <col min="1030" max="1030" width="11.7109375" style="91" customWidth="1"/>
    <col min="1031" max="1280" width="11.42578125" style="91"/>
    <col min="1281" max="1281" width="6.7109375" style="91" customWidth="1"/>
    <col min="1282" max="1282" width="15" style="91" customWidth="1"/>
    <col min="1283" max="1283" width="41.42578125" style="91" customWidth="1"/>
    <col min="1284" max="1284" width="42.85546875" style="91" bestFit="1" customWidth="1"/>
    <col min="1285" max="1285" width="47.28515625" style="91" bestFit="1" customWidth="1"/>
    <col min="1286" max="1286" width="11.7109375" style="91" customWidth="1"/>
    <col min="1287" max="1536" width="11.42578125" style="91"/>
    <col min="1537" max="1537" width="6.7109375" style="91" customWidth="1"/>
    <col min="1538" max="1538" width="15" style="91" customWidth="1"/>
    <col min="1539" max="1539" width="41.42578125" style="91" customWidth="1"/>
    <col min="1540" max="1540" width="42.85546875" style="91" bestFit="1" customWidth="1"/>
    <col min="1541" max="1541" width="47.28515625" style="91" bestFit="1" customWidth="1"/>
    <col min="1542" max="1542" width="11.7109375" style="91" customWidth="1"/>
    <col min="1543" max="1792" width="11.42578125" style="91"/>
    <col min="1793" max="1793" width="6.7109375" style="91" customWidth="1"/>
    <col min="1794" max="1794" width="15" style="91" customWidth="1"/>
    <col min="1795" max="1795" width="41.42578125" style="91" customWidth="1"/>
    <col min="1796" max="1796" width="42.85546875" style="91" bestFit="1" customWidth="1"/>
    <col min="1797" max="1797" width="47.28515625" style="91" bestFit="1" customWidth="1"/>
    <col min="1798" max="1798" width="11.7109375" style="91" customWidth="1"/>
    <col min="1799" max="2048" width="11.42578125" style="91"/>
    <col min="2049" max="2049" width="6.7109375" style="91" customWidth="1"/>
    <col min="2050" max="2050" width="15" style="91" customWidth="1"/>
    <col min="2051" max="2051" width="41.42578125" style="91" customWidth="1"/>
    <col min="2052" max="2052" width="42.85546875" style="91" bestFit="1" customWidth="1"/>
    <col min="2053" max="2053" width="47.28515625" style="91" bestFit="1" customWidth="1"/>
    <col min="2054" max="2054" width="11.7109375" style="91" customWidth="1"/>
    <col min="2055" max="2304" width="11.42578125" style="91"/>
    <col min="2305" max="2305" width="6.7109375" style="91" customWidth="1"/>
    <col min="2306" max="2306" width="15" style="91" customWidth="1"/>
    <col min="2307" max="2307" width="41.42578125" style="91" customWidth="1"/>
    <col min="2308" max="2308" width="42.85546875" style="91" bestFit="1" customWidth="1"/>
    <col min="2309" max="2309" width="47.28515625" style="91" bestFit="1" customWidth="1"/>
    <col min="2310" max="2310" width="11.7109375" style="91" customWidth="1"/>
    <col min="2311" max="2560" width="11.42578125" style="91"/>
    <col min="2561" max="2561" width="6.7109375" style="91" customWidth="1"/>
    <col min="2562" max="2562" width="15" style="91" customWidth="1"/>
    <col min="2563" max="2563" width="41.42578125" style="91" customWidth="1"/>
    <col min="2564" max="2564" width="42.85546875" style="91" bestFit="1" customWidth="1"/>
    <col min="2565" max="2565" width="47.28515625" style="91" bestFit="1" customWidth="1"/>
    <col min="2566" max="2566" width="11.7109375" style="91" customWidth="1"/>
    <col min="2567" max="2816" width="11.42578125" style="91"/>
    <col min="2817" max="2817" width="6.7109375" style="91" customWidth="1"/>
    <col min="2818" max="2818" width="15" style="91" customWidth="1"/>
    <col min="2819" max="2819" width="41.42578125" style="91" customWidth="1"/>
    <col min="2820" max="2820" width="42.85546875" style="91" bestFit="1" customWidth="1"/>
    <col min="2821" max="2821" width="47.28515625" style="91" bestFit="1" customWidth="1"/>
    <col min="2822" max="2822" width="11.7109375" style="91" customWidth="1"/>
    <col min="2823" max="3072" width="11.42578125" style="91"/>
    <col min="3073" max="3073" width="6.7109375" style="91" customWidth="1"/>
    <col min="3074" max="3074" width="15" style="91" customWidth="1"/>
    <col min="3075" max="3075" width="41.42578125" style="91" customWidth="1"/>
    <col min="3076" max="3076" width="42.85546875" style="91" bestFit="1" customWidth="1"/>
    <col min="3077" max="3077" width="47.28515625" style="91" bestFit="1" customWidth="1"/>
    <col min="3078" max="3078" width="11.7109375" style="91" customWidth="1"/>
    <col min="3079" max="3328" width="11.42578125" style="91"/>
    <col min="3329" max="3329" width="6.7109375" style="91" customWidth="1"/>
    <col min="3330" max="3330" width="15" style="91" customWidth="1"/>
    <col min="3331" max="3331" width="41.42578125" style="91" customWidth="1"/>
    <col min="3332" max="3332" width="42.85546875" style="91" bestFit="1" customWidth="1"/>
    <col min="3333" max="3333" width="47.28515625" style="91" bestFit="1" customWidth="1"/>
    <col min="3334" max="3334" width="11.7109375" style="91" customWidth="1"/>
    <col min="3335" max="3584" width="11.42578125" style="91"/>
    <col min="3585" max="3585" width="6.7109375" style="91" customWidth="1"/>
    <col min="3586" max="3586" width="15" style="91" customWidth="1"/>
    <col min="3587" max="3587" width="41.42578125" style="91" customWidth="1"/>
    <col min="3588" max="3588" width="42.85546875" style="91" bestFit="1" customWidth="1"/>
    <col min="3589" max="3589" width="47.28515625" style="91" bestFit="1" customWidth="1"/>
    <col min="3590" max="3590" width="11.7109375" style="91" customWidth="1"/>
    <col min="3591" max="3840" width="11.42578125" style="91"/>
    <col min="3841" max="3841" width="6.7109375" style="91" customWidth="1"/>
    <col min="3842" max="3842" width="15" style="91" customWidth="1"/>
    <col min="3843" max="3843" width="41.42578125" style="91" customWidth="1"/>
    <col min="3844" max="3844" width="42.85546875" style="91" bestFit="1" customWidth="1"/>
    <col min="3845" max="3845" width="47.28515625" style="91" bestFit="1" customWidth="1"/>
    <col min="3846" max="3846" width="11.7109375" style="91" customWidth="1"/>
    <col min="3847" max="4096" width="11.42578125" style="91"/>
    <col min="4097" max="4097" width="6.7109375" style="91" customWidth="1"/>
    <col min="4098" max="4098" width="15" style="91" customWidth="1"/>
    <col min="4099" max="4099" width="41.42578125" style="91" customWidth="1"/>
    <col min="4100" max="4100" width="42.85546875" style="91" bestFit="1" customWidth="1"/>
    <col min="4101" max="4101" width="47.28515625" style="91" bestFit="1" customWidth="1"/>
    <col min="4102" max="4102" width="11.7109375" style="91" customWidth="1"/>
    <col min="4103" max="4352" width="11.42578125" style="91"/>
    <col min="4353" max="4353" width="6.7109375" style="91" customWidth="1"/>
    <col min="4354" max="4354" width="15" style="91" customWidth="1"/>
    <col min="4355" max="4355" width="41.42578125" style="91" customWidth="1"/>
    <col min="4356" max="4356" width="42.85546875" style="91" bestFit="1" customWidth="1"/>
    <col min="4357" max="4357" width="47.28515625" style="91" bestFit="1" customWidth="1"/>
    <col min="4358" max="4358" width="11.7109375" style="91" customWidth="1"/>
    <col min="4359" max="4608" width="11.42578125" style="91"/>
    <col min="4609" max="4609" width="6.7109375" style="91" customWidth="1"/>
    <col min="4610" max="4610" width="15" style="91" customWidth="1"/>
    <col min="4611" max="4611" width="41.42578125" style="91" customWidth="1"/>
    <col min="4612" max="4612" width="42.85546875" style="91" bestFit="1" customWidth="1"/>
    <col min="4613" max="4613" width="47.28515625" style="91" bestFit="1" customWidth="1"/>
    <col min="4614" max="4614" width="11.7109375" style="91" customWidth="1"/>
    <col min="4615" max="4864" width="11.42578125" style="91"/>
    <col min="4865" max="4865" width="6.7109375" style="91" customWidth="1"/>
    <col min="4866" max="4866" width="15" style="91" customWidth="1"/>
    <col min="4867" max="4867" width="41.42578125" style="91" customWidth="1"/>
    <col min="4868" max="4868" width="42.85546875" style="91" bestFit="1" customWidth="1"/>
    <col min="4869" max="4869" width="47.28515625" style="91" bestFit="1" customWidth="1"/>
    <col min="4870" max="4870" width="11.7109375" style="91" customWidth="1"/>
    <col min="4871" max="5120" width="11.42578125" style="91"/>
    <col min="5121" max="5121" width="6.7109375" style="91" customWidth="1"/>
    <col min="5122" max="5122" width="15" style="91" customWidth="1"/>
    <col min="5123" max="5123" width="41.42578125" style="91" customWidth="1"/>
    <col min="5124" max="5124" width="42.85546875" style="91" bestFit="1" customWidth="1"/>
    <col min="5125" max="5125" width="47.28515625" style="91" bestFit="1" customWidth="1"/>
    <col min="5126" max="5126" width="11.7109375" style="91" customWidth="1"/>
    <col min="5127" max="5376" width="11.42578125" style="91"/>
    <col min="5377" max="5377" width="6.7109375" style="91" customWidth="1"/>
    <col min="5378" max="5378" width="15" style="91" customWidth="1"/>
    <col min="5379" max="5379" width="41.42578125" style="91" customWidth="1"/>
    <col min="5380" max="5380" width="42.85546875" style="91" bestFit="1" customWidth="1"/>
    <col min="5381" max="5381" width="47.28515625" style="91" bestFit="1" customWidth="1"/>
    <col min="5382" max="5382" width="11.7109375" style="91" customWidth="1"/>
    <col min="5383" max="5632" width="11.42578125" style="91"/>
    <col min="5633" max="5633" width="6.7109375" style="91" customWidth="1"/>
    <col min="5634" max="5634" width="15" style="91" customWidth="1"/>
    <col min="5635" max="5635" width="41.42578125" style="91" customWidth="1"/>
    <col min="5636" max="5636" width="42.85546875" style="91" bestFit="1" customWidth="1"/>
    <col min="5637" max="5637" width="47.28515625" style="91" bestFit="1" customWidth="1"/>
    <col min="5638" max="5638" width="11.7109375" style="91" customWidth="1"/>
    <col min="5639" max="5888" width="11.42578125" style="91"/>
    <col min="5889" max="5889" width="6.7109375" style="91" customWidth="1"/>
    <col min="5890" max="5890" width="15" style="91" customWidth="1"/>
    <col min="5891" max="5891" width="41.42578125" style="91" customWidth="1"/>
    <col min="5892" max="5892" width="42.85546875" style="91" bestFit="1" customWidth="1"/>
    <col min="5893" max="5893" width="47.28515625" style="91" bestFit="1" customWidth="1"/>
    <col min="5894" max="5894" width="11.7109375" style="91" customWidth="1"/>
    <col min="5895" max="6144" width="11.42578125" style="91"/>
    <col min="6145" max="6145" width="6.7109375" style="91" customWidth="1"/>
    <col min="6146" max="6146" width="15" style="91" customWidth="1"/>
    <col min="6147" max="6147" width="41.42578125" style="91" customWidth="1"/>
    <col min="6148" max="6148" width="42.85546875" style="91" bestFit="1" customWidth="1"/>
    <col min="6149" max="6149" width="47.28515625" style="91" bestFit="1" customWidth="1"/>
    <col min="6150" max="6150" width="11.7109375" style="91" customWidth="1"/>
    <col min="6151" max="6400" width="11.42578125" style="91"/>
    <col min="6401" max="6401" width="6.7109375" style="91" customWidth="1"/>
    <col min="6402" max="6402" width="15" style="91" customWidth="1"/>
    <col min="6403" max="6403" width="41.42578125" style="91" customWidth="1"/>
    <col min="6404" max="6404" width="42.85546875" style="91" bestFit="1" customWidth="1"/>
    <col min="6405" max="6405" width="47.28515625" style="91" bestFit="1" customWidth="1"/>
    <col min="6406" max="6406" width="11.7109375" style="91" customWidth="1"/>
    <col min="6407" max="6656" width="11.42578125" style="91"/>
    <col min="6657" max="6657" width="6.7109375" style="91" customWidth="1"/>
    <col min="6658" max="6658" width="15" style="91" customWidth="1"/>
    <col min="6659" max="6659" width="41.42578125" style="91" customWidth="1"/>
    <col min="6660" max="6660" width="42.85546875" style="91" bestFit="1" customWidth="1"/>
    <col min="6661" max="6661" width="47.28515625" style="91" bestFit="1" customWidth="1"/>
    <col min="6662" max="6662" width="11.7109375" style="91" customWidth="1"/>
    <col min="6663" max="6912" width="11.42578125" style="91"/>
    <col min="6913" max="6913" width="6.7109375" style="91" customWidth="1"/>
    <col min="6914" max="6914" width="15" style="91" customWidth="1"/>
    <col min="6915" max="6915" width="41.42578125" style="91" customWidth="1"/>
    <col min="6916" max="6916" width="42.85546875" style="91" bestFit="1" customWidth="1"/>
    <col min="6917" max="6917" width="47.28515625" style="91" bestFit="1" customWidth="1"/>
    <col min="6918" max="6918" width="11.7109375" style="91" customWidth="1"/>
    <col min="6919" max="7168" width="11.42578125" style="91"/>
    <col min="7169" max="7169" width="6.7109375" style="91" customWidth="1"/>
    <col min="7170" max="7170" width="15" style="91" customWidth="1"/>
    <col min="7171" max="7171" width="41.42578125" style="91" customWidth="1"/>
    <col min="7172" max="7172" width="42.85546875" style="91" bestFit="1" customWidth="1"/>
    <col min="7173" max="7173" width="47.28515625" style="91" bestFit="1" customWidth="1"/>
    <col min="7174" max="7174" width="11.7109375" style="91" customWidth="1"/>
    <col min="7175" max="7424" width="11.42578125" style="91"/>
    <col min="7425" max="7425" width="6.7109375" style="91" customWidth="1"/>
    <col min="7426" max="7426" width="15" style="91" customWidth="1"/>
    <col min="7427" max="7427" width="41.42578125" style="91" customWidth="1"/>
    <col min="7428" max="7428" width="42.85546875" style="91" bestFit="1" customWidth="1"/>
    <col min="7429" max="7429" width="47.28515625" style="91" bestFit="1" customWidth="1"/>
    <col min="7430" max="7430" width="11.7109375" style="91" customWidth="1"/>
    <col min="7431" max="7680" width="11.42578125" style="91"/>
    <col min="7681" max="7681" width="6.7109375" style="91" customWidth="1"/>
    <col min="7682" max="7682" width="15" style="91" customWidth="1"/>
    <col min="7683" max="7683" width="41.42578125" style="91" customWidth="1"/>
    <col min="7684" max="7684" width="42.85546875" style="91" bestFit="1" customWidth="1"/>
    <col min="7685" max="7685" width="47.28515625" style="91" bestFit="1" customWidth="1"/>
    <col min="7686" max="7686" width="11.7109375" style="91" customWidth="1"/>
    <col min="7687" max="7936" width="11.42578125" style="91"/>
    <col min="7937" max="7937" width="6.7109375" style="91" customWidth="1"/>
    <col min="7938" max="7938" width="15" style="91" customWidth="1"/>
    <col min="7939" max="7939" width="41.42578125" style="91" customWidth="1"/>
    <col min="7940" max="7940" width="42.85546875" style="91" bestFit="1" customWidth="1"/>
    <col min="7941" max="7941" width="47.28515625" style="91" bestFit="1" customWidth="1"/>
    <col min="7942" max="7942" width="11.7109375" style="91" customWidth="1"/>
    <col min="7943" max="8192" width="11.42578125" style="91"/>
    <col min="8193" max="8193" width="6.7109375" style="91" customWidth="1"/>
    <col min="8194" max="8194" width="15" style="91" customWidth="1"/>
    <col min="8195" max="8195" width="41.42578125" style="91" customWidth="1"/>
    <col min="8196" max="8196" width="42.85546875" style="91" bestFit="1" customWidth="1"/>
    <col min="8197" max="8197" width="47.28515625" style="91" bestFit="1" customWidth="1"/>
    <col min="8198" max="8198" width="11.7109375" style="91" customWidth="1"/>
    <col min="8199" max="8448" width="11.42578125" style="91"/>
    <col min="8449" max="8449" width="6.7109375" style="91" customWidth="1"/>
    <col min="8450" max="8450" width="15" style="91" customWidth="1"/>
    <col min="8451" max="8451" width="41.42578125" style="91" customWidth="1"/>
    <col min="8452" max="8452" width="42.85546875" style="91" bestFit="1" customWidth="1"/>
    <col min="8453" max="8453" width="47.28515625" style="91" bestFit="1" customWidth="1"/>
    <col min="8454" max="8454" width="11.7109375" style="91" customWidth="1"/>
    <col min="8455" max="8704" width="11.42578125" style="91"/>
    <col min="8705" max="8705" width="6.7109375" style="91" customWidth="1"/>
    <col min="8706" max="8706" width="15" style="91" customWidth="1"/>
    <col min="8707" max="8707" width="41.42578125" style="91" customWidth="1"/>
    <col min="8708" max="8708" width="42.85546875" style="91" bestFit="1" customWidth="1"/>
    <col min="8709" max="8709" width="47.28515625" style="91" bestFit="1" customWidth="1"/>
    <col min="8710" max="8710" width="11.7109375" style="91" customWidth="1"/>
    <col min="8711" max="8960" width="11.42578125" style="91"/>
    <col min="8961" max="8961" width="6.7109375" style="91" customWidth="1"/>
    <col min="8962" max="8962" width="15" style="91" customWidth="1"/>
    <col min="8963" max="8963" width="41.42578125" style="91" customWidth="1"/>
    <col min="8964" max="8964" width="42.85546875" style="91" bestFit="1" customWidth="1"/>
    <col min="8965" max="8965" width="47.28515625" style="91" bestFit="1" customWidth="1"/>
    <col min="8966" max="8966" width="11.7109375" style="91" customWidth="1"/>
    <col min="8967" max="9216" width="11.42578125" style="91"/>
    <col min="9217" max="9217" width="6.7109375" style="91" customWidth="1"/>
    <col min="9218" max="9218" width="15" style="91" customWidth="1"/>
    <col min="9219" max="9219" width="41.42578125" style="91" customWidth="1"/>
    <col min="9220" max="9220" width="42.85546875" style="91" bestFit="1" customWidth="1"/>
    <col min="9221" max="9221" width="47.28515625" style="91" bestFit="1" customWidth="1"/>
    <col min="9222" max="9222" width="11.7109375" style="91" customWidth="1"/>
    <col min="9223" max="9472" width="11.42578125" style="91"/>
    <col min="9473" max="9473" width="6.7109375" style="91" customWidth="1"/>
    <col min="9474" max="9474" width="15" style="91" customWidth="1"/>
    <col min="9475" max="9475" width="41.42578125" style="91" customWidth="1"/>
    <col min="9476" max="9476" width="42.85546875" style="91" bestFit="1" customWidth="1"/>
    <col min="9477" max="9477" width="47.28515625" style="91" bestFit="1" customWidth="1"/>
    <col min="9478" max="9478" width="11.7109375" style="91" customWidth="1"/>
    <col min="9479" max="9728" width="11.42578125" style="91"/>
    <col min="9729" max="9729" width="6.7109375" style="91" customWidth="1"/>
    <col min="9730" max="9730" width="15" style="91" customWidth="1"/>
    <col min="9731" max="9731" width="41.42578125" style="91" customWidth="1"/>
    <col min="9732" max="9732" width="42.85546875" style="91" bestFit="1" customWidth="1"/>
    <col min="9733" max="9733" width="47.28515625" style="91" bestFit="1" customWidth="1"/>
    <col min="9734" max="9734" width="11.7109375" style="91" customWidth="1"/>
    <col min="9735" max="9984" width="11.42578125" style="91"/>
    <col min="9985" max="9985" width="6.7109375" style="91" customWidth="1"/>
    <col min="9986" max="9986" width="15" style="91" customWidth="1"/>
    <col min="9987" max="9987" width="41.42578125" style="91" customWidth="1"/>
    <col min="9988" max="9988" width="42.85546875" style="91" bestFit="1" customWidth="1"/>
    <col min="9989" max="9989" width="47.28515625" style="91" bestFit="1" customWidth="1"/>
    <col min="9990" max="9990" width="11.7109375" style="91" customWidth="1"/>
    <col min="9991" max="10240" width="11.42578125" style="91"/>
    <col min="10241" max="10241" width="6.7109375" style="91" customWidth="1"/>
    <col min="10242" max="10242" width="15" style="91" customWidth="1"/>
    <col min="10243" max="10243" width="41.42578125" style="91" customWidth="1"/>
    <col min="10244" max="10244" width="42.85546875" style="91" bestFit="1" customWidth="1"/>
    <col min="10245" max="10245" width="47.28515625" style="91" bestFit="1" customWidth="1"/>
    <col min="10246" max="10246" width="11.7109375" style="91" customWidth="1"/>
    <col min="10247" max="10496" width="11.42578125" style="91"/>
    <col min="10497" max="10497" width="6.7109375" style="91" customWidth="1"/>
    <col min="10498" max="10498" width="15" style="91" customWidth="1"/>
    <col min="10499" max="10499" width="41.42578125" style="91" customWidth="1"/>
    <col min="10500" max="10500" width="42.85546875" style="91" bestFit="1" customWidth="1"/>
    <col min="10501" max="10501" width="47.28515625" style="91" bestFit="1" customWidth="1"/>
    <col min="10502" max="10502" width="11.7109375" style="91" customWidth="1"/>
    <col min="10503" max="10752" width="11.42578125" style="91"/>
    <col min="10753" max="10753" width="6.7109375" style="91" customWidth="1"/>
    <col min="10754" max="10754" width="15" style="91" customWidth="1"/>
    <col min="10755" max="10755" width="41.42578125" style="91" customWidth="1"/>
    <col min="10756" max="10756" width="42.85546875" style="91" bestFit="1" customWidth="1"/>
    <col min="10757" max="10757" width="47.28515625" style="91" bestFit="1" customWidth="1"/>
    <col min="10758" max="10758" width="11.7109375" style="91" customWidth="1"/>
    <col min="10759" max="11008" width="11.42578125" style="91"/>
    <col min="11009" max="11009" width="6.7109375" style="91" customWidth="1"/>
    <col min="11010" max="11010" width="15" style="91" customWidth="1"/>
    <col min="11011" max="11011" width="41.42578125" style="91" customWidth="1"/>
    <col min="11012" max="11012" width="42.85546875" style="91" bestFit="1" customWidth="1"/>
    <col min="11013" max="11013" width="47.28515625" style="91" bestFit="1" customWidth="1"/>
    <col min="11014" max="11014" width="11.7109375" style="91" customWidth="1"/>
    <col min="11015" max="11264" width="11.42578125" style="91"/>
    <col min="11265" max="11265" width="6.7109375" style="91" customWidth="1"/>
    <col min="11266" max="11266" width="15" style="91" customWidth="1"/>
    <col min="11267" max="11267" width="41.42578125" style="91" customWidth="1"/>
    <col min="11268" max="11268" width="42.85546875" style="91" bestFit="1" customWidth="1"/>
    <col min="11269" max="11269" width="47.28515625" style="91" bestFit="1" customWidth="1"/>
    <col min="11270" max="11270" width="11.7109375" style="91" customWidth="1"/>
    <col min="11271" max="11520" width="11.42578125" style="91"/>
    <col min="11521" max="11521" width="6.7109375" style="91" customWidth="1"/>
    <col min="11522" max="11522" width="15" style="91" customWidth="1"/>
    <col min="11523" max="11523" width="41.42578125" style="91" customWidth="1"/>
    <col min="11524" max="11524" width="42.85546875" style="91" bestFit="1" customWidth="1"/>
    <col min="11525" max="11525" width="47.28515625" style="91" bestFit="1" customWidth="1"/>
    <col min="11526" max="11526" width="11.7109375" style="91" customWidth="1"/>
    <col min="11527" max="11776" width="11.42578125" style="91"/>
    <col min="11777" max="11777" width="6.7109375" style="91" customWidth="1"/>
    <col min="11778" max="11778" width="15" style="91" customWidth="1"/>
    <col min="11779" max="11779" width="41.42578125" style="91" customWidth="1"/>
    <col min="11780" max="11780" width="42.85546875" style="91" bestFit="1" customWidth="1"/>
    <col min="11781" max="11781" width="47.28515625" style="91" bestFit="1" customWidth="1"/>
    <col min="11782" max="11782" width="11.7109375" style="91" customWidth="1"/>
    <col min="11783" max="12032" width="11.42578125" style="91"/>
    <col min="12033" max="12033" width="6.7109375" style="91" customWidth="1"/>
    <col min="12034" max="12034" width="15" style="91" customWidth="1"/>
    <col min="12035" max="12035" width="41.42578125" style="91" customWidth="1"/>
    <col min="12036" max="12036" width="42.85546875" style="91" bestFit="1" customWidth="1"/>
    <col min="12037" max="12037" width="47.28515625" style="91" bestFit="1" customWidth="1"/>
    <col min="12038" max="12038" width="11.7109375" style="91" customWidth="1"/>
    <col min="12039" max="12288" width="11.42578125" style="91"/>
    <col min="12289" max="12289" width="6.7109375" style="91" customWidth="1"/>
    <col min="12290" max="12290" width="15" style="91" customWidth="1"/>
    <col min="12291" max="12291" width="41.42578125" style="91" customWidth="1"/>
    <col min="12292" max="12292" width="42.85546875" style="91" bestFit="1" customWidth="1"/>
    <col min="12293" max="12293" width="47.28515625" style="91" bestFit="1" customWidth="1"/>
    <col min="12294" max="12294" width="11.7109375" style="91" customWidth="1"/>
    <col min="12295" max="12544" width="11.42578125" style="91"/>
    <col min="12545" max="12545" width="6.7109375" style="91" customWidth="1"/>
    <col min="12546" max="12546" width="15" style="91" customWidth="1"/>
    <col min="12547" max="12547" width="41.42578125" style="91" customWidth="1"/>
    <col min="12548" max="12548" width="42.85546875" style="91" bestFit="1" customWidth="1"/>
    <col min="12549" max="12549" width="47.28515625" style="91" bestFit="1" customWidth="1"/>
    <col min="12550" max="12550" width="11.7109375" style="91" customWidth="1"/>
    <col min="12551" max="12800" width="11.42578125" style="91"/>
    <col min="12801" max="12801" width="6.7109375" style="91" customWidth="1"/>
    <col min="12802" max="12802" width="15" style="91" customWidth="1"/>
    <col min="12803" max="12803" width="41.42578125" style="91" customWidth="1"/>
    <col min="12804" max="12804" width="42.85546875" style="91" bestFit="1" customWidth="1"/>
    <col min="12805" max="12805" width="47.28515625" style="91" bestFit="1" customWidth="1"/>
    <col min="12806" max="12806" width="11.7109375" style="91" customWidth="1"/>
    <col min="12807" max="13056" width="11.42578125" style="91"/>
    <col min="13057" max="13057" width="6.7109375" style="91" customWidth="1"/>
    <col min="13058" max="13058" width="15" style="91" customWidth="1"/>
    <col min="13059" max="13059" width="41.42578125" style="91" customWidth="1"/>
    <col min="13060" max="13060" width="42.85546875" style="91" bestFit="1" customWidth="1"/>
    <col min="13061" max="13061" width="47.28515625" style="91" bestFit="1" customWidth="1"/>
    <col min="13062" max="13062" width="11.7109375" style="91" customWidth="1"/>
    <col min="13063" max="13312" width="11.42578125" style="91"/>
    <col min="13313" max="13313" width="6.7109375" style="91" customWidth="1"/>
    <col min="13314" max="13314" width="15" style="91" customWidth="1"/>
    <col min="13315" max="13315" width="41.42578125" style="91" customWidth="1"/>
    <col min="13316" max="13316" width="42.85546875" style="91" bestFit="1" customWidth="1"/>
    <col min="13317" max="13317" width="47.28515625" style="91" bestFit="1" customWidth="1"/>
    <col min="13318" max="13318" width="11.7109375" style="91" customWidth="1"/>
    <col min="13319" max="13568" width="11.42578125" style="91"/>
    <col min="13569" max="13569" width="6.7109375" style="91" customWidth="1"/>
    <col min="13570" max="13570" width="15" style="91" customWidth="1"/>
    <col min="13571" max="13571" width="41.42578125" style="91" customWidth="1"/>
    <col min="13572" max="13572" width="42.85546875" style="91" bestFit="1" customWidth="1"/>
    <col min="13573" max="13573" width="47.28515625" style="91" bestFit="1" customWidth="1"/>
    <col min="13574" max="13574" width="11.7109375" style="91" customWidth="1"/>
    <col min="13575" max="13824" width="11.42578125" style="91"/>
    <col min="13825" max="13825" width="6.7109375" style="91" customWidth="1"/>
    <col min="13826" max="13826" width="15" style="91" customWidth="1"/>
    <col min="13827" max="13827" width="41.42578125" style="91" customWidth="1"/>
    <col min="13828" max="13828" width="42.85546875" style="91" bestFit="1" customWidth="1"/>
    <col min="13829" max="13829" width="47.28515625" style="91" bestFit="1" customWidth="1"/>
    <col min="13830" max="13830" width="11.7109375" style="91" customWidth="1"/>
    <col min="13831" max="14080" width="11.42578125" style="91"/>
    <col min="14081" max="14081" width="6.7109375" style="91" customWidth="1"/>
    <col min="14082" max="14082" width="15" style="91" customWidth="1"/>
    <col min="14083" max="14083" width="41.42578125" style="91" customWidth="1"/>
    <col min="14084" max="14084" width="42.85546875" style="91" bestFit="1" customWidth="1"/>
    <col min="14085" max="14085" width="47.28515625" style="91" bestFit="1" customWidth="1"/>
    <col min="14086" max="14086" width="11.7109375" style="91" customWidth="1"/>
    <col min="14087" max="14336" width="11.42578125" style="91"/>
    <col min="14337" max="14337" width="6.7109375" style="91" customWidth="1"/>
    <col min="14338" max="14338" width="15" style="91" customWidth="1"/>
    <col min="14339" max="14339" width="41.42578125" style="91" customWidth="1"/>
    <col min="14340" max="14340" width="42.85546875" style="91" bestFit="1" customWidth="1"/>
    <col min="14341" max="14341" width="47.28515625" style="91" bestFit="1" customWidth="1"/>
    <col min="14342" max="14342" width="11.7109375" style="91" customWidth="1"/>
    <col min="14343" max="14592" width="11.42578125" style="91"/>
    <col min="14593" max="14593" width="6.7109375" style="91" customWidth="1"/>
    <col min="14594" max="14594" width="15" style="91" customWidth="1"/>
    <col min="14595" max="14595" width="41.42578125" style="91" customWidth="1"/>
    <col min="14596" max="14596" width="42.85546875" style="91" bestFit="1" customWidth="1"/>
    <col min="14597" max="14597" width="47.28515625" style="91" bestFit="1" customWidth="1"/>
    <col min="14598" max="14598" width="11.7109375" style="91" customWidth="1"/>
    <col min="14599" max="14848" width="11.42578125" style="91"/>
    <col min="14849" max="14849" width="6.7109375" style="91" customWidth="1"/>
    <col min="14850" max="14850" width="15" style="91" customWidth="1"/>
    <col min="14851" max="14851" width="41.42578125" style="91" customWidth="1"/>
    <col min="14852" max="14852" width="42.85546875" style="91" bestFit="1" customWidth="1"/>
    <col min="14853" max="14853" width="47.28515625" style="91" bestFit="1" customWidth="1"/>
    <col min="14854" max="14854" width="11.7109375" style="91" customWidth="1"/>
    <col min="14855" max="15104" width="11.42578125" style="91"/>
    <col min="15105" max="15105" width="6.7109375" style="91" customWidth="1"/>
    <col min="15106" max="15106" width="15" style="91" customWidth="1"/>
    <col min="15107" max="15107" width="41.42578125" style="91" customWidth="1"/>
    <col min="15108" max="15108" width="42.85546875" style="91" bestFit="1" customWidth="1"/>
    <col min="15109" max="15109" width="47.28515625" style="91" bestFit="1" customWidth="1"/>
    <col min="15110" max="15110" width="11.7109375" style="91" customWidth="1"/>
    <col min="15111" max="15360" width="11.42578125" style="91"/>
    <col min="15361" max="15361" width="6.7109375" style="91" customWidth="1"/>
    <col min="15362" max="15362" width="15" style="91" customWidth="1"/>
    <col min="15363" max="15363" width="41.42578125" style="91" customWidth="1"/>
    <col min="15364" max="15364" width="42.85546875" style="91" bestFit="1" customWidth="1"/>
    <col min="15365" max="15365" width="47.28515625" style="91" bestFit="1" customWidth="1"/>
    <col min="15366" max="15366" width="11.7109375" style="91" customWidth="1"/>
    <col min="15367" max="15616" width="11.42578125" style="91"/>
    <col min="15617" max="15617" width="6.7109375" style="91" customWidth="1"/>
    <col min="15618" max="15618" width="15" style="91" customWidth="1"/>
    <col min="15619" max="15619" width="41.42578125" style="91" customWidth="1"/>
    <col min="15620" max="15620" width="42.85546875" style="91" bestFit="1" customWidth="1"/>
    <col min="15621" max="15621" width="47.28515625" style="91" bestFit="1" customWidth="1"/>
    <col min="15622" max="15622" width="11.7109375" style="91" customWidth="1"/>
    <col min="15623" max="15872" width="11.42578125" style="91"/>
    <col min="15873" max="15873" width="6.7109375" style="91" customWidth="1"/>
    <col min="15874" max="15874" width="15" style="91" customWidth="1"/>
    <col min="15875" max="15875" width="41.42578125" style="91" customWidth="1"/>
    <col min="15876" max="15876" width="42.85546875" style="91" bestFit="1" customWidth="1"/>
    <col min="15877" max="15877" width="47.28515625" style="91" bestFit="1" customWidth="1"/>
    <col min="15878" max="15878" width="11.7109375" style="91" customWidth="1"/>
    <col min="15879" max="16128" width="11.42578125" style="91"/>
    <col min="16129" max="16129" width="6.7109375" style="91" customWidth="1"/>
    <col min="16130" max="16130" width="15" style="91" customWidth="1"/>
    <col min="16131" max="16131" width="41.42578125" style="91" customWidth="1"/>
    <col min="16132" max="16132" width="42.85546875" style="91" bestFit="1" customWidth="1"/>
    <col min="16133" max="16133" width="47.28515625" style="91" bestFit="1" customWidth="1"/>
    <col min="16134" max="16134" width="11.7109375" style="91" customWidth="1"/>
    <col min="16135" max="16384" width="11.42578125" style="91"/>
  </cols>
  <sheetData>
    <row r="1" spans="1:6" ht="15.75" x14ac:dyDescent="0.25">
      <c r="A1" s="263" t="s">
        <v>101</v>
      </c>
      <c r="B1" s="263"/>
      <c r="C1" s="263"/>
      <c r="D1" s="263"/>
      <c r="E1" s="263"/>
      <c r="F1" s="263"/>
    </row>
    <row r="2" spans="1:6" ht="15.75" x14ac:dyDescent="0.25">
      <c r="A2" s="263" t="s">
        <v>102</v>
      </c>
      <c r="B2" s="263"/>
      <c r="C2" s="263"/>
      <c r="D2" s="263"/>
      <c r="E2" s="263"/>
      <c r="F2" s="263"/>
    </row>
    <row r="3" spans="1:6" ht="15.75" x14ac:dyDescent="0.25">
      <c r="A3" s="263" t="s">
        <v>103</v>
      </c>
      <c r="B3" s="263"/>
      <c r="C3" s="263"/>
      <c r="D3" s="263"/>
      <c r="E3" s="263"/>
      <c r="F3" s="263"/>
    </row>
    <row r="4" spans="1:6" ht="15.75" x14ac:dyDescent="0.25">
      <c r="E4" s="92" t="s">
        <v>104</v>
      </c>
      <c r="F4" s="93" t="s">
        <v>105</v>
      </c>
    </row>
    <row r="5" spans="1:6" ht="12.75" customHeight="1" x14ac:dyDescent="0.2">
      <c r="A5" s="264" t="s">
        <v>106</v>
      </c>
      <c r="B5" s="264"/>
      <c r="C5" s="94" t="s">
        <v>107</v>
      </c>
      <c r="D5" s="94" t="s">
        <v>108</v>
      </c>
      <c r="E5" s="264" t="s">
        <v>109</v>
      </c>
      <c r="F5" s="264"/>
    </row>
    <row r="6" spans="1:6" ht="12.75" customHeight="1" x14ac:dyDescent="0.2">
      <c r="A6" s="95"/>
      <c r="B6" s="96"/>
      <c r="C6" s="96"/>
      <c r="D6" s="96"/>
      <c r="E6" s="96"/>
    </row>
    <row r="7" spans="1:6" ht="12.75" customHeight="1" x14ac:dyDescent="0.2">
      <c r="A7" s="260" t="s">
        <v>110</v>
      </c>
      <c r="B7" s="97" t="s">
        <v>111</v>
      </c>
      <c r="C7" s="98" t="s">
        <v>112</v>
      </c>
      <c r="D7" s="98" t="s">
        <v>113</v>
      </c>
      <c r="E7" s="99" t="s">
        <v>114</v>
      </c>
      <c r="F7" s="100" t="s">
        <v>115</v>
      </c>
    </row>
    <row r="8" spans="1:6" x14ac:dyDescent="0.2">
      <c r="A8" s="261"/>
      <c r="B8" s="97" t="s">
        <v>116</v>
      </c>
      <c r="C8" s="98" t="s">
        <v>117</v>
      </c>
      <c r="D8" s="98" t="s">
        <v>118</v>
      </c>
      <c r="E8" s="99" t="s">
        <v>119</v>
      </c>
      <c r="F8" s="101" t="s">
        <v>120</v>
      </c>
    </row>
    <row r="9" spans="1:6" x14ac:dyDescent="0.2">
      <c r="A9" s="261"/>
      <c r="B9" s="97" t="s">
        <v>121</v>
      </c>
      <c r="C9" s="98" t="s">
        <v>122</v>
      </c>
      <c r="D9" s="98" t="s">
        <v>118</v>
      </c>
      <c r="E9" s="99" t="s">
        <v>123</v>
      </c>
      <c r="F9" s="101" t="s">
        <v>124</v>
      </c>
    </row>
    <row r="10" spans="1:6" x14ac:dyDescent="0.2">
      <c r="A10" s="261"/>
      <c r="B10" s="97" t="s">
        <v>125</v>
      </c>
      <c r="C10" s="98" t="s">
        <v>126</v>
      </c>
      <c r="D10" s="98" t="s">
        <v>118</v>
      </c>
      <c r="E10" s="99" t="s">
        <v>127</v>
      </c>
      <c r="F10" s="101" t="s">
        <v>128</v>
      </c>
    </row>
    <row r="11" spans="1:6" x14ac:dyDescent="0.2">
      <c r="A11" s="261"/>
      <c r="B11" s="97" t="s">
        <v>129</v>
      </c>
      <c r="C11" s="98" t="s">
        <v>130</v>
      </c>
      <c r="D11" s="98" t="s">
        <v>118</v>
      </c>
      <c r="E11" s="99" t="s">
        <v>127</v>
      </c>
      <c r="F11" s="101" t="s">
        <v>128</v>
      </c>
    </row>
    <row r="12" spans="1:6" x14ac:dyDescent="0.2">
      <c r="A12" s="261"/>
      <c r="B12" s="97" t="s">
        <v>131</v>
      </c>
      <c r="C12" s="98" t="s">
        <v>132</v>
      </c>
      <c r="D12" s="98" t="s">
        <v>118</v>
      </c>
      <c r="E12" s="99" t="s">
        <v>123</v>
      </c>
      <c r="F12" s="101" t="s">
        <v>124</v>
      </c>
    </row>
    <row r="13" spans="1:6" x14ac:dyDescent="0.2">
      <c r="A13" s="261"/>
      <c r="B13" s="97" t="s">
        <v>133</v>
      </c>
      <c r="C13" s="98" t="s">
        <v>134</v>
      </c>
      <c r="D13" s="98" t="s">
        <v>118</v>
      </c>
      <c r="E13" s="99" t="s">
        <v>135</v>
      </c>
      <c r="F13" s="101" t="s">
        <v>136</v>
      </c>
    </row>
    <row r="14" spans="1:6" x14ac:dyDescent="0.2">
      <c r="A14" s="261"/>
      <c r="B14" s="97" t="s">
        <v>137</v>
      </c>
      <c r="C14" s="98" t="s">
        <v>138</v>
      </c>
      <c r="D14" s="98" t="s">
        <v>139</v>
      </c>
      <c r="E14" s="99" t="s">
        <v>140</v>
      </c>
      <c r="F14" s="100" t="s">
        <v>141</v>
      </c>
    </row>
    <row r="15" spans="1:6" x14ac:dyDescent="0.2">
      <c r="A15" s="262"/>
      <c r="B15" s="97" t="s">
        <v>142</v>
      </c>
      <c r="C15" s="98" t="s">
        <v>143</v>
      </c>
      <c r="D15" s="98" t="s">
        <v>118</v>
      </c>
      <c r="E15" s="99" t="s">
        <v>144</v>
      </c>
      <c r="F15" s="101" t="s">
        <v>145</v>
      </c>
    </row>
    <row r="16" spans="1:6" ht="14.25" x14ac:dyDescent="0.2">
      <c r="A16" s="102"/>
      <c r="B16" s="103">
        <v>9</v>
      </c>
      <c r="C16" s="104" t="s">
        <v>146</v>
      </c>
      <c r="D16" s="105"/>
      <c r="E16" s="106"/>
      <c r="F16" s="107"/>
    </row>
    <row r="17" spans="1:6" ht="12.75" customHeight="1" x14ac:dyDescent="0.2">
      <c r="A17" s="247" t="s">
        <v>147</v>
      </c>
      <c r="B17" s="108" t="s">
        <v>148</v>
      </c>
      <c r="C17" s="109" t="s">
        <v>147</v>
      </c>
      <c r="D17" s="98" t="s">
        <v>118</v>
      </c>
      <c r="E17" s="99" t="s">
        <v>144</v>
      </c>
      <c r="F17" s="101" t="s">
        <v>145</v>
      </c>
    </row>
    <row r="18" spans="1:6" x14ac:dyDescent="0.2">
      <c r="A18" s="248"/>
      <c r="B18" s="108" t="s">
        <v>149</v>
      </c>
      <c r="C18" s="109" t="s">
        <v>150</v>
      </c>
      <c r="D18" s="98" t="s">
        <v>118</v>
      </c>
      <c r="E18" s="99" t="s">
        <v>151</v>
      </c>
      <c r="F18" s="101" t="s">
        <v>152</v>
      </c>
    </row>
    <row r="19" spans="1:6" x14ac:dyDescent="0.2">
      <c r="A19" s="248"/>
      <c r="B19" s="108" t="s">
        <v>153</v>
      </c>
      <c r="C19" s="109" t="s">
        <v>154</v>
      </c>
      <c r="D19" s="98" t="s">
        <v>118</v>
      </c>
      <c r="E19" s="99" t="s">
        <v>155</v>
      </c>
      <c r="F19" s="101" t="s">
        <v>156</v>
      </c>
    </row>
    <row r="20" spans="1:6" x14ac:dyDescent="0.2">
      <c r="A20" s="248"/>
      <c r="B20" s="108" t="s">
        <v>157</v>
      </c>
      <c r="C20" s="109" t="s">
        <v>158</v>
      </c>
      <c r="D20" s="98" t="s">
        <v>118</v>
      </c>
      <c r="E20" s="99" t="s">
        <v>155</v>
      </c>
      <c r="F20" s="101" t="s">
        <v>156</v>
      </c>
    </row>
    <row r="21" spans="1:6" x14ac:dyDescent="0.2">
      <c r="A21" s="248"/>
      <c r="B21" s="108" t="s">
        <v>159</v>
      </c>
      <c r="C21" s="109" t="s">
        <v>160</v>
      </c>
      <c r="D21" s="98" t="s">
        <v>118</v>
      </c>
      <c r="E21" s="99" t="s">
        <v>161</v>
      </c>
      <c r="F21" s="101" t="s">
        <v>162</v>
      </c>
    </row>
    <row r="22" spans="1:6" x14ac:dyDescent="0.2">
      <c r="A22" s="248"/>
      <c r="B22" s="108" t="s">
        <v>163</v>
      </c>
      <c r="C22" s="109" t="s">
        <v>164</v>
      </c>
      <c r="D22" s="98" t="s">
        <v>118</v>
      </c>
      <c r="E22" s="99" t="s">
        <v>155</v>
      </c>
      <c r="F22" s="101" t="s">
        <v>156</v>
      </c>
    </row>
    <row r="23" spans="1:6" x14ac:dyDescent="0.2">
      <c r="A23" s="248"/>
      <c r="B23" s="108" t="s">
        <v>165</v>
      </c>
      <c r="C23" s="109" t="s">
        <v>166</v>
      </c>
      <c r="D23" s="98" t="s">
        <v>118</v>
      </c>
      <c r="E23" s="99" t="s">
        <v>155</v>
      </c>
      <c r="F23" s="100" t="s">
        <v>156</v>
      </c>
    </row>
    <row r="24" spans="1:6" x14ac:dyDescent="0.2">
      <c r="A24" s="248"/>
      <c r="B24" s="108" t="s">
        <v>167</v>
      </c>
      <c r="C24" s="109" t="s">
        <v>168</v>
      </c>
      <c r="D24" s="98" t="s">
        <v>118</v>
      </c>
      <c r="E24" s="99" t="s">
        <v>155</v>
      </c>
      <c r="F24" s="100" t="s">
        <v>156</v>
      </c>
    </row>
    <row r="25" spans="1:6" x14ac:dyDescent="0.2">
      <c r="A25" s="248"/>
      <c r="B25" s="110" t="s">
        <v>169</v>
      </c>
      <c r="C25" s="109" t="s">
        <v>170</v>
      </c>
      <c r="D25" s="109" t="s">
        <v>171</v>
      </c>
      <c r="E25" s="99" t="s">
        <v>140</v>
      </c>
      <c r="F25" s="101" t="s">
        <v>141</v>
      </c>
    </row>
    <row r="26" spans="1:6" x14ac:dyDescent="0.2">
      <c r="A26" s="248"/>
      <c r="B26" s="108" t="s">
        <v>172</v>
      </c>
      <c r="C26" s="109" t="s">
        <v>173</v>
      </c>
      <c r="D26" s="98" t="s">
        <v>118</v>
      </c>
      <c r="E26" s="99" t="s">
        <v>123</v>
      </c>
      <c r="F26" s="100" t="s">
        <v>124</v>
      </c>
    </row>
    <row r="27" spans="1:6" x14ac:dyDescent="0.2">
      <c r="A27" s="249"/>
      <c r="B27" s="111" t="s">
        <v>174</v>
      </c>
      <c r="C27" s="112" t="s">
        <v>175</v>
      </c>
      <c r="D27" s="112" t="s">
        <v>171</v>
      </c>
      <c r="E27" s="99" t="s">
        <v>140</v>
      </c>
      <c r="F27" s="100" t="s">
        <v>141</v>
      </c>
    </row>
    <row r="28" spans="1:6" ht="14.25" x14ac:dyDescent="0.2">
      <c r="A28" s="113"/>
      <c r="B28" s="103">
        <v>11</v>
      </c>
      <c r="C28" s="104" t="s">
        <v>176</v>
      </c>
      <c r="D28" s="105"/>
      <c r="E28" s="106"/>
      <c r="F28" s="107"/>
    </row>
    <row r="29" spans="1:6" ht="12.75" customHeight="1" x14ac:dyDescent="0.2">
      <c r="A29" s="250" t="s">
        <v>177</v>
      </c>
      <c r="B29" s="108" t="s">
        <v>178</v>
      </c>
      <c r="C29" s="109" t="s">
        <v>179</v>
      </c>
      <c r="D29" s="98" t="s">
        <v>118</v>
      </c>
      <c r="E29" s="99" t="s">
        <v>123</v>
      </c>
      <c r="F29" s="100" t="s">
        <v>124</v>
      </c>
    </row>
    <row r="30" spans="1:6" x14ac:dyDescent="0.2">
      <c r="A30" s="251"/>
      <c r="B30" s="108" t="s">
        <v>180</v>
      </c>
      <c r="C30" s="109" t="s">
        <v>181</v>
      </c>
      <c r="D30" s="98" t="s">
        <v>118</v>
      </c>
      <c r="E30" s="99" t="s">
        <v>127</v>
      </c>
      <c r="F30" s="101" t="s">
        <v>128</v>
      </c>
    </row>
    <row r="31" spans="1:6" x14ac:dyDescent="0.2">
      <c r="A31" s="251"/>
      <c r="B31" s="108" t="s">
        <v>182</v>
      </c>
      <c r="C31" s="109" t="s">
        <v>183</v>
      </c>
      <c r="D31" s="98" t="s">
        <v>118</v>
      </c>
      <c r="E31" s="99" t="s">
        <v>119</v>
      </c>
      <c r="F31" s="101" t="s">
        <v>120</v>
      </c>
    </row>
    <row r="32" spans="1:6" x14ac:dyDescent="0.2">
      <c r="A32" s="251"/>
      <c r="B32" s="108" t="s">
        <v>184</v>
      </c>
      <c r="C32" s="109" t="s">
        <v>185</v>
      </c>
      <c r="D32" s="98" t="s">
        <v>118</v>
      </c>
      <c r="E32" s="99" t="s">
        <v>127</v>
      </c>
      <c r="F32" s="101" t="s">
        <v>128</v>
      </c>
    </row>
    <row r="33" spans="1:6" x14ac:dyDescent="0.2">
      <c r="A33" s="251"/>
      <c r="B33" s="108" t="s">
        <v>186</v>
      </c>
      <c r="C33" s="109" t="s">
        <v>187</v>
      </c>
      <c r="D33" s="98" t="s">
        <v>118</v>
      </c>
      <c r="E33" s="99" t="s">
        <v>188</v>
      </c>
      <c r="F33" s="101" t="s">
        <v>120</v>
      </c>
    </row>
    <row r="34" spans="1:6" x14ac:dyDescent="0.2">
      <c r="A34" s="251"/>
      <c r="B34" s="108" t="s">
        <v>189</v>
      </c>
      <c r="C34" s="109" t="s">
        <v>190</v>
      </c>
      <c r="D34" s="98" t="s">
        <v>118</v>
      </c>
      <c r="E34" s="99" t="s">
        <v>127</v>
      </c>
      <c r="F34" s="100" t="s">
        <v>128</v>
      </c>
    </row>
    <row r="35" spans="1:6" x14ac:dyDescent="0.2">
      <c r="A35" s="251"/>
      <c r="B35" s="108" t="s">
        <v>191</v>
      </c>
      <c r="C35" s="109" t="s">
        <v>192</v>
      </c>
      <c r="D35" s="98" t="s">
        <v>118</v>
      </c>
      <c r="E35" s="99" t="s">
        <v>188</v>
      </c>
      <c r="F35" s="100" t="s">
        <v>120</v>
      </c>
    </row>
    <row r="36" spans="1:6" x14ac:dyDescent="0.2">
      <c r="A36" s="251"/>
      <c r="B36" s="108" t="s">
        <v>193</v>
      </c>
      <c r="C36" s="109" t="s">
        <v>194</v>
      </c>
      <c r="D36" s="98" t="s">
        <v>118</v>
      </c>
      <c r="E36" s="99" t="s">
        <v>155</v>
      </c>
      <c r="F36" s="100" t="s">
        <v>156</v>
      </c>
    </row>
    <row r="37" spans="1:6" x14ac:dyDescent="0.2">
      <c r="A37" s="251"/>
      <c r="B37" s="108" t="s">
        <v>195</v>
      </c>
      <c r="C37" s="109" t="s">
        <v>196</v>
      </c>
      <c r="D37" s="98" t="s">
        <v>118</v>
      </c>
      <c r="E37" s="99" t="s">
        <v>188</v>
      </c>
      <c r="F37" s="101" t="s">
        <v>120</v>
      </c>
    </row>
    <row r="38" spans="1:6" x14ac:dyDescent="0.2">
      <c r="A38" s="251"/>
      <c r="B38" s="108" t="s">
        <v>197</v>
      </c>
      <c r="C38" s="109" t="s">
        <v>198</v>
      </c>
      <c r="D38" s="98" t="s">
        <v>118</v>
      </c>
      <c r="E38" s="99" t="s">
        <v>199</v>
      </c>
      <c r="F38" s="101" t="s">
        <v>115</v>
      </c>
    </row>
    <row r="39" spans="1:6" x14ac:dyDescent="0.2">
      <c r="A39" s="251"/>
      <c r="B39" s="108" t="s">
        <v>200</v>
      </c>
      <c r="C39" s="109" t="s">
        <v>201</v>
      </c>
      <c r="D39" s="98" t="s">
        <v>118</v>
      </c>
      <c r="E39" s="99" t="s">
        <v>202</v>
      </c>
      <c r="F39" s="100" t="s">
        <v>128</v>
      </c>
    </row>
    <row r="40" spans="1:6" x14ac:dyDescent="0.2">
      <c r="A40" s="251"/>
      <c r="B40" s="108" t="s">
        <v>203</v>
      </c>
      <c r="C40" s="109" t="s">
        <v>204</v>
      </c>
      <c r="D40" s="109" t="s">
        <v>139</v>
      </c>
      <c r="E40" s="99" t="s">
        <v>140</v>
      </c>
      <c r="F40" s="100" t="s">
        <v>141</v>
      </c>
    </row>
    <row r="41" spans="1:6" x14ac:dyDescent="0.2">
      <c r="A41" s="251"/>
      <c r="B41" s="108" t="s">
        <v>205</v>
      </c>
      <c r="C41" s="109" t="s">
        <v>206</v>
      </c>
      <c r="D41" s="98" t="s">
        <v>118</v>
      </c>
      <c r="E41" s="99" t="s">
        <v>123</v>
      </c>
      <c r="F41" s="101" t="s">
        <v>124</v>
      </c>
    </row>
    <row r="42" spans="1:6" x14ac:dyDescent="0.2">
      <c r="A42" s="252"/>
      <c r="B42" s="108" t="s">
        <v>207</v>
      </c>
      <c r="C42" s="109" t="s">
        <v>208</v>
      </c>
      <c r="D42" s="98" t="s">
        <v>118</v>
      </c>
      <c r="E42" s="99" t="s">
        <v>127</v>
      </c>
      <c r="F42" s="101" t="s">
        <v>128</v>
      </c>
    </row>
    <row r="43" spans="1:6" ht="14.25" x14ac:dyDescent="0.2">
      <c r="A43" s="114"/>
      <c r="B43" s="115">
        <v>14</v>
      </c>
      <c r="C43" s="116" t="s">
        <v>209</v>
      </c>
      <c r="D43" s="117"/>
      <c r="E43" s="106"/>
      <c r="F43" s="107"/>
    </row>
    <row r="44" spans="1:6" ht="12.75" customHeight="1" x14ac:dyDescent="0.2">
      <c r="A44" s="253" t="s">
        <v>210</v>
      </c>
      <c r="B44" s="108" t="s">
        <v>211</v>
      </c>
      <c r="C44" s="109" t="s">
        <v>291</v>
      </c>
      <c r="D44" s="109" t="s">
        <v>171</v>
      </c>
      <c r="E44" s="99" t="s">
        <v>140</v>
      </c>
      <c r="F44" s="100" t="s">
        <v>141</v>
      </c>
    </row>
    <row r="45" spans="1:6" ht="12.75" customHeight="1" x14ac:dyDescent="0.2">
      <c r="A45" s="254"/>
      <c r="B45" s="108" t="s">
        <v>212</v>
      </c>
      <c r="C45" s="109" t="s">
        <v>38</v>
      </c>
      <c r="D45" s="109" t="s">
        <v>118</v>
      </c>
      <c r="E45" s="99" t="s">
        <v>127</v>
      </c>
      <c r="F45" s="100" t="s">
        <v>128</v>
      </c>
    </row>
    <row r="46" spans="1:6" x14ac:dyDescent="0.2">
      <c r="A46" s="254"/>
      <c r="B46" s="108" t="s">
        <v>213</v>
      </c>
      <c r="C46" s="109" t="s">
        <v>39</v>
      </c>
      <c r="D46" s="109" t="s">
        <v>118</v>
      </c>
      <c r="E46" s="99" t="s">
        <v>127</v>
      </c>
      <c r="F46" s="100" t="s">
        <v>128</v>
      </c>
    </row>
    <row r="47" spans="1:6" x14ac:dyDescent="0.2">
      <c r="A47" s="254"/>
      <c r="B47" s="108" t="s">
        <v>214</v>
      </c>
      <c r="C47" s="109" t="s">
        <v>40</v>
      </c>
      <c r="D47" s="109" t="s">
        <v>118</v>
      </c>
      <c r="E47" s="99" t="s">
        <v>127</v>
      </c>
      <c r="F47" s="100" t="s">
        <v>128</v>
      </c>
    </row>
    <row r="48" spans="1:6" x14ac:dyDescent="0.2">
      <c r="A48" s="254"/>
      <c r="B48" s="108" t="s">
        <v>215</v>
      </c>
      <c r="C48" s="109" t="s">
        <v>41</v>
      </c>
      <c r="D48" s="109" t="s">
        <v>118</v>
      </c>
      <c r="E48" s="99" t="s">
        <v>161</v>
      </c>
      <c r="F48" s="100" t="s">
        <v>162</v>
      </c>
    </row>
    <row r="49" spans="1:6" x14ac:dyDescent="0.2">
      <c r="A49" s="254"/>
      <c r="B49" s="108" t="s">
        <v>216</v>
      </c>
      <c r="C49" s="109" t="s">
        <v>217</v>
      </c>
      <c r="D49" s="109" t="s">
        <v>118</v>
      </c>
      <c r="E49" s="99" t="s">
        <v>161</v>
      </c>
      <c r="F49" s="100" t="s">
        <v>162</v>
      </c>
    </row>
    <row r="50" spans="1:6" x14ac:dyDescent="0.2">
      <c r="A50" s="254"/>
      <c r="B50" s="108" t="s">
        <v>218</v>
      </c>
      <c r="C50" s="109" t="s">
        <v>43</v>
      </c>
      <c r="D50" s="109" t="s">
        <v>118</v>
      </c>
      <c r="E50" s="99" t="s">
        <v>127</v>
      </c>
      <c r="F50" s="100" t="s">
        <v>128</v>
      </c>
    </row>
    <row r="51" spans="1:6" x14ac:dyDescent="0.2">
      <c r="A51" s="254"/>
      <c r="B51" s="108" t="s">
        <v>219</v>
      </c>
      <c r="C51" s="109" t="s">
        <v>44</v>
      </c>
      <c r="D51" s="109" t="s">
        <v>118</v>
      </c>
      <c r="E51" s="99" t="s">
        <v>220</v>
      </c>
      <c r="F51" s="100" t="s">
        <v>221</v>
      </c>
    </row>
    <row r="52" spans="1:6" x14ac:dyDescent="0.2">
      <c r="A52" s="254"/>
      <c r="B52" s="108" t="s">
        <v>222</v>
      </c>
      <c r="C52" s="109" t="s">
        <v>59</v>
      </c>
      <c r="D52" s="109" t="s">
        <v>118</v>
      </c>
      <c r="E52" s="99" t="s">
        <v>123</v>
      </c>
      <c r="F52" s="100" t="s">
        <v>124</v>
      </c>
    </row>
    <row r="53" spans="1:6" x14ac:dyDescent="0.2">
      <c r="A53" s="254"/>
      <c r="B53" s="108" t="s">
        <v>223</v>
      </c>
      <c r="C53" s="109" t="s">
        <v>60</v>
      </c>
      <c r="D53" s="109" t="s">
        <v>118</v>
      </c>
      <c r="E53" s="99" t="s">
        <v>188</v>
      </c>
      <c r="F53" s="100" t="s">
        <v>120</v>
      </c>
    </row>
    <row r="54" spans="1:6" x14ac:dyDescent="0.2">
      <c r="A54" s="254"/>
      <c r="B54" s="108" t="s">
        <v>224</v>
      </c>
      <c r="C54" s="109" t="s">
        <v>61</v>
      </c>
      <c r="D54" s="109" t="s">
        <v>118</v>
      </c>
      <c r="E54" s="99" t="s">
        <v>127</v>
      </c>
      <c r="F54" s="100" t="s">
        <v>128</v>
      </c>
    </row>
    <row r="55" spans="1:6" x14ac:dyDescent="0.2">
      <c r="A55" s="254"/>
      <c r="B55" s="108" t="s">
        <v>225</v>
      </c>
      <c r="C55" s="109" t="s">
        <v>62</v>
      </c>
      <c r="D55" s="109" t="s">
        <v>118</v>
      </c>
      <c r="E55" s="99" t="s">
        <v>123</v>
      </c>
      <c r="F55" s="100" t="s">
        <v>124</v>
      </c>
    </row>
    <row r="56" spans="1:6" x14ac:dyDescent="0.2">
      <c r="A56" s="254"/>
      <c r="B56" s="108" t="s">
        <v>226</v>
      </c>
      <c r="C56" s="109" t="s">
        <v>63</v>
      </c>
      <c r="D56" s="109" t="s">
        <v>118</v>
      </c>
      <c r="E56" s="99" t="s">
        <v>127</v>
      </c>
      <c r="F56" s="100" t="s">
        <v>128</v>
      </c>
    </row>
    <row r="57" spans="1:6" x14ac:dyDescent="0.2">
      <c r="A57" s="254"/>
      <c r="B57" s="108" t="s">
        <v>227</v>
      </c>
      <c r="C57" s="109" t="s">
        <v>45</v>
      </c>
      <c r="D57" s="109" t="s">
        <v>118</v>
      </c>
      <c r="E57" s="99" t="s">
        <v>127</v>
      </c>
      <c r="F57" s="100" t="s">
        <v>128</v>
      </c>
    </row>
    <row r="58" spans="1:6" x14ac:dyDescent="0.2">
      <c r="A58" s="254"/>
      <c r="B58" s="108" t="s">
        <v>228</v>
      </c>
      <c r="C58" s="109" t="s">
        <v>64</v>
      </c>
      <c r="D58" s="109" t="s">
        <v>118</v>
      </c>
      <c r="E58" s="99" t="s">
        <v>127</v>
      </c>
      <c r="F58" s="100" t="s">
        <v>128</v>
      </c>
    </row>
    <row r="59" spans="1:6" x14ac:dyDescent="0.2">
      <c r="A59" s="254"/>
      <c r="B59" s="108" t="s">
        <v>229</v>
      </c>
      <c r="C59" s="109" t="s">
        <v>65</v>
      </c>
      <c r="D59" s="109" t="s">
        <v>118</v>
      </c>
      <c r="E59" s="99" t="s">
        <v>155</v>
      </c>
      <c r="F59" s="100" t="s">
        <v>156</v>
      </c>
    </row>
    <row r="60" spans="1:6" x14ac:dyDescent="0.2">
      <c r="A60" s="254"/>
      <c r="B60" s="108" t="s">
        <v>230</v>
      </c>
      <c r="C60" s="109" t="s">
        <v>46</v>
      </c>
      <c r="D60" s="109" t="s">
        <v>118</v>
      </c>
      <c r="E60" s="99" t="s">
        <v>127</v>
      </c>
      <c r="F60" s="100" t="s">
        <v>128</v>
      </c>
    </row>
    <row r="61" spans="1:6" x14ac:dyDescent="0.2">
      <c r="A61" s="254"/>
      <c r="B61" s="108" t="s">
        <v>231</v>
      </c>
      <c r="C61" s="109" t="s">
        <v>47</v>
      </c>
      <c r="D61" s="109" t="s">
        <v>118</v>
      </c>
      <c r="E61" s="99" t="s">
        <v>135</v>
      </c>
      <c r="F61" s="100" t="s">
        <v>136</v>
      </c>
    </row>
    <row r="62" spans="1:6" x14ac:dyDescent="0.2">
      <c r="A62" s="254"/>
      <c r="B62" s="108" t="s">
        <v>232</v>
      </c>
      <c r="C62" s="109" t="s">
        <v>48</v>
      </c>
      <c r="D62" s="109" t="s">
        <v>118</v>
      </c>
      <c r="E62" s="99" t="s">
        <v>144</v>
      </c>
      <c r="F62" s="100" t="s">
        <v>145</v>
      </c>
    </row>
    <row r="63" spans="1:6" x14ac:dyDescent="0.2">
      <c r="A63" s="254"/>
      <c r="B63" s="108" t="s">
        <v>233</v>
      </c>
      <c r="C63" s="109" t="s">
        <v>234</v>
      </c>
      <c r="D63" s="109" t="s">
        <v>235</v>
      </c>
      <c r="E63" s="99" t="s">
        <v>236</v>
      </c>
      <c r="F63" s="100" t="s">
        <v>237</v>
      </c>
    </row>
    <row r="64" spans="1:6" x14ac:dyDescent="0.2">
      <c r="A64" s="254"/>
      <c r="B64" s="108" t="s">
        <v>238</v>
      </c>
      <c r="C64" s="109" t="s">
        <v>49</v>
      </c>
      <c r="D64" s="109" t="s">
        <v>118</v>
      </c>
      <c r="E64" s="99" t="s">
        <v>135</v>
      </c>
      <c r="F64" s="100" t="s">
        <v>136</v>
      </c>
    </row>
    <row r="65" spans="1:6" x14ac:dyDescent="0.2">
      <c r="A65" s="254"/>
      <c r="B65" s="108" t="s">
        <v>239</v>
      </c>
      <c r="C65" s="109" t="s">
        <v>240</v>
      </c>
      <c r="D65" s="109" t="s">
        <v>241</v>
      </c>
      <c r="E65" s="99" t="s">
        <v>140</v>
      </c>
      <c r="F65" s="100" t="s">
        <v>141</v>
      </c>
    </row>
    <row r="66" spans="1:6" x14ac:dyDescent="0.2">
      <c r="A66" s="254"/>
      <c r="B66" s="108" t="s">
        <v>242</v>
      </c>
      <c r="C66" s="109" t="s">
        <v>243</v>
      </c>
      <c r="D66" s="109" t="s">
        <v>171</v>
      </c>
      <c r="E66" s="99" t="s">
        <v>140</v>
      </c>
      <c r="F66" s="100" t="s">
        <v>141</v>
      </c>
    </row>
    <row r="67" spans="1:6" x14ac:dyDescent="0.2">
      <c r="A67" s="254"/>
      <c r="B67" s="108" t="s">
        <v>244</v>
      </c>
      <c r="C67" s="109" t="s">
        <v>245</v>
      </c>
      <c r="D67" s="109" t="s">
        <v>171</v>
      </c>
      <c r="E67" s="99" t="s">
        <v>140</v>
      </c>
      <c r="F67" s="100" t="s">
        <v>141</v>
      </c>
    </row>
    <row r="68" spans="1:6" x14ac:dyDescent="0.2">
      <c r="A68" s="254"/>
      <c r="B68" s="108" t="s">
        <v>246</v>
      </c>
      <c r="C68" s="109" t="s">
        <v>247</v>
      </c>
      <c r="D68" s="109" t="s">
        <v>171</v>
      </c>
      <c r="E68" s="99" t="s">
        <v>140</v>
      </c>
      <c r="F68" s="100" t="s">
        <v>141</v>
      </c>
    </row>
    <row r="69" spans="1:6" x14ac:dyDescent="0.2">
      <c r="A69" s="254"/>
      <c r="B69" s="108" t="s">
        <v>248</v>
      </c>
      <c r="C69" s="109" t="s">
        <v>97</v>
      </c>
      <c r="D69" s="109" t="s">
        <v>171</v>
      </c>
      <c r="E69" s="99" t="s">
        <v>140</v>
      </c>
      <c r="F69" s="100" t="s">
        <v>141</v>
      </c>
    </row>
    <row r="70" spans="1:6" x14ac:dyDescent="0.2">
      <c r="A70" s="254"/>
      <c r="B70" s="108" t="s">
        <v>249</v>
      </c>
      <c r="C70" s="109" t="s">
        <v>96</v>
      </c>
      <c r="D70" s="109" t="s">
        <v>171</v>
      </c>
      <c r="E70" s="99" t="s">
        <v>140</v>
      </c>
      <c r="F70" s="100" t="s">
        <v>141</v>
      </c>
    </row>
    <row r="71" spans="1:6" x14ac:dyDescent="0.2">
      <c r="A71" s="254"/>
      <c r="B71" s="108" t="s">
        <v>250</v>
      </c>
      <c r="C71" s="109" t="s">
        <v>66</v>
      </c>
      <c r="D71" s="109" t="s">
        <v>118</v>
      </c>
      <c r="E71" s="99" t="s">
        <v>127</v>
      </c>
      <c r="F71" s="100" t="s">
        <v>128</v>
      </c>
    </row>
    <row r="72" spans="1:6" x14ac:dyDescent="0.2">
      <c r="A72" s="254"/>
      <c r="B72" s="108" t="s">
        <v>251</v>
      </c>
      <c r="C72" s="109" t="s">
        <v>50</v>
      </c>
      <c r="D72" s="109" t="s">
        <v>118</v>
      </c>
      <c r="E72" s="99" t="s">
        <v>135</v>
      </c>
      <c r="F72" s="100" t="s">
        <v>136</v>
      </c>
    </row>
    <row r="73" spans="1:6" x14ac:dyDescent="0.2">
      <c r="A73" s="254"/>
      <c r="B73" s="108" t="s">
        <v>252</v>
      </c>
      <c r="C73" s="109" t="s">
        <v>67</v>
      </c>
      <c r="D73" s="109" t="s">
        <v>139</v>
      </c>
      <c r="E73" s="99" t="s">
        <v>140</v>
      </c>
      <c r="F73" s="100" t="s">
        <v>141</v>
      </c>
    </row>
    <row r="74" spans="1:6" x14ac:dyDescent="0.2">
      <c r="A74" s="254"/>
      <c r="B74" s="108" t="s">
        <v>253</v>
      </c>
      <c r="C74" s="109" t="s">
        <v>68</v>
      </c>
      <c r="D74" s="109" t="s">
        <v>139</v>
      </c>
      <c r="E74" s="99" t="s">
        <v>140</v>
      </c>
      <c r="F74" s="100" t="s">
        <v>141</v>
      </c>
    </row>
    <row r="75" spans="1:6" x14ac:dyDescent="0.2">
      <c r="A75" s="254"/>
      <c r="B75" s="108" t="s">
        <v>254</v>
      </c>
      <c r="C75" s="109" t="s">
        <v>255</v>
      </c>
      <c r="D75" s="109" t="s">
        <v>139</v>
      </c>
      <c r="E75" s="99" t="s">
        <v>140</v>
      </c>
      <c r="F75" s="100" t="s">
        <v>141</v>
      </c>
    </row>
    <row r="76" spans="1:6" x14ac:dyDescent="0.2">
      <c r="A76" s="254"/>
      <c r="B76" s="108" t="s">
        <v>256</v>
      </c>
      <c r="C76" s="109" t="s">
        <v>70</v>
      </c>
      <c r="D76" s="109" t="s">
        <v>171</v>
      </c>
      <c r="E76" s="99" t="s">
        <v>140</v>
      </c>
      <c r="F76" s="100" t="s">
        <v>141</v>
      </c>
    </row>
    <row r="77" spans="1:6" x14ac:dyDescent="0.2">
      <c r="A77" s="254"/>
      <c r="B77" s="108" t="s">
        <v>257</v>
      </c>
      <c r="C77" s="109" t="s">
        <v>258</v>
      </c>
      <c r="D77" s="109" t="s">
        <v>171</v>
      </c>
      <c r="E77" s="99" t="s">
        <v>140</v>
      </c>
      <c r="F77" s="100" t="s">
        <v>141</v>
      </c>
    </row>
    <row r="78" spans="1:6" x14ac:dyDescent="0.2">
      <c r="A78" s="254"/>
      <c r="B78" s="108" t="s">
        <v>259</v>
      </c>
      <c r="C78" s="109" t="s">
        <v>260</v>
      </c>
      <c r="D78" s="109" t="s">
        <v>171</v>
      </c>
      <c r="E78" s="99" t="s">
        <v>140</v>
      </c>
      <c r="F78" s="100" t="s">
        <v>141</v>
      </c>
    </row>
    <row r="79" spans="1:6" x14ac:dyDescent="0.2">
      <c r="A79" s="254"/>
      <c r="B79" s="108" t="s">
        <v>261</v>
      </c>
      <c r="C79" s="109" t="s">
        <v>73</v>
      </c>
      <c r="D79" s="109" t="s">
        <v>171</v>
      </c>
      <c r="E79" s="99" t="s">
        <v>140</v>
      </c>
      <c r="F79" s="100" t="s">
        <v>141</v>
      </c>
    </row>
    <row r="80" spans="1:6" x14ac:dyDescent="0.2">
      <c r="A80" s="254"/>
      <c r="B80" s="108" t="s">
        <v>262</v>
      </c>
      <c r="C80" s="109" t="s">
        <v>51</v>
      </c>
      <c r="D80" s="109" t="s">
        <v>118</v>
      </c>
      <c r="E80" s="99" t="s">
        <v>144</v>
      </c>
      <c r="F80" s="100" t="s">
        <v>145</v>
      </c>
    </row>
    <row r="81" spans="1:6" x14ac:dyDescent="0.2">
      <c r="A81" s="254"/>
      <c r="B81" s="108" t="s">
        <v>263</v>
      </c>
      <c r="C81" s="109" t="s">
        <v>52</v>
      </c>
      <c r="D81" s="109" t="s">
        <v>118</v>
      </c>
      <c r="E81" s="99" t="s">
        <v>264</v>
      </c>
      <c r="F81" s="100" t="s">
        <v>265</v>
      </c>
    </row>
    <row r="82" spans="1:6" x14ac:dyDescent="0.2">
      <c r="A82" s="254"/>
      <c r="B82" s="108" t="s">
        <v>266</v>
      </c>
      <c r="C82" s="109" t="s">
        <v>267</v>
      </c>
      <c r="D82" s="109" t="s">
        <v>268</v>
      </c>
      <c r="E82" s="99" t="s">
        <v>140</v>
      </c>
      <c r="F82" s="100" t="s">
        <v>141</v>
      </c>
    </row>
    <row r="83" spans="1:6" x14ac:dyDescent="0.2">
      <c r="A83" s="254"/>
      <c r="B83" s="108" t="s">
        <v>269</v>
      </c>
      <c r="C83" s="109" t="s">
        <v>270</v>
      </c>
      <c r="D83" s="109" t="s">
        <v>171</v>
      </c>
      <c r="E83" s="99" t="s">
        <v>140</v>
      </c>
      <c r="F83" s="100" t="s">
        <v>141</v>
      </c>
    </row>
    <row r="84" spans="1:6" x14ac:dyDescent="0.2">
      <c r="A84" s="254"/>
      <c r="B84" s="108" t="s">
        <v>271</v>
      </c>
      <c r="C84" s="109" t="s">
        <v>53</v>
      </c>
      <c r="D84" s="109" t="s">
        <v>118</v>
      </c>
      <c r="E84" s="99" t="s">
        <v>135</v>
      </c>
      <c r="F84" s="100" t="s">
        <v>136</v>
      </c>
    </row>
    <row r="85" spans="1:6" x14ac:dyDescent="0.2">
      <c r="A85" s="254"/>
      <c r="B85" s="111" t="s">
        <v>272</v>
      </c>
      <c r="C85" s="112" t="s">
        <v>273</v>
      </c>
      <c r="D85" s="112" t="s">
        <v>118</v>
      </c>
      <c r="E85" s="99" t="s">
        <v>264</v>
      </c>
      <c r="F85" s="100" t="s">
        <v>265</v>
      </c>
    </row>
    <row r="86" spans="1:6" ht="14.25" x14ac:dyDescent="0.2">
      <c r="A86" s="118"/>
      <c r="B86" s="119">
        <v>42</v>
      </c>
      <c r="C86" s="120" t="s">
        <v>274</v>
      </c>
      <c r="D86" s="121"/>
      <c r="E86" s="121"/>
    </row>
    <row r="87" spans="1:6" ht="18" customHeight="1" x14ac:dyDescent="0.25">
      <c r="A87" s="255" t="s">
        <v>275</v>
      </c>
      <c r="B87" s="111" t="s">
        <v>276</v>
      </c>
      <c r="C87" s="122" t="s">
        <v>277</v>
      </c>
      <c r="D87" s="112" t="s">
        <v>278</v>
      </c>
      <c r="E87" s="123">
        <v>1</v>
      </c>
    </row>
    <row r="88" spans="1:6" ht="18" customHeight="1" x14ac:dyDescent="0.25">
      <c r="A88" s="256"/>
      <c r="B88" s="124" t="s">
        <v>279</v>
      </c>
      <c r="C88" s="125" t="s">
        <v>280</v>
      </c>
      <c r="D88" s="112" t="s">
        <v>281</v>
      </c>
      <c r="E88" s="123">
        <v>1</v>
      </c>
    </row>
    <row r="89" spans="1:6" ht="18" customHeight="1" x14ac:dyDescent="0.25">
      <c r="A89" s="256"/>
      <c r="B89" s="246" t="s">
        <v>282</v>
      </c>
      <c r="C89" s="246"/>
      <c r="D89" s="246"/>
      <c r="E89" s="123">
        <v>55</v>
      </c>
    </row>
    <row r="90" spans="1:6" ht="18" customHeight="1" x14ac:dyDescent="0.25">
      <c r="A90" s="256"/>
      <c r="B90" s="246" t="s">
        <v>283</v>
      </c>
      <c r="C90" s="246" t="s">
        <v>283</v>
      </c>
      <c r="D90" s="246"/>
      <c r="E90" s="123">
        <v>5</v>
      </c>
    </row>
    <row r="91" spans="1:6" ht="18" customHeight="1" x14ac:dyDescent="0.25">
      <c r="A91" s="256"/>
      <c r="B91" s="246" t="s">
        <v>284</v>
      </c>
      <c r="C91" s="246" t="s">
        <v>284</v>
      </c>
      <c r="D91" s="246"/>
      <c r="E91" s="123">
        <v>13</v>
      </c>
    </row>
    <row r="92" spans="1:6" ht="18" customHeight="1" x14ac:dyDescent="0.25">
      <c r="A92" s="256"/>
      <c r="B92" s="246" t="s">
        <v>285</v>
      </c>
      <c r="C92" s="246" t="s">
        <v>285</v>
      </c>
      <c r="D92" s="246"/>
      <c r="E92" s="123">
        <v>1</v>
      </c>
    </row>
    <row r="93" spans="1:6" ht="18" customHeight="1" x14ac:dyDescent="0.25">
      <c r="A93" s="256"/>
      <c r="B93" s="257" t="s">
        <v>286</v>
      </c>
      <c r="C93" s="258" t="s">
        <v>286</v>
      </c>
      <c r="D93" s="259"/>
      <c r="E93" s="123">
        <v>1</v>
      </c>
    </row>
    <row r="94" spans="1:6" ht="18" customHeight="1" x14ac:dyDescent="0.25">
      <c r="A94" s="256"/>
      <c r="B94" s="246" t="s">
        <v>287</v>
      </c>
      <c r="C94" s="246" t="s">
        <v>287</v>
      </c>
      <c r="D94" s="246"/>
      <c r="E94" s="123">
        <v>1</v>
      </c>
    </row>
    <row r="95" spans="1:6" ht="18" customHeight="1" x14ac:dyDescent="0.25">
      <c r="A95" s="256"/>
      <c r="B95" s="246" t="s">
        <v>9</v>
      </c>
      <c r="C95" s="246" t="s">
        <v>9</v>
      </c>
      <c r="D95" s="246"/>
      <c r="E95" s="123">
        <v>78</v>
      </c>
    </row>
    <row r="96" spans="1:6" ht="18" customHeight="1" x14ac:dyDescent="0.2">
      <c r="A96" s="126"/>
      <c r="B96" s="127"/>
      <c r="C96" s="128"/>
    </row>
    <row r="98" spans="2:2" x14ac:dyDescent="0.2">
      <c r="B98" s="129" t="s">
        <v>288</v>
      </c>
    </row>
  </sheetData>
  <mergeCells count="17">
    <mergeCell ref="A7:A15"/>
    <mergeCell ref="A1:F1"/>
    <mergeCell ref="A2:F2"/>
    <mergeCell ref="A3:F3"/>
    <mergeCell ref="A5:B5"/>
    <mergeCell ref="E5:F5"/>
    <mergeCell ref="B95:D95"/>
    <mergeCell ref="A17:A27"/>
    <mergeCell ref="A29:A42"/>
    <mergeCell ref="A44:A85"/>
    <mergeCell ref="A87:A95"/>
    <mergeCell ref="B89:D89"/>
    <mergeCell ref="B90:D90"/>
    <mergeCell ref="B91:D91"/>
    <mergeCell ref="B92:D92"/>
    <mergeCell ref="B93:D93"/>
    <mergeCell ref="B94:D94"/>
  </mergeCells>
  <printOptions horizontalCentered="1"/>
  <pageMargins left="0" right="0" top="0" bottom="0" header="0" footer="0"/>
  <pageSetup scale="61" orientation="portrait" verticalDpi="4294967295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6</vt:i4>
      </vt:variant>
    </vt:vector>
  </HeadingPairs>
  <TitlesOfParts>
    <vt:vector size="15" baseType="lpstr">
      <vt:lpstr>METAS UNIDADES URBANAS</vt:lpstr>
      <vt:lpstr>METAS UNIDADES RURALES</vt:lpstr>
      <vt:lpstr>Comparación</vt:lpstr>
      <vt:lpstr>DISTRIBUCIÓN DE JERINGA</vt:lpstr>
      <vt:lpstr>RUTA 1</vt:lpstr>
      <vt:lpstr>RUTA 2</vt:lpstr>
      <vt:lpstr>RUTA 3</vt:lpstr>
      <vt:lpstr>CARAVANAS</vt:lpstr>
      <vt:lpstr>CLUES JS1</vt:lpstr>
      <vt:lpstr>'CLUES JS1'!Área_de_impresión</vt:lpstr>
      <vt:lpstr>'METAS UNIDADES RURALES'!Área_de_impresión</vt:lpstr>
      <vt:lpstr>'METAS UNIDADES URBANAS'!Área_de_impresión</vt:lpstr>
      <vt:lpstr>'CLUES JS1'!temp</vt:lpstr>
      <vt:lpstr>'METAS UNIDADES RURALES'!Títulos_a_imprimir</vt:lpstr>
      <vt:lpstr>'METAS UNIDADES URBANAS'!Títulos_a_imprimir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</dc:creator>
  <cp:lastModifiedBy>Carlos Becerra</cp:lastModifiedBy>
  <cp:lastPrinted>2025-10-28T17:00:26Z</cp:lastPrinted>
  <dcterms:created xsi:type="dcterms:W3CDTF">2022-09-29T16:04:01Z</dcterms:created>
  <dcterms:modified xsi:type="dcterms:W3CDTF">2025-10-28T17:00:26Z</dcterms:modified>
</cp:coreProperties>
</file>