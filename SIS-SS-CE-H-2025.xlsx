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"/>
    </mc:Choice>
  </mc:AlternateContent>
  <xr:revisionPtr revIDLastSave="0" documentId="13_ncr:1_{66B52018-9EF5-4402-9BC4-A647A1F02F1C}" xr6:coauthVersionLast="47" xr6:coauthVersionMax="47" xr10:uidLastSave="{00000000-0000-0000-0000-000000000000}"/>
  <bookViews>
    <workbookView xWindow="-120" yWindow="-120" windowWidth="24240" windowHeight="13020" xr2:uid="{284CBCFA-5265-4F69-8A17-5CDF42417C71}"/>
  </bookViews>
  <sheets>
    <sheet name="SIS-SS-CE-H-2025" sheetId="1" r:id="rId1"/>
  </sheets>
  <externalReferences>
    <externalReference r:id="rId2"/>
  </externalReferences>
  <definedNames>
    <definedName name="_xlnm.Print_Area" localSheetId="0">'SIS-SS-CE-H-2025'!$A$1:$AB$74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9" i="1" l="1"/>
  <c r="Q68" i="1"/>
  <c r="Q67" i="1"/>
  <c r="Q66" i="1"/>
  <c r="Q65" i="1"/>
  <c r="Q64" i="1"/>
  <c r="AB63" i="1"/>
  <c r="Q63" i="1"/>
  <c r="AB62" i="1"/>
  <c r="Q62" i="1"/>
  <c r="AB61" i="1"/>
  <c r="Q61" i="1"/>
  <c r="AB60" i="1"/>
  <c r="Q60" i="1"/>
  <c r="AB59" i="1"/>
  <c r="Q59" i="1"/>
  <c r="AB58" i="1"/>
  <c r="Q58" i="1"/>
  <c r="AB57" i="1"/>
  <c r="Q57" i="1"/>
  <c r="AB56" i="1"/>
  <c r="Q56" i="1"/>
  <c r="AB55" i="1"/>
  <c r="Q55" i="1"/>
  <c r="AB54" i="1"/>
  <c r="Q54" i="1"/>
  <c r="AB53" i="1"/>
  <c r="Q53" i="1"/>
  <c r="AB52" i="1"/>
  <c r="Q52" i="1"/>
  <c r="AB51" i="1"/>
  <c r="Q51" i="1"/>
  <c r="AB50" i="1"/>
  <c r="Q50" i="1"/>
  <c r="AB49" i="1"/>
  <c r="Q49" i="1"/>
  <c r="Q48" i="1"/>
  <c r="AB47" i="1"/>
  <c r="Q47" i="1"/>
  <c r="Q46" i="1"/>
  <c r="Q45" i="1"/>
  <c r="Q44" i="1"/>
  <c r="Q43" i="1"/>
  <c r="Q42" i="1"/>
  <c r="Q41" i="1"/>
  <c r="Q40" i="1"/>
  <c r="Q39" i="1"/>
  <c r="AB38" i="1"/>
  <c r="Q38" i="1"/>
  <c r="AB37" i="1"/>
  <c r="Q37" i="1"/>
  <c r="AB36" i="1"/>
  <c r="Q36" i="1"/>
  <c r="AB35" i="1"/>
  <c r="Q35" i="1"/>
  <c r="AB34" i="1"/>
  <c r="Q34" i="1"/>
  <c r="AB33" i="1"/>
  <c r="Q33" i="1"/>
  <c r="AB32" i="1"/>
  <c r="Q32" i="1"/>
  <c r="AB31" i="1"/>
  <c r="Q31" i="1"/>
  <c r="AB30" i="1"/>
  <c r="Q30" i="1"/>
  <c r="AB29" i="1"/>
  <c r="Q29" i="1"/>
  <c r="AB28" i="1"/>
  <c r="Q28" i="1"/>
  <c r="AB27" i="1"/>
  <c r="Q27" i="1"/>
  <c r="AB26" i="1"/>
  <c r="Q26" i="1"/>
  <c r="AB25" i="1"/>
  <c r="Q25" i="1"/>
  <c r="AB24" i="1"/>
  <c r="Q24" i="1"/>
  <c r="AB23" i="1"/>
  <c r="Q23" i="1"/>
  <c r="AB22" i="1"/>
  <c r="Q22" i="1"/>
  <c r="AB21" i="1"/>
  <c r="Q21" i="1"/>
  <c r="AB20" i="1"/>
  <c r="Q20" i="1"/>
  <c r="AB19" i="1"/>
  <c r="AB18" i="1"/>
  <c r="AB17" i="1"/>
  <c r="Q17" i="1"/>
  <c r="AB16" i="1"/>
  <c r="Q16" i="1"/>
  <c r="AB15" i="1"/>
  <c r="Q15" i="1"/>
  <c r="AB14" i="1"/>
  <c r="Q14" i="1"/>
  <c r="AB13" i="1"/>
  <c r="Q13" i="1"/>
  <c r="AB12" i="1"/>
  <c r="Q12" i="1"/>
  <c r="AB11" i="1"/>
  <c r="Q11" i="1"/>
  <c r="AB10" i="1"/>
  <c r="Q10" i="1"/>
  <c r="AB9" i="1"/>
  <c r="Q9" i="1"/>
  <c r="AB8" i="1"/>
  <c r="Q8" i="1"/>
  <c r="AB7" i="1"/>
  <c r="AA4" i="1" l="1"/>
</calcChain>
</file>

<file path=xl/sharedStrings.xml><?xml version="1.0" encoding="utf-8"?>
<sst xmlns="http://schemas.openxmlformats.org/spreadsheetml/2006/main" count="434" uniqueCount="337">
  <si>
    <t>Sección III</t>
  </si>
  <si>
    <t>Informe Mensual de Actividades Realizadas en la Unidad Médica SINBA-SIS-CE-H</t>
  </si>
  <si>
    <t>Hoja 8 de 8</t>
  </si>
  <si>
    <t>Nombre de la unidad:</t>
  </si>
  <si>
    <t>CLUES:</t>
  </si>
  <si>
    <t>Nombre de la persona responsable de la información:</t>
  </si>
  <si>
    <t xml:space="preserve">Mes: </t>
  </si>
  <si>
    <t xml:space="preserve">Año: </t>
  </si>
  <si>
    <t>SIS-2025</t>
  </si>
  <si>
    <t>Variable</t>
  </si>
  <si>
    <t>Clave</t>
  </si>
  <si>
    <t>Total de dosis</t>
  </si>
  <si>
    <t>A Migrantes</t>
  </si>
  <si>
    <t>132    T d</t>
  </si>
  <si>
    <t>Embarazadas</t>
  </si>
  <si>
    <t>Primera</t>
  </si>
  <si>
    <t>10 a 19 años</t>
  </si>
  <si>
    <t>VAC39</t>
  </si>
  <si>
    <t>VTD51</t>
  </si>
  <si>
    <t>Aplicación de biológicos</t>
  </si>
  <si>
    <t>119 BCG</t>
  </si>
  <si>
    <t>Recién nacido (primeras 24 horas)</t>
  </si>
  <si>
    <t>VBC01</t>
  </si>
  <si>
    <t>VBC51</t>
  </si>
  <si>
    <t>20 y más años</t>
  </si>
  <si>
    <t>VAC40</t>
  </si>
  <si>
    <t>VTD52</t>
  </si>
  <si>
    <t>Recién nacido (de 2 a 28 días)</t>
  </si>
  <si>
    <t>VBC02</t>
  </si>
  <si>
    <t>VBC52</t>
  </si>
  <si>
    <t>Segunda</t>
  </si>
  <si>
    <t>VAC47</t>
  </si>
  <si>
    <t>VTD53</t>
  </si>
  <si>
    <t>29 días a 11 meses</t>
  </si>
  <si>
    <t>BIO50</t>
  </si>
  <si>
    <t>VBC53</t>
  </si>
  <si>
    <t>VAC48</t>
  </si>
  <si>
    <t>VTD54</t>
  </si>
  <si>
    <t>1 a 4 años</t>
  </si>
  <si>
    <t>BIO03</t>
  </si>
  <si>
    <t>VBC54</t>
  </si>
  <si>
    <t>Tercera</t>
  </si>
  <si>
    <t>VTD01</t>
  </si>
  <si>
    <t>VTD55</t>
  </si>
  <si>
    <t>5 a 13 años</t>
  </si>
  <si>
    <t>VBC03</t>
  </si>
  <si>
    <t>VBC55</t>
  </si>
  <si>
    <t>VTD02</t>
  </si>
  <si>
    <t>VTD56</t>
  </si>
  <si>
    <t>121 Hepatitis B</t>
  </si>
  <si>
    <t>Única recién nacido (0 a 7 días)</t>
  </si>
  <si>
    <t>VAC06</t>
  </si>
  <si>
    <t>VHB51</t>
  </si>
  <si>
    <t>Refuerzo</t>
  </si>
  <si>
    <t>VAC55</t>
  </si>
  <si>
    <t>VTD57</t>
  </si>
  <si>
    <t>Mayores de 11 años (sin antecedente vacunal)</t>
  </si>
  <si>
    <t>VHB01</t>
  </si>
  <si>
    <t>VHB52</t>
  </si>
  <si>
    <t>VAC56</t>
  </si>
  <si>
    <t>VTD58</t>
  </si>
  <si>
    <t>VHB02</t>
  </si>
  <si>
    <t>VHB53</t>
  </si>
  <si>
    <t>Mujeres No Embarazadas</t>
  </si>
  <si>
    <t>15 a 19 años</t>
  </si>
  <si>
    <t>VTD03</t>
  </si>
  <si>
    <t>VTD59</t>
  </si>
  <si>
    <t>Población en riesgo</t>
  </si>
  <si>
    <t>VHB03</t>
  </si>
  <si>
    <t>VHB54</t>
  </si>
  <si>
    <t>20 a 49 años</t>
  </si>
  <si>
    <t>VTD19</t>
  </si>
  <si>
    <t>VTD60</t>
  </si>
  <si>
    <t>VHB04</t>
  </si>
  <si>
    <t>VHB55</t>
  </si>
  <si>
    <t>50 a 59 años</t>
  </si>
  <si>
    <t>VTD20</t>
  </si>
  <si>
    <t>VTD61</t>
  </si>
  <si>
    <t>Personal de salud</t>
  </si>
  <si>
    <t>VHB05</t>
  </si>
  <si>
    <t>60 y más años</t>
  </si>
  <si>
    <t>VAC43</t>
  </si>
  <si>
    <t>VTD62</t>
  </si>
  <si>
    <t>VHB06</t>
  </si>
  <si>
    <t>Hombres</t>
  </si>
  <si>
    <t>VTD05</t>
  </si>
  <si>
    <t>VTD63</t>
  </si>
  <si>
    <t>275 Hexavalente acelular
DPaT + IPV + Hib + HB</t>
  </si>
  <si>
    <t>Primera 2 a 11 meses</t>
  </si>
  <si>
    <t>VAC67</t>
  </si>
  <si>
    <t>VHX51</t>
  </si>
  <si>
    <t>VTD21</t>
  </si>
  <si>
    <t>VTD64</t>
  </si>
  <si>
    <t>Segunda 4 a 11 meses</t>
  </si>
  <si>
    <t>VAC68</t>
  </si>
  <si>
    <t>VHX52</t>
  </si>
  <si>
    <t>VTD22</t>
  </si>
  <si>
    <t>VTD65</t>
  </si>
  <si>
    <t>Tercera 6 a 11 meses</t>
  </si>
  <si>
    <t>VAC69</t>
  </si>
  <si>
    <t>VHX53</t>
  </si>
  <si>
    <t>VAC46</t>
  </si>
  <si>
    <t>VTD66</t>
  </si>
  <si>
    <t>Refuerzo 18 a 23 meses</t>
  </si>
  <si>
    <t>VAC70</t>
  </si>
  <si>
    <t>VHX54</t>
  </si>
  <si>
    <t>Segunda
(1 a 2 meses despuès de la 1er dosis)</t>
  </si>
  <si>
    <t>VTD07</t>
  </si>
  <si>
    <t>VTD67</t>
  </si>
  <si>
    <t>Para iniciar o completar esquema 
1 a 4 años</t>
  </si>
  <si>
    <t>VHX01</t>
  </si>
  <si>
    <t>VHX55</t>
  </si>
  <si>
    <t>VTD23</t>
  </si>
  <si>
    <t>VTD68</t>
  </si>
  <si>
    <t>VHX02</t>
  </si>
  <si>
    <t>VHX56</t>
  </si>
  <si>
    <t>VTD24</t>
  </si>
  <si>
    <t>VTD69</t>
  </si>
  <si>
    <t>VHX03</t>
  </si>
  <si>
    <t>VHX57</t>
  </si>
  <si>
    <t>VAC51</t>
  </si>
  <si>
    <t>VTD70</t>
  </si>
  <si>
    <t>Refuerzo (1 a 4 años)</t>
  </si>
  <si>
    <t>VHX04</t>
  </si>
  <si>
    <t>VHX58</t>
  </si>
  <si>
    <t>VTD09</t>
  </si>
  <si>
    <t>VTD71</t>
  </si>
  <si>
    <t>123 DPT</t>
  </si>
  <si>
    <t xml:space="preserve">Única 4 años </t>
  </si>
  <si>
    <t>VAC12</t>
  </si>
  <si>
    <t>VDP51</t>
  </si>
  <si>
    <t>VTD25</t>
  </si>
  <si>
    <t>VTD72</t>
  </si>
  <si>
    <t>Para iniciar o completar esquema 5 a 6 años única</t>
  </si>
  <si>
    <t>VAC13</t>
  </si>
  <si>
    <t>VPD52</t>
  </si>
  <si>
    <t>VTD26</t>
  </si>
  <si>
    <t>VTD73</t>
  </si>
  <si>
    <t>274 Rotavirus RV1</t>
  </si>
  <si>
    <t>Primera 2 meses</t>
  </si>
  <si>
    <t>VRV01</t>
  </si>
  <si>
    <t>VRV51</t>
  </si>
  <si>
    <t>VAC54</t>
  </si>
  <si>
    <t>VTD74</t>
  </si>
  <si>
    <t xml:space="preserve">Segunda 4 meses </t>
  </si>
  <si>
    <t>VRV02</t>
  </si>
  <si>
    <t>VRV52</t>
  </si>
  <si>
    <t>Tercera
(1 año después de la 2a dosis)</t>
  </si>
  <si>
    <t>VTD11</t>
  </si>
  <si>
    <t>VTD75</t>
  </si>
  <si>
    <t>Para iniciar o completar esquema</t>
  </si>
  <si>
    <t>Primera 3 a 7 meses</t>
  </si>
  <si>
    <t>VRV03</t>
  </si>
  <si>
    <t>VRV53</t>
  </si>
  <si>
    <t>VTD27</t>
  </si>
  <si>
    <t>VTD76</t>
  </si>
  <si>
    <t>Segunda 5 a 7 meses</t>
  </si>
  <si>
    <t>VRV04</t>
  </si>
  <si>
    <t>VRV54</t>
  </si>
  <si>
    <t>VTD28</t>
  </si>
  <si>
    <t>VTD77</t>
  </si>
  <si>
    <t>125 Neumocócica Conjugada (13 valente)</t>
  </si>
  <si>
    <t>VAC17</t>
  </si>
  <si>
    <t>VNC51</t>
  </si>
  <si>
    <t>VTD13</t>
  </si>
  <si>
    <t>VTD78</t>
  </si>
  <si>
    <t xml:space="preserve">Segunda 4 a 11 meses </t>
  </si>
  <si>
    <t>VAC18</t>
  </si>
  <si>
    <t>VNC52</t>
  </si>
  <si>
    <t>VTD14</t>
  </si>
  <si>
    <t>VTD79</t>
  </si>
  <si>
    <t>Tercera 12 a 23 meses</t>
  </si>
  <si>
    <t>VAC19</t>
  </si>
  <si>
    <t>VNC53</t>
  </si>
  <si>
    <t>VTD29</t>
  </si>
  <si>
    <t>VTD80</t>
  </si>
  <si>
    <t>Para iniciar o completar esquema
1 a 4 años</t>
  </si>
  <si>
    <t>VNC01</t>
  </si>
  <si>
    <t>VNC54</t>
  </si>
  <si>
    <t>VTD30</t>
  </si>
  <si>
    <t>VTD81</t>
  </si>
  <si>
    <t>VNC02</t>
  </si>
  <si>
    <t>VNC55</t>
  </si>
  <si>
    <t>VTD16</t>
  </si>
  <si>
    <t>VTD82</t>
  </si>
  <si>
    <t>VNC03</t>
  </si>
  <si>
    <t>VNC56</t>
  </si>
  <si>
    <t>Refuerzo
(Cada 10 años, hasta completar 5 dosis)</t>
  </si>
  <si>
    <t>VTD31</t>
  </si>
  <si>
    <r>
      <t xml:space="preserve">Personas de 60 años y más, </t>
    </r>
    <r>
      <rPr>
        <b/>
        <sz val="8"/>
        <rFont val="Arial Nova"/>
        <family val="2"/>
      </rPr>
      <t>sin</t>
    </r>
    <r>
      <rPr>
        <sz val="8"/>
        <rFont val="Arial Nova"/>
        <family val="2"/>
      </rPr>
      <t xml:space="preserve"> factores de riesgo</t>
    </r>
  </si>
  <si>
    <t>Única</t>
  </si>
  <si>
    <t>VAC93</t>
  </si>
  <si>
    <t>VNC57</t>
  </si>
  <si>
    <t>VTD32</t>
  </si>
  <si>
    <t>VTD33</t>
  </si>
  <si>
    <r>
      <t xml:space="preserve">Personas de 60 años y más, </t>
    </r>
    <r>
      <rPr>
        <b/>
        <sz val="8"/>
        <rFont val="Arial Nova"/>
        <family val="2"/>
      </rPr>
      <t>con</t>
    </r>
    <r>
      <rPr>
        <sz val="8"/>
        <rFont val="Arial Nova"/>
        <family val="2"/>
      </rPr>
      <t xml:space="preserve"> factores de riesgo</t>
    </r>
  </si>
  <si>
    <t>VAC94</t>
  </si>
  <si>
    <t>VNC58</t>
  </si>
  <si>
    <t>VAC59</t>
  </si>
  <si>
    <t>VTD34</t>
  </si>
  <si>
    <t>126 Neumocócica polisacarida 
(23 serotipos)</t>
  </si>
  <si>
    <t>Personas de 61 años y más con factores de riesgo (12 meses después de recibir la vacuna antineumocócica conjugada)</t>
  </si>
  <si>
    <t>VNP01</t>
  </si>
  <si>
    <t>VNP51</t>
  </si>
  <si>
    <t>VTD35</t>
  </si>
  <si>
    <t>VTD36</t>
  </si>
  <si>
    <t>127 S R P
Triple viral</t>
  </si>
  <si>
    <t>Primera 12 meses</t>
  </si>
  <si>
    <t>VAC23</t>
  </si>
  <si>
    <t>VTV51</t>
  </si>
  <si>
    <t>VAC62</t>
  </si>
  <si>
    <t>Segunda 18 meses</t>
  </si>
  <si>
    <t>VTV01</t>
  </si>
  <si>
    <t>VTV52</t>
  </si>
  <si>
    <t>133 Tdpa</t>
  </si>
  <si>
    <t>Embarazada a partir de la semana 20 de gestación</t>
  </si>
  <si>
    <t>VAC63</t>
  </si>
  <si>
    <t>Segunda 6 años</t>
  </si>
  <si>
    <t>VAC81</t>
  </si>
  <si>
    <t>VTV53</t>
  </si>
  <si>
    <r>
      <t>Personal en riesgo</t>
    </r>
    <r>
      <rPr>
        <b/>
        <sz val="8"/>
        <color rgb="FFFF0000"/>
        <rFont val="Arial Nova"/>
        <family val="2"/>
      </rPr>
      <t>**</t>
    </r>
  </si>
  <si>
    <t>VDP01</t>
  </si>
  <si>
    <t>Primera 13 meses a 9 años</t>
  </si>
  <si>
    <t>VTV02</t>
  </si>
  <si>
    <t>VTV54</t>
  </si>
  <si>
    <t>344 COVID-19</t>
  </si>
  <si>
    <t>5 a 11 años</t>
  </si>
  <si>
    <t>VCV22</t>
  </si>
  <si>
    <t>VCV71</t>
  </si>
  <si>
    <t>Segunda 19 meses a 9 años</t>
  </si>
  <si>
    <t>VTV03</t>
  </si>
  <si>
    <t>VTV55</t>
  </si>
  <si>
    <t>VCV23</t>
  </si>
  <si>
    <t>VCV72</t>
  </si>
  <si>
    <t>128 S R
Doble viral</t>
  </si>
  <si>
    <t>Adicional 6 a 11 meses</t>
  </si>
  <si>
    <t>VAC82</t>
  </si>
  <si>
    <t>VDV51</t>
  </si>
  <si>
    <t>VCV24</t>
  </si>
  <si>
    <t>VCV73</t>
  </si>
  <si>
    <t>Adicional 1 a 4 años</t>
  </si>
  <si>
    <t>VAC91</t>
  </si>
  <si>
    <t>VDV52</t>
  </si>
  <si>
    <t>5 a 59 años con factores de riesgo</t>
  </si>
  <si>
    <t>VCV25</t>
  </si>
  <si>
    <t>VCV74</t>
  </si>
  <si>
    <t>Para iniciar o completar esquema de 10 a 39 años</t>
  </si>
  <si>
    <t>VAC83</t>
  </si>
  <si>
    <t>VDV53</t>
  </si>
  <si>
    <t>VCV26</t>
  </si>
  <si>
    <t>VCV75</t>
  </si>
  <si>
    <t>129 VPH Mujeres</t>
  </si>
  <si>
    <t>Niñas y/o adolescentes de quinto año de primaria o de 11 años no escolarizadas</t>
  </si>
  <si>
    <t>VPH05</t>
  </si>
  <si>
    <t>VPH51</t>
  </si>
  <si>
    <t>VCV27</t>
  </si>
  <si>
    <t>VCV76</t>
  </si>
  <si>
    <r>
      <t>Refuerzo</t>
    </r>
    <r>
      <rPr>
        <b/>
        <sz val="8"/>
        <color rgb="FFFF0000"/>
        <rFont val="Arial Nova"/>
        <family val="2"/>
      </rPr>
      <t>***</t>
    </r>
  </si>
  <si>
    <t>VCV28</t>
  </si>
  <si>
    <t>VCV77</t>
  </si>
  <si>
    <t>Niñas y/o adolescentes de 12 a 16 años (rezagadas)</t>
  </si>
  <si>
    <t>VPH06</t>
  </si>
  <si>
    <t>VPH52</t>
  </si>
  <si>
    <t>60 años y más</t>
  </si>
  <si>
    <t>VCV13</t>
  </si>
  <si>
    <t>VCV63</t>
  </si>
  <si>
    <t>Niñas y/o adolescentes víctimas de violación sexual de 9 a 14 años</t>
  </si>
  <si>
    <t>VPH07</t>
  </si>
  <si>
    <t>VPH53</t>
  </si>
  <si>
    <t>VCV14</t>
  </si>
  <si>
    <t>VCV64</t>
  </si>
  <si>
    <t>Niñas y/o adolescentes víctimas de violación sexual de 15 a 19 años</t>
  </si>
  <si>
    <t>VPH08</t>
  </si>
  <si>
    <t>VPH54</t>
  </si>
  <si>
    <t>VCV15</t>
  </si>
  <si>
    <t>VCV65</t>
  </si>
  <si>
    <t>Mujeres cis y trans de 11 a 49 años que viven con VIH</t>
  </si>
  <si>
    <t>VAC84</t>
  </si>
  <si>
    <t>VPH55</t>
  </si>
  <si>
    <t>VCV16</t>
  </si>
  <si>
    <t>VCV66</t>
  </si>
  <si>
    <t>VAC85</t>
  </si>
  <si>
    <t>VPH56</t>
  </si>
  <si>
    <t>VCV17</t>
  </si>
  <si>
    <t>VCV67</t>
  </si>
  <si>
    <t>VAC92</t>
  </si>
  <si>
    <t>VPH57</t>
  </si>
  <si>
    <t>VCV18</t>
  </si>
  <si>
    <t>VCV68</t>
  </si>
  <si>
    <t>Hombres cis y trans de 11 a 49 años que viven con VIH</t>
  </si>
  <si>
    <t>VPH09</t>
  </si>
  <si>
    <t>VPH58</t>
  </si>
  <si>
    <t>VCV19</t>
  </si>
  <si>
    <t>VCV69</t>
  </si>
  <si>
    <t>VPH10</t>
  </si>
  <si>
    <t>VPH59</t>
  </si>
  <si>
    <t>VCV20</t>
  </si>
  <si>
    <t>VCV70</t>
  </si>
  <si>
    <t>VPH11</t>
  </si>
  <si>
    <t>VPH60</t>
  </si>
  <si>
    <t>VCV29</t>
  </si>
  <si>
    <r>
      <t>131 Varicela</t>
    </r>
    <r>
      <rPr>
        <b/>
        <sz val="8"/>
        <color rgb="FFFF0000"/>
        <rFont val="Arial Nova"/>
        <family val="2"/>
      </rPr>
      <t>*</t>
    </r>
  </si>
  <si>
    <t>Primera 1 a 3 años</t>
  </si>
  <si>
    <t>VAC36</t>
  </si>
  <si>
    <t>VAR51</t>
  </si>
  <si>
    <t>VCV30</t>
  </si>
  <si>
    <t xml:space="preserve">Segunda 1 a 6 años </t>
  </si>
  <si>
    <t>VAR01</t>
  </si>
  <si>
    <t>VAR52</t>
  </si>
  <si>
    <t>VCV31</t>
  </si>
  <si>
    <t>Población de riesgo</t>
  </si>
  <si>
    <t>VAC38</t>
  </si>
  <si>
    <t>VAR53</t>
  </si>
  <si>
    <t>VCV21</t>
  </si>
  <si>
    <r>
      <t>122 Hepatitis A</t>
    </r>
    <r>
      <rPr>
        <b/>
        <sz val="8"/>
        <color rgb="FFFF0000"/>
        <rFont val="Arial Nova"/>
        <family val="2"/>
      </rPr>
      <t>*</t>
    </r>
  </si>
  <si>
    <t>1 a 8 años única</t>
  </si>
  <si>
    <t>VAC87</t>
  </si>
  <si>
    <t>VHA51</t>
  </si>
  <si>
    <r>
      <t>Otros grupos de baja prioridad</t>
    </r>
    <r>
      <rPr>
        <b/>
        <sz val="8"/>
        <color rgb="FFFF0000"/>
        <rFont val="Arial Nova"/>
        <family val="2"/>
      </rPr>
      <t>****</t>
    </r>
  </si>
  <si>
    <t>6 a 11 meses</t>
  </si>
  <si>
    <t>VCV32</t>
  </si>
  <si>
    <t>BIO88</t>
  </si>
  <si>
    <t>VHA52</t>
  </si>
  <si>
    <t>VCV33</t>
  </si>
  <si>
    <t>*</t>
  </si>
  <si>
    <r>
      <t xml:space="preserve">Vacunas que </t>
    </r>
    <r>
      <rPr>
        <b/>
        <sz val="8"/>
        <color rgb="FFFF0000"/>
        <rFont val="Arial Nova"/>
        <family val="2"/>
      </rPr>
      <t>NO</t>
    </r>
    <r>
      <rPr>
        <sz val="8"/>
        <rFont val="Arial Nova"/>
        <family val="2"/>
      </rPr>
      <t xml:space="preserve"> forman parte del Programa de Vacunación Universal</t>
    </r>
  </si>
  <si>
    <t>VCV34</t>
  </si>
  <si>
    <t>**</t>
  </si>
  <si>
    <t>Personal de salud en contacto con menores de 1 año</t>
  </si>
  <si>
    <t>12 a 59 meses</t>
  </si>
  <si>
    <t>VCV35</t>
  </si>
  <si>
    <t>***</t>
  </si>
  <si>
    <t>Refuerzo únicamente en población en riesgo, ver Lineamientos vigentes</t>
  </si>
  <si>
    <t>VCV36</t>
  </si>
  <si>
    <t>****</t>
  </si>
  <si>
    <t>En el grupo de otros, se consideran aquellas cohortes que inician o completan esquemas y que son considerados por la OMS de prioridad baja y no forman parte de la población blanco de esta intervención.</t>
  </si>
  <si>
    <t>VCV37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</si>
</sst>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Nova"/>
      <family val="2"/>
    </font>
    <font>
      <b/>
      <sz val="14"/>
      <color theme="1"/>
      <name val="Arial Nova"/>
      <family val="2"/>
    </font>
    <font>
      <sz val="8"/>
      <color theme="1"/>
      <name val="Arial Nova"/>
      <family val="2"/>
    </font>
    <font>
      <b/>
      <sz val="8"/>
      <color theme="1"/>
      <name val="Arial Nova"/>
      <family val="2"/>
    </font>
    <font>
      <b/>
      <sz val="10"/>
      <color theme="1"/>
      <name val="Arial Nova"/>
      <family val="2"/>
    </font>
    <font>
      <b/>
      <sz val="10"/>
      <name val="Arial Nova"/>
      <family val="2"/>
    </font>
    <font>
      <b/>
      <sz val="9"/>
      <color theme="1"/>
      <name val="Arial Nova"/>
      <family val="2"/>
    </font>
    <font>
      <sz val="10"/>
      <name val="Arial Nova"/>
      <family val="2"/>
    </font>
    <font>
      <sz val="12"/>
      <color theme="1"/>
      <name val="Arial Nova"/>
      <family val="2"/>
    </font>
    <font>
      <b/>
      <sz val="9"/>
      <name val="Arial Nova"/>
      <family val="2"/>
    </font>
    <font>
      <b/>
      <sz val="8"/>
      <name val="Arial Nova"/>
      <family val="2"/>
    </font>
    <font>
      <sz val="8"/>
      <name val="Arial Nova"/>
      <family val="2"/>
    </font>
    <font>
      <sz val="9"/>
      <name val="Arial Nova"/>
      <family val="2"/>
    </font>
    <font>
      <sz val="9"/>
      <color theme="1"/>
      <name val="Arial Nova"/>
      <family val="2"/>
    </font>
    <font>
      <b/>
      <sz val="11"/>
      <color theme="1"/>
      <name val="Arial Nova"/>
      <family val="2"/>
    </font>
    <font>
      <b/>
      <sz val="8"/>
      <color rgb="FFFF0000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1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right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right" wrapText="1"/>
    </xf>
    <xf numFmtId="0" fontId="5" fillId="0" borderId="0" xfId="1" applyFont="1" applyAlignment="1">
      <alignment wrapText="1"/>
    </xf>
    <xf numFmtId="0" fontId="5" fillId="0" borderId="0" xfId="1" applyFont="1" applyAlignment="1">
      <alignment horizontal="center" wrapText="1"/>
    </xf>
    <xf numFmtId="0" fontId="6" fillId="0" borderId="0" xfId="1" applyFont="1"/>
    <xf numFmtId="0" fontId="6" fillId="0" borderId="0" xfId="1" applyFont="1" applyAlignment="1">
      <alignment horizontal="right"/>
    </xf>
    <xf numFmtId="0" fontId="7" fillId="0" borderId="0" xfId="1" applyFont="1"/>
    <xf numFmtId="0" fontId="6" fillId="0" borderId="2" xfId="1" applyFont="1" applyBorder="1"/>
    <xf numFmtId="0" fontId="8" fillId="0" borderId="0" xfId="1" applyFont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9" fillId="0" borderId="0" xfId="1" applyFont="1"/>
    <xf numFmtId="0" fontId="5" fillId="0" borderId="0" xfId="2" applyFont="1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0" fontId="2" fillId="0" borderId="0" xfId="2" applyFont="1"/>
    <xf numFmtId="0" fontId="6" fillId="0" borderId="4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2" fillId="0" borderId="5" xfId="2" applyFont="1" applyBorder="1" applyAlignment="1">
      <alignment horizontal="left"/>
    </xf>
    <xf numFmtId="0" fontId="5" fillId="0" borderId="5" xfId="2" applyFont="1" applyBorder="1"/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2" fillId="0" borderId="0" xfId="2" applyFont="1" applyAlignment="1">
      <alignment horizontal="left"/>
    </xf>
    <xf numFmtId="0" fontId="10" fillId="0" borderId="0" xfId="2" applyFont="1"/>
    <xf numFmtId="0" fontId="6" fillId="0" borderId="0" xfId="2" applyFont="1" applyAlignment="1">
      <alignment horizontal="center"/>
    </xf>
    <xf numFmtId="0" fontId="13" fillId="0" borderId="11" xfId="2" applyFont="1" applyBorder="1" applyAlignment="1">
      <alignment vertical="center"/>
    </xf>
    <xf numFmtId="0" fontId="14" fillId="0" borderId="1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15" fillId="0" borderId="0" xfId="1" applyFont="1"/>
    <xf numFmtId="0" fontId="16" fillId="0" borderId="0" xfId="2" applyFont="1" applyAlignment="1">
      <alignment horizontal="center" vertical="center" textRotation="90" wrapText="1"/>
    </xf>
    <xf numFmtId="0" fontId="14" fillId="0" borderId="16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13" fillId="0" borderId="0" xfId="2" applyFont="1" applyAlignment="1">
      <alignment horizontal="center"/>
    </xf>
    <xf numFmtId="0" fontId="14" fillId="0" borderId="0" xfId="1" applyFont="1"/>
    <xf numFmtId="1" fontId="13" fillId="0" borderId="20" xfId="2" applyNumberFormat="1" applyFont="1" applyBorder="1" applyAlignment="1">
      <alignment vertical="center"/>
    </xf>
    <xf numFmtId="0" fontId="14" fillId="0" borderId="20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4" fillId="0" borderId="25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 wrapText="1"/>
    </xf>
    <xf numFmtId="0" fontId="14" fillId="0" borderId="32" xfId="2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/>
    </xf>
    <xf numFmtId="0" fontId="13" fillId="0" borderId="2" xfId="2" applyFont="1" applyBorder="1" applyAlignment="1">
      <alignment horizontal="left" vertical="center"/>
    </xf>
    <xf numFmtId="0" fontId="13" fillId="0" borderId="25" xfId="2" applyFont="1" applyBorder="1" applyAlignment="1">
      <alignment vertical="center"/>
    </xf>
    <xf numFmtId="0" fontId="6" fillId="0" borderId="32" xfId="2" applyFont="1" applyBorder="1" applyAlignment="1">
      <alignment horizontal="center" vertical="center"/>
    </xf>
    <xf numFmtId="0" fontId="14" fillId="2" borderId="32" xfId="2" applyFont="1" applyFill="1" applyBorder="1" applyAlignment="1">
      <alignment horizontal="center" vertical="center"/>
    </xf>
    <xf numFmtId="0" fontId="7" fillId="2" borderId="25" xfId="2" applyFont="1" applyFill="1" applyBorder="1" applyAlignment="1">
      <alignment horizontal="center" vertical="center"/>
    </xf>
    <xf numFmtId="0" fontId="13" fillId="0" borderId="28" xfId="2" applyFont="1" applyBorder="1" applyAlignment="1">
      <alignment horizontal="left" vertical="center"/>
    </xf>
    <xf numFmtId="0" fontId="7" fillId="0" borderId="20" xfId="2" applyFont="1" applyBorder="1" applyAlignment="1">
      <alignment horizontal="center" vertical="center"/>
    </xf>
    <xf numFmtId="0" fontId="14" fillId="2" borderId="20" xfId="2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0" borderId="32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7" fillId="0" borderId="33" xfId="2" applyFont="1" applyBorder="1" applyAlignment="1">
      <alignment horizontal="center" vertical="center"/>
    </xf>
    <xf numFmtId="0" fontId="13" fillId="0" borderId="24" xfId="2" applyFont="1" applyBorder="1" applyAlignment="1">
      <alignment vertical="center"/>
    </xf>
    <xf numFmtId="0" fontId="13" fillId="0" borderId="19" xfId="2" applyFont="1" applyBorder="1" applyAlignment="1">
      <alignment vertical="center"/>
    </xf>
    <xf numFmtId="0" fontId="14" fillId="0" borderId="33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6" fillId="2" borderId="32" xfId="2" applyFont="1" applyFill="1" applyBorder="1" applyAlignment="1">
      <alignment horizontal="center" vertical="center"/>
    </xf>
    <xf numFmtId="1" fontId="14" fillId="2" borderId="20" xfId="2" applyNumberFormat="1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13" fillId="0" borderId="20" xfId="2" applyFont="1" applyBorder="1" applyAlignment="1">
      <alignment vertical="center"/>
    </xf>
    <xf numFmtId="0" fontId="7" fillId="0" borderId="17" xfId="2" applyFont="1" applyBorder="1" applyAlignment="1">
      <alignment horizontal="center" vertical="center"/>
    </xf>
    <xf numFmtId="0" fontId="13" fillId="0" borderId="11" xfId="2" applyFont="1" applyBorder="1" applyAlignment="1">
      <alignment horizontal="left" vertical="center" wrapText="1"/>
    </xf>
    <xf numFmtId="0" fontId="14" fillId="0" borderId="9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1" fontId="13" fillId="0" borderId="28" xfId="2" applyNumberFormat="1" applyFont="1" applyBorder="1" applyAlignment="1">
      <alignment vertical="center"/>
    </xf>
    <xf numFmtId="0" fontId="13" fillId="0" borderId="25" xfId="2" applyFont="1" applyBorder="1" applyAlignment="1">
      <alignment horizontal="left" vertical="center" wrapText="1"/>
    </xf>
    <xf numFmtId="0" fontId="14" fillId="0" borderId="30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14" fillId="0" borderId="27" xfId="2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 wrapText="1"/>
    </xf>
    <xf numFmtId="0" fontId="14" fillId="0" borderId="16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/>
    </xf>
    <xf numFmtId="1" fontId="14" fillId="0" borderId="27" xfId="2" applyNumberFormat="1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14" fillId="0" borderId="32" xfId="2" applyFont="1" applyBorder="1" applyAlignment="1">
      <alignment horizontal="center" vertical="center" wrapText="1"/>
    </xf>
    <xf numFmtId="0" fontId="14" fillId="0" borderId="25" xfId="2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3" fillId="0" borderId="16" xfId="2" applyFont="1" applyBorder="1" applyAlignment="1">
      <alignment horizontal="left" vertical="center" wrapText="1"/>
    </xf>
    <xf numFmtId="0" fontId="2" fillId="3" borderId="11" xfId="2" applyFont="1" applyFill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3" fillId="0" borderId="21" xfId="2" applyFont="1" applyBorder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2" fillId="3" borderId="25" xfId="2" applyFont="1" applyFill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0" fontId="4" fillId="0" borderId="21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1" fontId="14" fillId="0" borderId="11" xfId="2" applyNumberFormat="1" applyFont="1" applyBorder="1" applyAlignment="1">
      <alignment horizontal="center" vertical="center"/>
    </xf>
    <xf numFmtId="0" fontId="14" fillId="0" borderId="20" xfId="2" applyFont="1" applyBorder="1" applyAlignment="1">
      <alignment horizontal="center" vertical="center" wrapText="1"/>
    </xf>
    <xf numFmtId="1" fontId="14" fillId="0" borderId="25" xfId="2" applyNumberFormat="1" applyFont="1" applyBorder="1" applyAlignment="1">
      <alignment horizontal="center" vertical="center"/>
    </xf>
    <xf numFmtId="0" fontId="17" fillId="0" borderId="0" xfId="0" applyFont="1" applyAlignment="1">
      <alignment horizontal="right"/>
    </xf>
    <xf numFmtId="0" fontId="1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3" fillId="0" borderId="32" xfId="2" applyFont="1" applyBorder="1" applyAlignment="1">
      <alignment horizontal="left" vertical="center" wrapText="1"/>
    </xf>
    <xf numFmtId="0" fontId="2" fillId="3" borderId="32" xfId="2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2" fillId="0" borderId="0" xfId="0" applyFont="1"/>
    <xf numFmtId="0" fontId="17" fillId="0" borderId="0" xfId="0" applyFont="1" applyAlignment="1">
      <alignment horizontal="right" vertical="top"/>
    </xf>
    <xf numFmtId="0" fontId="13" fillId="0" borderId="0" xfId="0" applyFont="1" applyAlignment="1">
      <alignment horizontal="right"/>
    </xf>
    <xf numFmtId="0" fontId="2" fillId="0" borderId="0" xfId="1" applyFont="1" applyAlignment="1">
      <alignment horizontal="center"/>
    </xf>
    <xf numFmtId="0" fontId="12" fillId="0" borderId="17" xfId="2" applyFont="1" applyBorder="1" applyAlignment="1">
      <alignment horizontal="center" vertical="center" wrapText="1"/>
    </xf>
    <xf numFmtId="0" fontId="12" fillId="0" borderId="33" xfId="2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13" fillId="0" borderId="27" xfId="2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3" fillId="0" borderId="23" xfId="2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0" fontId="13" fillId="0" borderId="3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center" vertical="center" wrapText="1"/>
    </xf>
    <xf numFmtId="0" fontId="13" fillId="0" borderId="31" xfId="2" applyFont="1" applyBorder="1" applyAlignment="1">
      <alignment horizontal="center" vertical="center" wrapText="1"/>
    </xf>
    <xf numFmtId="0" fontId="13" fillId="0" borderId="21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4" xfId="2" applyFont="1" applyBorder="1" applyAlignment="1">
      <alignment horizontal="center" vertical="center" wrapText="1"/>
    </xf>
    <xf numFmtId="0" fontId="13" fillId="0" borderId="35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13" fillId="0" borderId="36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38" xfId="2" applyFont="1" applyBorder="1" applyAlignment="1">
      <alignment horizontal="left" vertical="center" wrapText="1"/>
    </xf>
    <xf numFmtId="0" fontId="13" fillId="0" borderId="46" xfId="2" applyFont="1" applyBorder="1" applyAlignment="1">
      <alignment horizontal="left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16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3" fillId="0" borderId="24" xfId="2" applyFont="1" applyBorder="1" applyAlignment="1">
      <alignment horizontal="left" vertical="center" wrapText="1"/>
    </xf>
    <xf numFmtId="0" fontId="7" fillId="0" borderId="32" xfId="2" applyFont="1" applyBorder="1" applyAlignment="1">
      <alignment horizontal="center" vertical="center"/>
    </xf>
    <xf numFmtId="0" fontId="7" fillId="0" borderId="33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0" borderId="19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/>
    </xf>
    <xf numFmtId="0" fontId="14" fillId="0" borderId="33" xfId="2" applyFont="1" applyBorder="1" applyAlignment="1">
      <alignment horizontal="center" vertical="center"/>
    </xf>
    <xf numFmtId="0" fontId="13" fillId="0" borderId="14" xfId="2" applyFont="1" applyBorder="1" applyAlignment="1">
      <alignment horizontal="left" vertical="center"/>
    </xf>
    <xf numFmtId="0" fontId="13" fillId="0" borderId="15" xfId="2" applyFont="1" applyBorder="1" applyAlignment="1">
      <alignment horizontal="left" vertical="center"/>
    </xf>
    <xf numFmtId="0" fontId="17" fillId="0" borderId="43" xfId="2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0" fontId="14" fillId="0" borderId="44" xfId="2" applyFont="1" applyBorder="1" applyAlignment="1">
      <alignment horizontal="center" vertical="center"/>
    </xf>
    <xf numFmtId="0" fontId="14" fillId="0" borderId="46" xfId="2" applyFont="1" applyBorder="1" applyAlignment="1">
      <alignment horizontal="center" vertical="center"/>
    </xf>
    <xf numFmtId="0" fontId="14" fillId="0" borderId="32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1" fontId="13" fillId="0" borderId="30" xfId="2" applyNumberFormat="1" applyFont="1" applyBorder="1" applyAlignment="1">
      <alignment horizontal="center" vertical="center" wrapText="1"/>
    </xf>
    <xf numFmtId="1" fontId="13" fillId="0" borderId="2" xfId="2" applyNumberFormat="1" applyFont="1" applyBorder="1" applyAlignment="1">
      <alignment horizontal="center" vertical="center" wrapText="1"/>
    </xf>
    <xf numFmtId="1" fontId="13" fillId="0" borderId="18" xfId="2" applyNumberFormat="1" applyFont="1" applyBorder="1" applyAlignment="1">
      <alignment horizontal="center" vertical="center" wrapText="1"/>
    </xf>
    <xf numFmtId="1" fontId="13" fillId="0" borderId="26" xfId="2" applyNumberFormat="1" applyFont="1" applyBorder="1" applyAlignment="1">
      <alignment horizontal="center" vertical="center" wrapText="1"/>
    </xf>
    <xf numFmtId="1" fontId="17" fillId="0" borderId="47" xfId="2" applyNumberFormat="1" applyFont="1" applyBorder="1" applyAlignment="1">
      <alignment horizontal="center" vertical="center"/>
    </xf>
    <xf numFmtId="1" fontId="13" fillId="0" borderId="48" xfId="2" applyNumberFormat="1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3" fillId="0" borderId="30" xfId="2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3" fillId="0" borderId="41" xfId="2" applyFont="1" applyBorder="1" applyAlignment="1">
      <alignment horizontal="center" vertical="center" wrapText="1"/>
    </xf>
    <xf numFmtId="0" fontId="13" fillId="0" borderId="42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33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left" vertical="center" wrapText="1"/>
    </xf>
    <xf numFmtId="0" fontId="13" fillId="0" borderId="28" xfId="2" applyFont="1" applyBorder="1" applyAlignment="1">
      <alignment horizontal="left" vertical="center" wrapText="1"/>
    </xf>
    <xf numFmtId="0" fontId="13" fillId="0" borderId="29" xfId="2" applyFont="1" applyBorder="1" applyAlignment="1">
      <alignment horizontal="left" vertical="center" wrapText="1"/>
    </xf>
    <xf numFmtId="0" fontId="13" fillId="0" borderId="35" xfId="2" applyFont="1" applyBorder="1" applyAlignment="1">
      <alignment horizontal="left" vertical="center"/>
    </xf>
    <xf numFmtId="0" fontId="13" fillId="0" borderId="1" xfId="2" applyFont="1" applyBorder="1" applyAlignment="1">
      <alignment horizontal="left" vertical="center"/>
    </xf>
    <xf numFmtId="0" fontId="13" fillId="0" borderId="38" xfId="2" applyFont="1" applyBorder="1" applyAlignment="1">
      <alignment horizontal="left" vertical="center"/>
    </xf>
    <xf numFmtId="0" fontId="13" fillId="0" borderId="39" xfId="2" applyFont="1" applyBorder="1" applyAlignment="1">
      <alignment horizontal="left" vertical="center"/>
    </xf>
    <xf numFmtId="0" fontId="13" fillId="0" borderId="28" xfId="2" applyFont="1" applyBorder="1" applyAlignment="1">
      <alignment horizontal="left" vertical="center"/>
    </xf>
    <xf numFmtId="0" fontId="13" fillId="0" borderId="40" xfId="2" applyFont="1" applyBorder="1" applyAlignment="1">
      <alignment horizontal="left" vertical="center"/>
    </xf>
    <xf numFmtId="0" fontId="12" fillId="0" borderId="9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/>
    </xf>
    <xf numFmtId="0" fontId="13" fillId="0" borderId="24" xfId="2" applyFont="1" applyBorder="1" applyAlignment="1">
      <alignment horizontal="left" vertical="center"/>
    </xf>
    <xf numFmtId="0" fontId="13" fillId="0" borderId="3" xfId="2" applyFont="1" applyBorder="1" applyAlignment="1">
      <alignment vertical="center"/>
    </xf>
    <xf numFmtId="0" fontId="13" fillId="0" borderId="14" xfId="2" applyFont="1" applyBorder="1" applyAlignment="1">
      <alignment vertical="center"/>
    </xf>
    <xf numFmtId="0" fontId="13" fillId="0" borderId="34" xfId="2" applyFont="1" applyBorder="1" applyAlignment="1">
      <alignment horizontal="center" vertical="center"/>
    </xf>
    <xf numFmtId="0" fontId="13" fillId="0" borderId="35" xfId="2" applyFont="1" applyBorder="1" applyAlignment="1">
      <alignment horizontal="center" vertical="center"/>
    </xf>
    <xf numFmtId="0" fontId="5" fillId="0" borderId="4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7" fillId="0" borderId="8" xfId="1" applyFont="1" applyBorder="1" applyAlignment="1">
      <alignment horizontal="center" vertical="center" textRotation="90"/>
    </xf>
    <xf numFmtId="0" fontId="7" fillId="0" borderId="17" xfId="1" applyFont="1" applyBorder="1" applyAlignment="1">
      <alignment horizontal="center" vertical="center" textRotation="90"/>
    </xf>
    <xf numFmtId="0" fontId="7" fillId="0" borderId="33" xfId="1" applyFont="1" applyBorder="1" applyAlignment="1">
      <alignment horizontal="center" vertical="center" textRotation="90"/>
    </xf>
    <xf numFmtId="0" fontId="16" fillId="0" borderId="8" xfId="2" applyFont="1" applyBorder="1" applyAlignment="1">
      <alignment horizontal="center" vertical="center" textRotation="90" wrapText="1"/>
    </xf>
    <xf numFmtId="0" fontId="16" fillId="0" borderId="17" xfId="2" applyFont="1" applyBorder="1" applyAlignment="1">
      <alignment horizontal="center" vertical="center" textRotation="90" wrapText="1"/>
    </xf>
    <xf numFmtId="0" fontId="16" fillId="0" borderId="33" xfId="2" applyFont="1" applyBorder="1" applyAlignment="1">
      <alignment horizontal="center" vertical="center" textRotation="90" wrapText="1"/>
    </xf>
    <xf numFmtId="0" fontId="3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6" fillId="0" borderId="3" xfId="1" applyFont="1" applyBorder="1" applyAlignment="1">
      <alignment horizontal="center"/>
    </xf>
  </cellXfs>
  <cellStyles count="3">
    <cellStyle name="Normal" xfId="0" builtinId="0"/>
    <cellStyle name="Normal 10" xfId="1" xr:uid="{F22CDBF9-05A2-4FF8-8D3E-A90B7A414267}"/>
    <cellStyle name="Normal 2" xfId="2" xr:uid="{FB47BCD0-E09F-455A-989A-62F4F98474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15B5FF6-2524-4B69-A582-78D797671C14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7E231F2-58A3-4033-A246-DBA56CE580E7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3B5E434C-9579-462E-BA0B-9116B9FE59E4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15D5209D-DFEE-446E-90B5-9527E6811DF1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6F62B7BB-1C9F-4E82-9692-EB77C46A442E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EE475E30-772D-4DBC-A718-92ECE1C477FF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88A3E578-A6AA-4A48-B88B-81DC0FA4D891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CDF27F95-A246-4769-8F0C-C5D1A8F3AA01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69465AA7-3C1A-402C-9B00-EF9E8D135A3A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11" name="Line 2">
          <a:extLst>
            <a:ext uri="{FF2B5EF4-FFF2-40B4-BE49-F238E27FC236}">
              <a16:creationId xmlns:a16="http://schemas.microsoft.com/office/drawing/2014/main" id="{2F91705F-F79C-42E1-A3EE-B6E165383D68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AC358151-6C28-4F9E-A788-AB9E30B82DDB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EA08B51E-2A97-4729-980E-3A3946BC439B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5D27BF89-32B3-4726-A3FF-9EC3366CEB55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15" name="Line 2">
          <a:extLst>
            <a:ext uri="{FF2B5EF4-FFF2-40B4-BE49-F238E27FC236}">
              <a16:creationId xmlns:a16="http://schemas.microsoft.com/office/drawing/2014/main" id="{46062987-F5B8-4CAC-8739-97A17BAA4141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16" name="Line 1">
          <a:extLst>
            <a:ext uri="{FF2B5EF4-FFF2-40B4-BE49-F238E27FC236}">
              <a16:creationId xmlns:a16="http://schemas.microsoft.com/office/drawing/2014/main" id="{97593C10-8259-4216-8FF3-01FCA0803E26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17" name="Line 2">
          <a:extLst>
            <a:ext uri="{FF2B5EF4-FFF2-40B4-BE49-F238E27FC236}">
              <a16:creationId xmlns:a16="http://schemas.microsoft.com/office/drawing/2014/main" id="{329D2990-C935-47DC-BEA6-654351588637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BD99BD0F-C9E8-4D14-8833-BBAE649D110A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19" name="Line 2">
          <a:extLst>
            <a:ext uri="{FF2B5EF4-FFF2-40B4-BE49-F238E27FC236}">
              <a16:creationId xmlns:a16="http://schemas.microsoft.com/office/drawing/2014/main" id="{719731DB-770C-400B-9B82-4D5D306793DA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20" name="Line 2">
          <a:extLst>
            <a:ext uri="{FF2B5EF4-FFF2-40B4-BE49-F238E27FC236}">
              <a16:creationId xmlns:a16="http://schemas.microsoft.com/office/drawing/2014/main" id="{B48245F7-1878-40A0-9EE2-D5636FCD0F6E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21" name="Line 2">
          <a:extLst>
            <a:ext uri="{FF2B5EF4-FFF2-40B4-BE49-F238E27FC236}">
              <a16:creationId xmlns:a16="http://schemas.microsoft.com/office/drawing/2014/main" id="{09C6A513-FAC6-45A6-A550-EEC2B555F6CD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22" name="Line 2">
          <a:extLst>
            <a:ext uri="{FF2B5EF4-FFF2-40B4-BE49-F238E27FC236}">
              <a16:creationId xmlns:a16="http://schemas.microsoft.com/office/drawing/2014/main" id="{21AD34CD-AF12-4DDB-88BF-50CA1FD0E9AC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F4759A15-545C-41F7-8583-B559AE8BCD03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24" name="Line 2">
          <a:extLst>
            <a:ext uri="{FF2B5EF4-FFF2-40B4-BE49-F238E27FC236}">
              <a16:creationId xmlns:a16="http://schemas.microsoft.com/office/drawing/2014/main" id="{022A180E-58AF-44A0-A93E-92D5F212B381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25" name="Line 2">
          <a:extLst>
            <a:ext uri="{FF2B5EF4-FFF2-40B4-BE49-F238E27FC236}">
              <a16:creationId xmlns:a16="http://schemas.microsoft.com/office/drawing/2014/main" id="{67B818FD-540F-446C-8A8D-30B6EB4CAE41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96BD9906-AF0F-442B-99B1-8082A50F072E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27" name="Line 2">
          <a:extLst>
            <a:ext uri="{FF2B5EF4-FFF2-40B4-BE49-F238E27FC236}">
              <a16:creationId xmlns:a16="http://schemas.microsoft.com/office/drawing/2014/main" id="{8A16F7CF-94BB-4108-A4A3-2CD792FE5813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28" name="Line 1">
          <a:extLst>
            <a:ext uri="{FF2B5EF4-FFF2-40B4-BE49-F238E27FC236}">
              <a16:creationId xmlns:a16="http://schemas.microsoft.com/office/drawing/2014/main" id="{4AF30278-A3FD-4562-861B-2F1AA4522CC3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29" name="Line 2">
          <a:extLst>
            <a:ext uri="{FF2B5EF4-FFF2-40B4-BE49-F238E27FC236}">
              <a16:creationId xmlns:a16="http://schemas.microsoft.com/office/drawing/2014/main" id="{50A407A6-E4D3-4DE7-A0C0-4FD4AF766E5B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30" name="Line 1">
          <a:extLst>
            <a:ext uri="{FF2B5EF4-FFF2-40B4-BE49-F238E27FC236}">
              <a16:creationId xmlns:a16="http://schemas.microsoft.com/office/drawing/2014/main" id="{9B6F9529-FB84-43FE-9FBD-1C1EB5F77044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31" name="Line 2">
          <a:extLst>
            <a:ext uri="{FF2B5EF4-FFF2-40B4-BE49-F238E27FC236}">
              <a16:creationId xmlns:a16="http://schemas.microsoft.com/office/drawing/2014/main" id="{3816D864-DDA2-4895-A8FF-E973A2406C76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32" name="Line 1">
          <a:extLst>
            <a:ext uri="{FF2B5EF4-FFF2-40B4-BE49-F238E27FC236}">
              <a16:creationId xmlns:a16="http://schemas.microsoft.com/office/drawing/2014/main" id="{2E26D567-5F37-4341-9948-4C6525B2857F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33" name="Line 2">
          <a:extLst>
            <a:ext uri="{FF2B5EF4-FFF2-40B4-BE49-F238E27FC236}">
              <a16:creationId xmlns:a16="http://schemas.microsoft.com/office/drawing/2014/main" id="{990F502E-1910-4AF8-B49E-9EEE5E9DA424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34" name="Line 1">
          <a:extLst>
            <a:ext uri="{FF2B5EF4-FFF2-40B4-BE49-F238E27FC236}">
              <a16:creationId xmlns:a16="http://schemas.microsoft.com/office/drawing/2014/main" id="{38E67AE7-8A23-46F3-A208-DE8E2F0F1F55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44E475F7-3200-4411-B656-B8CB8D0390CE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228600</xdr:rowOff>
    </xdr:from>
    <xdr:to>
      <xdr:col>20</xdr:col>
      <xdr:colOff>0</xdr:colOff>
      <xdr:row>3</xdr:row>
      <xdr:rowOff>228600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209820B1-DF83-4B65-AD26-FCDB757A8FC8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</xdr:row>
      <xdr:rowOff>219075</xdr:rowOff>
    </xdr:from>
    <xdr:to>
      <xdr:col>20</xdr:col>
      <xdr:colOff>0</xdr:colOff>
      <xdr:row>3</xdr:row>
      <xdr:rowOff>219075</xdr:rowOff>
    </xdr:to>
    <xdr:sp macro="" textlink="">
      <xdr:nvSpPr>
        <xdr:cNvPr id="37" name="Line 2">
          <a:extLst>
            <a:ext uri="{FF2B5EF4-FFF2-40B4-BE49-F238E27FC236}">
              <a16:creationId xmlns:a16="http://schemas.microsoft.com/office/drawing/2014/main" id="{016EF852-35F2-4187-9FD4-3435659A885B}"/>
            </a:ext>
          </a:extLst>
        </xdr:cNvPr>
        <xdr:cNvSpPr>
          <a:spLocks noChangeShapeType="1"/>
        </xdr:cNvSpPr>
      </xdr:nvSpPr>
      <xdr:spPr bwMode="auto">
        <a:xfrm>
          <a:off x="10134600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38" name="Line 1">
          <a:extLst>
            <a:ext uri="{FF2B5EF4-FFF2-40B4-BE49-F238E27FC236}">
              <a16:creationId xmlns:a16="http://schemas.microsoft.com/office/drawing/2014/main" id="{1DE0CAD1-6B1F-42D6-9AD1-16F30DF1DA2C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39" name="Line 2">
          <a:extLst>
            <a:ext uri="{FF2B5EF4-FFF2-40B4-BE49-F238E27FC236}">
              <a16:creationId xmlns:a16="http://schemas.microsoft.com/office/drawing/2014/main" id="{1FAA6B73-97C7-4841-BADA-3E20EA7F6154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228600</xdr:rowOff>
    </xdr:from>
    <xdr:to>
      <xdr:col>19</xdr:col>
      <xdr:colOff>0</xdr:colOff>
      <xdr:row>3</xdr:row>
      <xdr:rowOff>228600</xdr:rowOff>
    </xdr:to>
    <xdr:sp macro="" textlink="">
      <xdr:nvSpPr>
        <xdr:cNvPr id="40" name="Line 1">
          <a:extLst>
            <a:ext uri="{FF2B5EF4-FFF2-40B4-BE49-F238E27FC236}">
              <a16:creationId xmlns:a16="http://schemas.microsoft.com/office/drawing/2014/main" id="{C2A8F9BD-A10C-45E3-85A9-664BFE3CCDA2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41" name="Line 2">
          <a:extLst>
            <a:ext uri="{FF2B5EF4-FFF2-40B4-BE49-F238E27FC236}">
              <a16:creationId xmlns:a16="http://schemas.microsoft.com/office/drawing/2014/main" id="{C0056513-B0EC-458E-8C7A-121225863648}"/>
            </a:ext>
          </a:extLst>
        </xdr:cNvPr>
        <xdr:cNvSpPr>
          <a:spLocks noChangeShapeType="1"/>
        </xdr:cNvSpPr>
      </xdr:nvSpPr>
      <xdr:spPr bwMode="auto">
        <a:xfrm>
          <a:off x="9782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2" name="Line 2">
          <a:extLst>
            <a:ext uri="{FF2B5EF4-FFF2-40B4-BE49-F238E27FC236}">
              <a16:creationId xmlns:a16="http://schemas.microsoft.com/office/drawing/2014/main" id="{AE8D87AD-5C1C-4207-9535-71E7E0DC6A81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3" name="Line 2">
          <a:extLst>
            <a:ext uri="{FF2B5EF4-FFF2-40B4-BE49-F238E27FC236}">
              <a16:creationId xmlns:a16="http://schemas.microsoft.com/office/drawing/2014/main" id="{429D599E-6CFB-402D-9CBC-B06054972328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4" name="Line 2">
          <a:extLst>
            <a:ext uri="{FF2B5EF4-FFF2-40B4-BE49-F238E27FC236}">
              <a16:creationId xmlns:a16="http://schemas.microsoft.com/office/drawing/2014/main" id="{BF2369B1-8643-4287-A44E-03DE4B1E8C15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5" name="Line 2">
          <a:extLst>
            <a:ext uri="{FF2B5EF4-FFF2-40B4-BE49-F238E27FC236}">
              <a16:creationId xmlns:a16="http://schemas.microsoft.com/office/drawing/2014/main" id="{875CE4DB-E3E3-4C03-93EA-3CD1544C2A75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6" name="Line 2">
          <a:extLst>
            <a:ext uri="{FF2B5EF4-FFF2-40B4-BE49-F238E27FC236}">
              <a16:creationId xmlns:a16="http://schemas.microsoft.com/office/drawing/2014/main" id="{405F3A96-C662-43AE-BEC3-2E40F78CC60C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7" name="Line 2">
          <a:extLst>
            <a:ext uri="{FF2B5EF4-FFF2-40B4-BE49-F238E27FC236}">
              <a16:creationId xmlns:a16="http://schemas.microsoft.com/office/drawing/2014/main" id="{47FADA48-388F-4609-89DA-51F74680150E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8" name="Line 2">
          <a:extLst>
            <a:ext uri="{FF2B5EF4-FFF2-40B4-BE49-F238E27FC236}">
              <a16:creationId xmlns:a16="http://schemas.microsoft.com/office/drawing/2014/main" id="{8FBF571B-258F-4978-8B80-C97953219B12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3</xdr:row>
      <xdr:rowOff>219075</xdr:rowOff>
    </xdr:from>
    <xdr:to>
      <xdr:col>23</xdr:col>
      <xdr:colOff>0</xdr:colOff>
      <xdr:row>3</xdr:row>
      <xdr:rowOff>219075</xdr:rowOff>
    </xdr:to>
    <xdr:sp macro="" textlink="">
      <xdr:nvSpPr>
        <xdr:cNvPr id="49" name="Line 2">
          <a:extLst>
            <a:ext uri="{FF2B5EF4-FFF2-40B4-BE49-F238E27FC236}">
              <a16:creationId xmlns:a16="http://schemas.microsoft.com/office/drawing/2014/main" id="{A8F6F755-36E3-4EA8-ABF0-5B6B8EE69AF9}"/>
            </a:ext>
          </a:extLst>
        </xdr:cNvPr>
        <xdr:cNvSpPr>
          <a:spLocks noChangeShapeType="1"/>
        </xdr:cNvSpPr>
      </xdr:nvSpPr>
      <xdr:spPr bwMode="auto">
        <a:xfrm>
          <a:off x="124491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38099</xdr:rowOff>
    </xdr:from>
    <xdr:to>
      <xdr:col>11</xdr:col>
      <xdr:colOff>715070</xdr:colOff>
      <xdr:row>1</xdr:row>
      <xdr:rowOff>371475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15D28553-2D9C-49D2-A811-6F63B8164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099"/>
          <a:ext cx="3839270" cy="5619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los%20B\Desktop\SIS%20DE%20UNIDADES\2025\DICIEMBRE\PEDRO%20ESCOBEDO.xlsx" TargetMode="External"/><Relationship Id="rId1" Type="http://schemas.openxmlformats.org/officeDocument/2006/relationships/externalLinkPath" Target="SIS%20DE%20UNIDADES/2025/DICIEMBRE/PEDRO%20ESCOBE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DATOS"/>
      <sheetName val="SINBA-SIS-06-P"/>
      <sheetName val="MOV-DE-BIOLÓGICO"/>
      <sheetName val="SIS-SS-CE-H-2025"/>
      <sheetName val="SIS-SS-IE Mensual"/>
    </sheetNames>
    <sheetDataSet>
      <sheetData sheetId="0">
        <row r="3">
          <cell r="U3">
            <v>46022</v>
          </cell>
        </row>
      </sheetData>
      <sheetData sheetId="1"/>
      <sheetData sheetId="2">
        <row r="11">
          <cell r="V11"/>
        </row>
        <row r="12">
          <cell r="V12"/>
        </row>
        <row r="13">
          <cell r="V13"/>
        </row>
        <row r="14">
          <cell r="V14"/>
        </row>
        <row r="15">
          <cell r="V15"/>
        </row>
        <row r="16">
          <cell r="V16"/>
        </row>
        <row r="17">
          <cell r="V17"/>
        </row>
        <row r="18">
          <cell r="V18"/>
        </row>
        <row r="19">
          <cell r="V19"/>
        </row>
        <row r="20">
          <cell r="V20"/>
        </row>
        <row r="23">
          <cell r="V23"/>
        </row>
        <row r="24">
          <cell r="V24"/>
        </row>
        <row r="25">
          <cell r="V25"/>
        </row>
        <row r="26">
          <cell r="V26"/>
        </row>
        <row r="27">
          <cell r="V27"/>
        </row>
        <row r="28">
          <cell r="V28"/>
        </row>
        <row r="29">
          <cell r="V29"/>
        </row>
        <row r="30">
          <cell r="V30"/>
        </row>
        <row r="31">
          <cell r="V31"/>
        </row>
        <row r="32">
          <cell r="V32"/>
        </row>
        <row r="33">
          <cell r="V33"/>
        </row>
        <row r="34">
          <cell r="V34"/>
        </row>
        <row r="35">
          <cell r="V35"/>
        </row>
        <row r="36">
          <cell r="V36"/>
        </row>
        <row r="37">
          <cell r="V37"/>
        </row>
        <row r="38">
          <cell r="V38"/>
        </row>
        <row r="39">
          <cell r="V39"/>
        </row>
        <row r="40">
          <cell r="V40"/>
        </row>
        <row r="41">
          <cell r="V41"/>
        </row>
        <row r="42">
          <cell r="V42"/>
        </row>
        <row r="43">
          <cell r="V43"/>
        </row>
        <row r="44">
          <cell r="V44"/>
        </row>
        <row r="45">
          <cell r="V45"/>
        </row>
        <row r="46">
          <cell r="V46"/>
        </row>
        <row r="47">
          <cell r="V47"/>
        </row>
        <row r="48">
          <cell r="V48"/>
        </row>
        <row r="49">
          <cell r="V49"/>
        </row>
        <row r="50">
          <cell r="V50"/>
        </row>
        <row r="51">
          <cell r="V51"/>
        </row>
        <row r="52">
          <cell r="V52"/>
        </row>
        <row r="53">
          <cell r="V53"/>
        </row>
        <row r="54">
          <cell r="V54"/>
        </row>
        <row r="55">
          <cell r="V55"/>
        </row>
        <row r="56">
          <cell r="V56"/>
        </row>
        <row r="57">
          <cell r="V57"/>
        </row>
        <row r="58">
          <cell r="V58"/>
        </row>
        <row r="59">
          <cell r="V59"/>
        </row>
        <row r="60">
          <cell r="V60"/>
        </row>
        <row r="61">
          <cell r="V61"/>
        </row>
        <row r="62">
          <cell r="V62"/>
        </row>
        <row r="63">
          <cell r="V63"/>
        </row>
        <row r="64">
          <cell r="V64"/>
        </row>
        <row r="65">
          <cell r="V65"/>
        </row>
        <row r="66">
          <cell r="V66"/>
        </row>
        <row r="67">
          <cell r="V67"/>
        </row>
        <row r="68">
          <cell r="V68"/>
        </row>
        <row r="77">
          <cell r="V77"/>
        </row>
        <row r="78">
          <cell r="V78"/>
        </row>
        <row r="79">
          <cell r="V79"/>
        </row>
        <row r="80">
          <cell r="V80"/>
        </row>
        <row r="81">
          <cell r="V81"/>
        </row>
        <row r="82">
          <cell r="V82"/>
        </row>
        <row r="83">
          <cell r="V83"/>
        </row>
        <row r="84">
          <cell r="V84"/>
        </row>
        <row r="85">
          <cell r="V85"/>
        </row>
        <row r="86">
          <cell r="V86"/>
        </row>
        <row r="87">
          <cell r="V87"/>
        </row>
        <row r="88">
          <cell r="V88"/>
        </row>
        <row r="89">
          <cell r="V89"/>
        </row>
        <row r="90">
          <cell r="V90"/>
        </row>
        <row r="91">
          <cell r="V91"/>
        </row>
        <row r="92">
          <cell r="V92"/>
        </row>
        <row r="93">
          <cell r="V93"/>
        </row>
        <row r="94">
          <cell r="V94"/>
        </row>
        <row r="95">
          <cell r="V95"/>
        </row>
        <row r="96">
          <cell r="V96"/>
        </row>
        <row r="97">
          <cell r="V97"/>
        </row>
        <row r="98">
          <cell r="V98"/>
        </row>
        <row r="99">
          <cell r="V99"/>
        </row>
        <row r="100">
          <cell r="V100"/>
        </row>
        <row r="101">
          <cell r="V101"/>
        </row>
        <row r="102">
          <cell r="V102"/>
        </row>
        <row r="103">
          <cell r="V103"/>
        </row>
        <row r="104">
          <cell r="V104"/>
        </row>
        <row r="105">
          <cell r="V105"/>
        </row>
        <row r="106">
          <cell r="V106"/>
        </row>
        <row r="107">
          <cell r="V107"/>
        </row>
        <row r="108">
          <cell r="V108"/>
        </row>
        <row r="117">
          <cell r="V117"/>
        </row>
        <row r="119">
          <cell r="V119"/>
        </row>
        <row r="120">
          <cell r="V120"/>
        </row>
        <row r="121">
          <cell r="V121"/>
        </row>
        <row r="122">
          <cell r="V122"/>
        </row>
        <row r="123">
          <cell r="V123"/>
        </row>
        <row r="124">
          <cell r="V124"/>
        </row>
        <row r="125">
          <cell r="V125"/>
        </row>
        <row r="126">
          <cell r="V126"/>
        </row>
        <row r="127">
          <cell r="V127"/>
        </row>
        <row r="128">
          <cell r="V128"/>
        </row>
        <row r="129">
          <cell r="V129"/>
        </row>
        <row r="130">
          <cell r="V130"/>
        </row>
        <row r="131">
          <cell r="V131"/>
        </row>
        <row r="132">
          <cell r="V132"/>
        </row>
        <row r="133">
          <cell r="V133"/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F561-A4C1-4E04-B494-09E8578C0BC4}">
  <sheetPr>
    <tabColor rgb="FFA57F2C"/>
    <pageSetUpPr fitToPage="1"/>
  </sheetPr>
  <dimension ref="A1:BF86"/>
  <sheetViews>
    <sheetView showGridLines="0" tabSelected="1" zoomScaleNormal="100" zoomScaleSheetLayoutView="100" workbookViewId="0">
      <selection activeCell="K7" sqref="K7:M7"/>
    </sheetView>
  </sheetViews>
  <sheetFormatPr baseColWidth="10" defaultColWidth="11.42578125" defaultRowHeight="12.75" x14ac:dyDescent="0.2"/>
  <cols>
    <col min="1" max="1" width="4.85546875" style="3" customWidth="1"/>
    <col min="2" max="2" width="3.140625" style="3" customWidth="1"/>
    <col min="3" max="6" width="2.7109375" style="3" customWidth="1"/>
    <col min="7" max="7" width="2.7109375" style="4" customWidth="1"/>
    <col min="8" max="8" width="4.42578125" style="3" customWidth="1"/>
    <col min="9" max="10" width="3.28515625" style="3" customWidth="1"/>
    <col min="11" max="11" width="14.85546875" style="3" customWidth="1"/>
    <col min="12" max="12" width="12.7109375" style="3" customWidth="1"/>
    <col min="13" max="13" width="32.5703125" style="3" customWidth="1"/>
    <col min="14" max="14" width="6.5703125" style="3" customWidth="1"/>
    <col min="15" max="15" width="17.42578125" style="3" bestFit="1" customWidth="1"/>
    <col min="16" max="16" width="6.5703125" style="3" customWidth="1"/>
    <col min="17" max="17" width="17.42578125" style="3" customWidth="1"/>
    <col min="18" max="18" width="3.28515625" style="3" customWidth="1"/>
    <col min="19" max="19" width="2.7109375" style="3" customWidth="1"/>
    <col min="20" max="20" width="5.28515625" style="3" customWidth="1"/>
    <col min="21" max="21" width="12.140625" style="4" customWidth="1"/>
    <col min="22" max="22" width="11" style="4" customWidth="1"/>
    <col min="23" max="23" width="11.5703125" style="3" customWidth="1"/>
    <col min="24" max="24" width="36" style="3" customWidth="1"/>
    <col min="25" max="25" width="7.42578125" style="3" customWidth="1"/>
    <col min="26" max="26" width="17.42578125" style="3" customWidth="1"/>
    <col min="27" max="27" width="7.42578125" style="3" customWidth="1"/>
    <col min="28" max="28" width="17.42578125" style="3" customWidth="1"/>
    <col min="29" max="30" width="5.7109375" style="3" customWidth="1"/>
    <col min="31" max="32" width="11.42578125" style="3"/>
    <col min="33" max="35" width="11.42578125" style="1"/>
    <col min="36" max="36" width="36.7109375" style="1" customWidth="1"/>
    <col min="37" max="16384" width="11.42578125" style="1"/>
  </cols>
  <sheetData>
    <row r="1" spans="1:58" ht="18" customHeight="1" x14ac:dyDescent="0.2">
      <c r="A1" s="1"/>
      <c r="B1" s="1"/>
      <c r="C1" s="1"/>
      <c r="D1" s="1"/>
      <c r="E1" s="1"/>
      <c r="F1" s="1"/>
      <c r="G1" s="2"/>
      <c r="H1" s="2"/>
      <c r="I1" s="2"/>
      <c r="J1" s="2"/>
      <c r="AA1" s="5"/>
      <c r="AB1" s="6" t="s">
        <v>0</v>
      </c>
      <c r="AC1" s="2"/>
      <c r="AD1" s="2"/>
      <c r="AE1" s="2"/>
    </row>
    <row r="2" spans="1:58" ht="30.75" customHeight="1" x14ac:dyDescent="0.2">
      <c r="A2" s="1"/>
      <c r="B2" s="1"/>
      <c r="C2" s="7"/>
      <c r="D2" s="7"/>
      <c r="E2" s="7"/>
      <c r="F2" s="7"/>
      <c r="G2" s="7"/>
      <c r="H2" s="7"/>
      <c r="I2" s="7"/>
      <c r="J2" s="7"/>
      <c r="K2" s="238" t="s">
        <v>1</v>
      </c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7"/>
      <c r="AB2" s="8" t="s">
        <v>2</v>
      </c>
      <c r="AC2" s="9"/>
      <c r="AD2" s="1"/>
      <c r="AE2" s="10"/>
    </row>
    <row r="3" spans="1:58" ht="12.75" customHeight="1" x14ac:dyDescent="0.2">
      <c r="A3" s="11" t="s">
        <v>3</v>
      </c>
      <c r="B3" s="11"/>
      <c r="C3" s="11"/>
      <c r="D3" s="11"/>
      <c r="E3" s="11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12" t="s">
        <v>4</v>
      </c>
      <c r="V3" s="12"/>
      <c r="W3" s="239"/>
      <c r="X3" s="239"/>
      <c r="Z3" s="11"/>
      <c r="AB3" s="1"/>
      <c r="AC3" s="1"/>
      <c r="AD3" s="1"/>
      <c r="AE3" s="1"/>
    </row>
    <row r="4" spans="1:58" x14ac:dyDescent="0.2">
      <c r="A4" s="13" t="s">
        <v>5</v>
      </c>
      <c r="B4" s="11"/>
      <c r="C4" s="11"/>
      <c r="D4" s="11"/>
      <c r="E4" s="11"/>
      <c r="G4" s="11"/>
      <c r="H4" s="11"/>
      <c r="I4" s="11"/>
      <c r="J4" s="11"/>
      <c r="K4" s="14"/>
      <c r="L4" s="240"/>
      <c r="M4" s="240"/>
      <c r="N4" s="240"/>
      <c r="O4" s="240"/>
      <c r="P4" s="240"/>
      <c r="Q4" s="240"/>
      <c r="R4" s="240"/>
      <c r="S4" s="240"/>
      <c r="T4" s="240"/>
      <c r="U4" s="12" t="s">
        <v>6</v>
      </c>
      <c r="V4" s="12"/>
      <c r="W4" s="240"/>
      <c r="X4" s="240"/>
      <c r="Z4" s="12" t="s">
        <v>7</v>
      </c>
      <c r="AA4" s="239" t="str">
        <f>TEXT(IF([1]ÍNDICE!$U$3=0," ",[1]ÍNDICE!$U$3),"AAAA")</f>
        <v>2025</v>
      </c>
      <c r="AB4" s="239"/>
      <c r="AC4" s="1"/>
      <c r="AD4" s="1"/>
      <c r="AE4" s="1"/>
      <c r="AF4" s="1"/>
    </row>
    <row r="5" spans="1:58" ht="11.25" customHeight="1" thickBot="1" x14ac:dyDescent="0.25">
      <c r="A5" s="15" t="s">
        <v>8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"/>
      <c r="P5" s="17"/>
      <c r="Q5" s="1"/>
      <c r="R5" s="1"/>
      <c r="S5" s="1"/>
      <c r="T5" s="1"/>
      <c r="U5" s="18"/>
      <c r="V5" s="18"/>
      <c r="W5" s="18"/>
      <c r="X5" s="1"/>
      <c r="Y5" s="1"/>
      <c r="Z5" s="1"/>
      <c r="AA5" s="1"/>
      <c r="AB5" s="1"/>
      <c r="AC5" s="11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</row>
    <row r="6" spans="1:58" ht="13.5" customHeight="1" thickBot="1" x14ac:dyDescent="0.3">
      <c r="A6" s="20"/>
      <c r="B6" s="20"/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  <c r="O6" s="22"/>
      <c r="P6" s="23"/>
      <c r="Q6" s="22"/>
      <c r="R6" s="24"/>
      <c r="S6" s="1"/>
      <c r="T6" s="1"/>
      <c r="U6" s="25"/>
      <c r="V6" s="26"/>
      <c r="W6" s="27"/>
      <c r="X6" s="28" t="s">
        <v>9</v>
      </c>
      <c r="Y6" s="29" t="s">
        <v>10</v>
      </c>
      <c r="Z6" s="30" t="s">
        <v>11</v>
      </c>
      <c r="AA6" s="29" t="s">
        <v>10</v>
      </c>
      <c r="AB6" s="30" t="s">
        <v>12</v>
      </c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</row>
    <row r="7" spans="1:58" s="37" customFormat="1" ht="11.85" customHeight="1" thickBot="1" x14ac:dyDescent="0.3">
      <c r="A7" s="24"/>
      <c r="B7" s="24"/>
      <c r="C7" s="22"/>
      <c r="D7" s="31"/>
      <c r="E7" s="31"/>
      <c r="F7" s="31"/>
      <c r="G7" s="31"/>
      <c r="H7" s="32"/>
      <c r="I7" s="32"/>
      <c r="J7" s="32"/>
      <c r="K7" s="229" t="s">
        <v>9</v>
      </c>
      <c r="L7" s="230"/>
      <c r="M7" s="231"/>
      <c r="N7" s="29" t="s">
        <v>10</v>
      </c>
      <c r="O7" s="29" t="s">
        <v>11</v>
      </c>
      <c r="P7" s="29" t="s">
        <v>10</v>
      </c>
      <c r="Q7" s="29" t="s">
        <v>12</v>
      </c>
      <c r="R7" s="33"/>
      <c r="S7" s="3"/>
      <c r="T7" s="232" t="s">
        <v>13</v>
      </c>
      <c r="U7" s="202" t="s">
        <v>14</v>
      </c>
      <c r="V7" s="128" t="s">
        <v>15</v>
      </c>
      <c r="W7" s="130"/>
      <c r="X7" s="34" t="s">
        <v>16</v>
      </c>
      <c r="Y7" s="35" t="s">
        <v>17</v>
      </c>
      <c r="Z7" s="36"/>
      <c r="AA7" s="35" t="s">
        <v>18</v>
      </c>
      <c r="AB7" s="36" t="str">
        <f>IF('[1]SINBA-SIS-06-P'!V77=0," ",'[1]SINBA-SIS-06-P'!V77)</f>
        <v xml:space="preserve"> </v>
      </c>
      <c r="AC7" s="3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</row>
    <row r="8" spans="1:58" s="37" customFormat="1" ht="12" customHeight="1" thickBot="1" x14ac:dyDescent="0.25">
      <c r="A8" s="235" t="s">
        <v>19</v>
      </c>
      <c r="B8" s="38"/>
      <c r="C8" s="128" t="s">
        <v>20</v>
      </c>
      <c r="D8" s="129"/>
      <c r="E8" s="129"/>
      <c r="F8" s="129"/>
      <c r="G8" s="129"/>
      <c r="H8" s="129"/>
      <c r="I8" s="129"/>
      <c r="J8" s="130"/>
      <c r="K8" s="137" t="s">
        <v>21</v>
      </c>
      <c r="L8" s="183"/>
      <c r="M8" s="184"/>
      <c r="N8" s="39" t="s">
        <v>22</v>
      </c>
      <c r="O8" s="40"/>
      <c r="P8" s="39" t="s">
        <v>23</v>
      </c>
      <c r="Q8" s="40" t="str">
        <f>IF('[1]SINBA-SIS-06-P'!V11=0," ",'[1]SINBA-SIS-06-P'!V11)</f>
        <v xml:space="preserve"> </v>
      </c>
      <c r="R8" s="41"/>
      <c r="S8" s="42"/>
      <c r="T8" s="233"/>
      <c r="U8" s="203"/>
      <c r="V8" s="134"/>
      <c r="W8" s="136"/>
      <c r="X8" s="43" t="s">
        <v>24</v>
      </c>
      <c r="Y8" s="44" t="s">
        <v>25</v>
      </c>
      <c r="Z8" s="45"/>
      <c r="AA8" s="46" t="s">
        <v>26</v>
      </c>
      <c r="AB8" s="45" t="str">
        <f>IF('[1]SINBA-SIS-06-P'!V78=0," ",'[1]SINBA-SIS-06-P'!V78)</f>
        <v xml:space="preserve"> </v>
      </c>
      <c r="AC8" s="3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</row>
    <row r="9" spans="1:58" s="37" customFormat="1" ht="12" customHeight="1" x14ac:dyDescent="0.2">
      <c r="A9" s="236"/>
      <c r="B9" s="38"/>
      <c r="C9" s="131"/>
      <c r="D9" s="132"/>
      <c r="E9" s="132"/>
      <c r="F9" s="132"/>
      <c r="G9" s="132"/>
      <c r="H9" s="132"/>
      <c r="I9" s="132"/>
      <c r="J9" s="133"/>
      <c r="K9" s="140" t="s">
        <v>27</v>
      </c>
      <c r="L9" s="141"/>
      <c r="M9" s="142"/>
      <c r="N9" s="39" t="s">
        <v>28</v>
      </c>
      <c r="O9" s="40"/>
      <c r="P9" s="39" t="s">
        <v>29</v>
      </c>
      <c r="Q9" s="40" t="str">
        <f>IF('[1]SINBA-SIS-06-P'!V12=0," ",'[1]SINBA-SIS-06-P'!V12)</f>
        <v xml:space="preserve"> </v>
      </c>
      <c r="R9" s="41"/>
      <c r="S9" s="42"/>
      <c r="T9" s="233"/>
      <c r="U9" s="203"/>
      <c r="V9" s="128" t="s">
        <v>30</v>
      </c>
      <c r="W9" s="130"/>
      <c r="X9" s="34" t="s">
        <v>16</v>
      </c>
      <c r="Y9" s="35" t="s">
        <v>31</v>
      </c>
      <c r="Z9" s="36"/>
      <c r="AA9" s="35" t="s">
        <v>32</v>
      </c>
      <c r="AB9" s="36" t="str">
        <f>IF('[1]SINBA-SIS-06-P'!V79=0," ",'[1]SINBA-SIS-06-P'!V79)</f>
        <v xml:space="preserve"> </v>
      </c>
      <c r="AC9" s="3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</row>
    <row r="10" spans="1:58" s="37" customFormat="1" ht="12" customHeight="1" thickBot="1" x14ac:dyDescent="0.25">
      <c r="A10" s="236"/>
      <c r="B10" s="38"/>
      <c r="C10" s="131"/>
      <c r="D10" s="132"/>
      <c r="E10" s="132"/>
      <c r="F10" s="132"/>
      <c r="G10" s="132"/>
      <c r="H10" s="132"/>
      <c r="I10" s="132"/>
      <c r="J10" s="133"/>
      <c r="K10" s="225" t="s">
        <v>33</v>
      </c>
      <c r="L10" s="225"/>
      <c r="M10" s="225"/>
      <c r="N10" s="48" t="s">
        <v>34</v>
      </c>
      <c r="O10" s="49"/>
      <c r="P10" s="39" t="s">
        <v>35</v>
      </c>
      <c r="Q10" s="49" t="str">
        <f>IF('[1]SINBA-SIS-06-P'!V13=0," ",'[1]SINBA-SIS-06-P'!V13)</f>
        <v xml:space="preserve"> </v>
      </c>
      <c r="R10" s="41"/>
      <c r="S10" s="42"/>
      <c r="T10" s="233"/>
      <c r="U10" s="203"/>
      <c r="V10" s="134"/>
      <c r="W10" s="136"/>
      <c r="X10" s="43" t="s">
        <v>24</v>
      </c>
      <c r="Y10" s="46" t="s">
        <v>36</v>
      </c>
      <c r="Z10" s="45"/>
      <c r="AA10" s="46" t="s">
        <v>37</v>
      </c>
      <c r="AB10" s="45" t="str">
        <f>IF('[1]SINBA-SIS-06-P'!V80=0," ",'[1]SINBA-SIS-06-P'!V80)</f>
        <v xml:space="preserve"> </v>
      </c>
      <c r="AC10" s="3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</row>
    <row r="11" spans="1:58" s="37" customFormat="1" ht="12" customHeight="1" x14ac:dyDescent="0.2">
      <c r="A11" s="236"/>
      <c r="B11" s="38"/>
      <c r="C11" s="131"/>
      <c r="D11" s="132"/>
      <c r="E11" s="132"/>
      <c r="F11" s="132"/>
      <c r="G11" s="132"/>
      <c r="H11" s="132"/>
      <c r="I11" s="132"/>
      <c r="J11" s="133"/>
      <c r="K11" s="225" t="s">
        <v>38</v>
      </c>
      <c r="L11" s="225"/>
      <c r="M11" s="225"/>
      <c r="N11" s="48" t="s">
        <v>39</v>
      </c>
      <c r="O11" s="49"/>
      <c r="P11" s="39" t="s">
        <v>40</v>
      </c>
      <c r="Q11" s="49" t="str">
        <f>IF('[1]SINBA-SIS-06-P'!V14=0," ",'[1]SINBA-SIS-06-P'!V14)</f>
        <v xml:space="preserve"> </v>
      </c>
      <c r="R11" s="41"/>
      <c r="S11" s="42"/>
      <c r="T11" s="233"/>
      <c r="U11" s="203"/>
      <c r="V11" s="128" t="s">
        <v>41</v>
      </c>
      <c r="W11" s="130"/>
      <c r="X11" s="34" t="s">
        <v>16</v>
      </c>
      <c r="Y11" s="35" t="s">
        <v>42</v>
      </c>
      <c r="Z11" s="36"/>
      <c r="AA11" s="35" t="s">
        <v>43</v>
      </c>
      <c r="AB11" s="36" t="str">
        <f>IF('[1]SINBA-SIS-06-P'!V81=0," ",'[1]SINBA-SIS-06-P'!V81)</f>
        <v xml:space="preserve"> </v>
      </c>
      <c r="AC11" s="3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</row>
    <row r="12" spans="1:58" s="37" customFormat="1" ht="12" customHeight="1" thickBot="1" x14ac:dyDescent="0.25">
      <c r="A12" s="236"/>
      <c r="B12" s="38"/>
      <c r="C12" s="134"/>
      <c r="D12" s="135"/>
      <c r="E12" s="135"/>
      <c r="F12" s="135"/>
      <c r="G12" s="135"/>
      <c r="H12" s="135"/>
      <c r="I12" s="135"/>
      <c r="J12" s="136"/>
      <c r="K12" s="124" t="s">
        <v>44</v>
      </c>
      <c r="L12" s="125"/>
      <c r="M12" s="126"/>
      <c r="N12" s="39" t="s">
        <v>45</v>
      </c>
      <c r="O12" s="40"/>
      <c r="P12" s="39" t="s">
        <v>46</v>
      </c>
      <c r="Q12" s="40" t="str">
        <f>IF('[1]SINBA-SIS-06-P'!V15=0," ",'[1]SINBA-SIS-06-P'!V15)</f>
        <v xml:space="preserve"> </v>
      </c>
      <c r="R12" s="41"/>
      <c r="S12" s="42"/>
      <c r="T12" s="233"/>
      <c r="U12" s="203"/>
      <c r="V12" s="134"/>
      <c r="W12" s="136"/>
      <c r="X12" s="43" t="s">
        <v>24</v>
      </c>
      <c r="Y12" s="46" t="s">
        <v>47</v>
      </c>
      <c r="Z12" s="45"/>
      <c r="AA12" s="46" t="s">
        <v>48</v>
      </c>
      <c r="AB12" s="45" t="str">
        <f>IF('[1]SINBA-SIS-06-P'!V82=0," ",'[1]SINBA-SIS-06-P'!V82)</f>
        <v xml:space="preserve"> </v>
      </c>
      <c r="AC12" s="3"/>
      <c r="AD12" s="3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</row>
    <row r="13" spans="1:58" s="37" customFormat="1" ht="12" customHeight="1" x14ac:dyDescent="0.2">
      <c r="A13" s="236"/>
      <c r="B13" s="38"/>
      <c r="C13" s="128" t="s">
        <v>49</v>
      </c>
      <c r="D13" s="129"/>
      <c r="E13" s="129"/>
      <c r="F13" s="129"/>
      <c r="G13" s="129"/>
      <c r="H13" s="129"/>
      <c r="I13" s="129"/>
      <c r="J13" s="130"/>
      <c r="K13" s="226" t="s">
        <v>50</v>
      </c>
      <c r="L13" s="226"/>
      <c r="M13" s="226"/>
      <c r="N13" s="35" t="s">
        <v>51</v>
      </c>
      <c r="O13" s="50"/>
      <c r="P13" s="35" t="s">
        <v>52</v>
      </c>
      <c r="Q13" s="50" t="str">
        <f>IF('[1]SINBA-SIS-06-P'!V16=0," ",'[1]SINBA-SIS-06-P'!V16)</f>
        <v xml:space="preserve"> </v>
      </c>
      <c r="R13" s="41"/>
      <c r="S13" s="42"/>
      <c r="T13" s="233"/>
      <c r="U13" s="203"/>
      <c r="V13" s="131" t="s">
        <v>53</v>
      </c>
      <c r="W13" s="133"/>
      <c r="X13" s="34" t="s">
        <v>16</v>
      </c>
      <c r="Y13" s="35" t="s">
        <v>54</v>
      </c>
      <c r="Z13" s="36"/>
      <c r="AA13" s="35" t="s">
        <v>55</v>
      </c>
      <c r="AB13" s="36" t="str">
        <f>IF('[1]SINBA-SIS-06-P'!V83=0," ",'[1]SINBA-SIS-06-P'!V83)</f>
        <v xml:space="preserve"> </v>
      </c>
      <c r="AC13" s="3"/>
      <c r="AD13" s="3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</row>
    <row r="14" spans="1:58" s="37" customFormat="1" ht="12" customHeight="1" thickBot="1" x14ac:dyDescent="0.25">
      <c r="A14" s="236"/>
      <c r="B14" s="38"/>
      <c r="C14" s="131"/>
      <c r="D14" s="132"/>
      <c r="E14" s="132"/>
      <c r="F14" s="132"/>
      <c r="G14" s="132"/>
      <c r="H14" s="132"/>
      <c r="I14" s="132"/>
      <c r="J14" s="133"/>
      <c r="K14" s="145" t="s">
        <v>56</v>
      </c>
      <c r="L14" s="146"/>
      <c r="M14" s="51" t="s">
        <v>15</v>
      </c>
      <c r="N14" s="52" t="s">
        <v>57</v>
      </c>
      <c r="O14" s="49"/>
      <c r="P14" s="52" t="s">
        <v>58</v>
      </c>
      <c r="Q14" s="49" t="str">
        <f>IF('[1]SINBA-SIS-06-P'!V17=0," ",'[1]SINBA-SIS-06-P'!V17)</f>
        <v xml:space="preserve"> </v>
      </c>
      <c r="R14" s="41"/>
      <c r="S14" s="42"/>
      <c r="T14" s="233"/>
      <c r="U14" s="204"/>
      <c r="V14" s="134"/>
      <c r="W14" s="136"/>
      <c r="X14" s="43" t="s">
        <v>24</v>
      </c>
      <c r="Y14" s="46" t="s">
        <v>59</v>
      </c>
      <c r="Z14" s="45"/>
      <c r="AA14" s="46" t="s">
        <v>60</v>
      </c>
      <c r="AB14" s="45" t="str">
        <f>IF('[1]SINBA-SIS-06-P'!V84=0," ",'[1]SINBA-SIS-06-P'!V84)</f>
        <v xml:space="preserve"> </v>
      </c>
      <c r="AC14" s="3"/>
      <c r="AD14" s="3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</row>
    <row r="15" spans="1:58" s="37" customFormat="1" ht="12" customHeight="1" x14ac:dyDescent="0.2">
      <c r="A15" s="236"/>
      <c r="B15" s="38"/>
      <c r="C15" s="131"/>
      <c r="D15" s="132"/>
      <c r="E15" s="132"/>
      <c r="F15" s="132"/>
      <c r="G15" s="132"/>
      <c r="H15" s="132"/>
      <c r="I15" s="132"/>
      <c r="J15" s="133"/>
      <c r="K15" s="149"/>
      <c r="L15" s="150"/>
      <c r="M15" s="53" t="s">
        <v>30</v>
      </c>
      <c r="N15" s="52" t="s">
        <v>61</v>
      </c>
      <c r="O15" s="49"/>
      <c r="P15" s="52" t="s">
        <v>62</v>
      </c>
      <c r="Q15" s="49" t="str">
        <f>IF('[1]SINBA-SIS-06-P'!V18=0," ",'[1]SINBA-SIS-06-P'!V18)</f>
        <v xml:space="preserve"> </v>
      </c>
      <c r="R15" s="41"/>
      <c r="S15" s="42"/>
      <c r="T15" s="233"/>
      <c r="U15" s="202" t="s">
        <v>15</v>
      </c>
      <c r="V15" s="128" t="s">
        <v>63</v>
      </c>
      <c r="W15" s="130"/>
      <c r="X15" s="34" t="s">
        <v>64</v>
      </c>
      <c r="Y15" s="35" t="s">
        <v>65</v>
      </c>
      <c r="Z15" s="36"/>
      <c r="AA15" s="35" t="s">
        <v>66</v>
      </c>
      <c r="AB15" s="36" t="str">
        <f>IF('[1]SINBA-SIS-06-P'!V85=0," ",'[1]SINBA-SIS-06-P'!V85)</f>
        <v xml:space="preserve"> </v>
      </c>
      <c r="AC15" s="3"/>
      <c r="AD15" s="3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</row>
    <row r="16" spans="1:58" s="37" customFormat="1" ht="12" customHeight="1" x14ac:dyDescent="0.2">
      <c r="A16" s="236"/>
      <c r="B16" s="38"/>
      <c r="C16" s="131"/>
      <c r="D16" s="132"/>
      <c r="E16" s="132"/>
      <c r="F16" s="132"/>
      <c r="G16" s="132"/>
      <c r="H16" s="132"/>
      <c r="I16" s="132"/>
      <c r="J16" s="133"/>
      <c r="K16" s="164" t="s">
        <v>67</v>
      </c>
      <c r="L16" s="165"/>
      <c r="M16" s="54" t="s">
        <v>15</v>
      </c>
      <c r="N16" s="52" t="s">
        <v>68</v>
      </c>
      <c r="O16" s="49"/>
      <c r="P16" s="52" t="s">
        <v>69</v>
      </c>
      <c r="Q16" s="49" t="str">
        <f>IF('[1]SINBA-SIS-06-P'!V19=0," ",'[1]SINBA-SIS-06-P'!V19)</f>
        <v xml:space="preserve"> </v>
      </c>
      <c r="R16" s="41"/>
      <c r="S16" s="42"/>
      <c r="T16" s="233"/>
      <c r="U16" s="203"/>
      <c r="V16" s="131"/>
      <c r="W16" s="133"/>
      <c r="X16" s="55" t="s">
        <v>70</v>
      </c>
      <c r="Y16" s="52" t="s">
        <v>71</v>
      </c>
      <c r="Z16" s="56"/>
      <c r="AA16" s="52" t="s">
        <v>72</v>
      </c>
      <c r="AB16" s="56" t="str">
        <f>IF('[1]SINBA-SIS-06-P'!V86=0," ",'[1]SINBA-SIS-06-P'!V86)</f>
        <v xml:space="preserve"> </v>
      </c>
      <c r="AC16" s="3"/>
      <c r="AD16" s="3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</row>
    <row r="17" spans="1:58" s="37" customFormat="1" ht="12" customHeight="1" x14ac:dyDescent="0.2">
      <c r="A17" s="236"/>
      <c r="B17" s="38"/>
      <c r="C17" s="131"/>
      <c r="D17" s="132"/>
      <c r="E17" s="132"/>
      <c r="F17" s="132"/>
      <c r="G17" s="132"/>
      <c r="H17" s="132"/>
      <c r="I17" s="132"/>
      <c r="J17" s="133"/>
      <c r="K17" s="227"/>
      <c r="L17" s="228"/>
      <c r="M17" s="54" t="s">
        <v>30</v>
      </c>
      <c r="N17" s="52" t="s">
        <v>73</v>
      </c>
      <c r="O17" s="49"/>
      <c r="P17" s="52" t="s">
        <v>74</v>
      </c>
      <c r="Q17" s="49" t="str">
        <f>IF('[1]SINBA-SIS-06-P'!V20=0," ",'[1]SINBA-SIS-06-P'!V20)</f>
        <v xml:space="preserve"> </v>
      </c>
      <c r="R17" s="41"/>
      <c r="S17" s="42"/>
      <c r="T17" s="233"/>
      <c r="U17" s="203"/>
      <c r="V17" s="131"/>
      <c r="W17" s="133"/>
      <c r="X17" s="55" t="s">
        <v>75</v>
      </c>
      <c r="Y17" s="52" t="s">
        <v>76</v>
      </c>
      <c r="Z17" s="56"/>
      <c r="AA17" s="52" t="s">
        <v>77</v>
      </c>
      <c r="AB17" s="56" t="str">
        <f>IF('[1]SINBA-SIS-06-P'!V87=0," ",'[1]SINBA-SIS-06-P'!V87)</f>
        <v xml:space="preserve"> </v>
      </c>
      <c r="AC17" s="3"/>
      <c r="AD17" s="3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</row>
    <row r="18" spans="1:58" s="37" customFormat="1" ht="12" customHeight="1" thickBot="1" x14ac:dyDescent="0.25">
      <c r="A18" s="236"/>
      <c r="B18" s="38"/>
      <c r="C18" s="131"/>
      <c r="D18" s="132"/>
      <c r="E18" s="132"/>
      <c r="F18" s="132"/>
      <c r="G18" s="132"/>
      <c r="H18" s="132"/>
      <c r="I18" s="132"/>
      <c r="J18" s="133"/>
      <c r="K18" s="164" t="s">
        <v>78</v>
      </c>
      <c r="L18" s="165"/>
      <c r="M18" s="54" t="s">
        <v>15</v>
      </c>
      <c r="N18" s="52" t="s">
        <v>79</v>
      </c>
      <c r="O18" s="49"/>
      <c r="P18" s="57"/>
      <c r="Q18" s="58"/>
      <c r="R18" s="41"/>
      <c r="S18" s="42"/>
      <c r="T18" s="233"/>
      <c r="U18" s="203"/>
      <c r="V18" s="134"/>
      <c r="W18" s="136"/>
      <c r="X18" s="43" t="s">
        <v>80</v>
      </c>
      <c r="Y18" s="46" t="s">
        <v>81</v>
      </c>
      <c r="Z18" s="45"/>
      <c r="AA18" s="46" t="s">
        <v>82</v>
      </c>
      <c r="AB18" s="45" t="str">
        <f>IF('[1]SINBA-SIS-06-P'!V88=0," ",'[1]SINBA-SIS-06-P'!V88)</f>
        <v xml:space="preserve"> </v>
      </c>
      <c r="AC18" s="3"/>
      <c r="AD18" s="3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</row>
    <row r="19" spans="1:58" s="37" customFormat="1" ht="12" customHeight="1" thickBot="1" x14ac:dyDescent="0.25">
      <c r="A19" s="236"/>
      <c r="B19" s="38"/>
      <c r="C19" s="134"/>
      <c r="D19" s="135"/>
      <c r="E19" s="135"/>
      <c r="F19" s="135"/>
      <c r="G19" s="135"/>
      <c r="H19" s="135"/>
      <c r="I19" s="135"/>
      <c r="J19" s="136"/>
      <c r="K19" s="166"/>
      <c r="L19" s="167"/>
      <c r="M19" s="59" t="s">
        <v>30</v>
      </c>
      <c r="N19" s="44" t="s">
        <v>83</v>
      </c>
      <c r="O19" s="60"/>
      <c r="P19" s="61"/>
      <c r="Q19" s="62"/>
      <c r="R19" s="41"/>
      <c r="S19" s="42"/>
      <c r="T19" s="233"/>
      <c r="U19" s="203"/>
      <c r="V19" s="131" t="s">
        <v>84</v>
      </c>
      <c r="W19" s="133"/>
      <c r="X19" s="34" t="s">
        <v>64</v>
      </c>
      <c r="Y19" s="35" t="s">
        <v>85</v>
      </c>
      <c r="Z19" s="36"/>
      <c r="AA19" s="35" t="s">
        <v>86</v>
      </c>
      <c r="AB19" s="36" t="str">
        <f>IF('[1]SINBA-SIS-06-P'!V89=0," ",'[1]SINBA-SIS-06-P'!V89)</f>
        <v xml:space="preserve"> </v>
      </c>
      <c r="AC19" s="3"/>
      <c r="AD19" s="3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</row>
    <row r="20" spans="1:58" s="37" customFormat="1" ht="12" customHeight="1" x14ac:dyDescent="0.2">
      <c r="A20" s="236"/>
      <c r="B20" s="38"/>
      <c r="C20" s="131" t="s">
        <v>87</v>
      </c>
      <c r="D20" s="132"/>
      <c r="E20" s="132"/>
      <c r="F20" s="132"/>
      <c r="G20" s="132"/>
      <c r="H20" s="132"/>
      <c r="I20" s="132"/>
      <c r="J20" s="133"/>
      <c r="K20" s="137" t="s">
        <v>88</v>
      </c>
      <c r="L20" s="138"/>
      <c r="M20" s="139"/>
      <c r="N20" s="39" t="s">
        <v>89</v>
      </c>
      <c r="O20" s="40"/>
      <c r="P20" s="39" t="s">
        <v>90</v>
      </c>
      <c r="Q20" s="40" t="str">
        <f>IF('[1]SINBA-SIS-06-P'!V23=0," ",'[1]SINBA-SIS-06-P'!V23)</f>
        <v xml:space="preserve"> </v>
      </c>
      <c r="R20" s="41"/>
      <c r="S20" s="42"/>
      <c r="T20" s="233"/>
      <c r="U20" s="203"/>
      <c r="V20" s="131"/>
      <c r="W20" s="133"/>
      <c r="X20" s="55" t="s">
        <v>70</v>
      </c>
      <c r="Y20" s="52" t="s">
        <v>91</v>
      </c>
      <c r="Z20" s="56"/>
      <c r="AA20" s="52" t="s">
        <v>92</v>
      </c>
      <c r="AB20" s="56" t="str">
        <f>IF('[1]SINBA-SIS-06-P'!V90=0," ",'[1]SINBA-SIS-06-P'!V90)</f>
        <v xml:space="preserve"> </v>
      </c>
      <c r="AC20" s="3"/>
      <c r="AD20" s="3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</row>
    <row r="21" spans="1:58" s="37" customFormat="1" ht="12" customHeight="1" x14ac:dyDescent="0.2">
      <c r="A21" s="236"/>
      <c r="B21" s="38"/>
      <c r="C21" s="131"/>
      <c r="D21" s="132"/>
      <c r="E21" s="132"/>
      <c r="F21" s="132"/>
      <c r="G21" s="132"/>
      <c r="H21" s="132"/>
      <c r="I21" s="132"/>
      <c r="J21" s="133"/>
      <c r="K21" s="140" t="s">
        <v>93</v>
      </c>
      <c r="L21" s="141"/>
      <c r="M21" s="142"/>
      <c r="N21" s="48" t="s">
        <v>94</v>
      </c>
      <c r="O21" s="63"/>
      <c r="P21" s="48" t="s">
        <v>95</v>
      </c>
      <c r="Q21" s="63" t="str">
        <f>IF('[1]SINBA-SIS-06-P'!V24=0," ",'[1]SINBA-SIS-06-P'!V24)</f>
        <v xml:space="preserve"> </v>
      </c>
      <c r="R21" s="41"/>
      <c r="S21" s="42"/>
      <c r="T21" s="233"/>
      <c r="U21" s="203"/>
      <c r="V21" s="131"/>
      <c r="W21" s="133"/>
      <c r="X21" s="55" t="s">
        <v>75</v>
      </c>
      <c r="Y21" s="52" t="s">
        <v>96</v>
      </c>
      <c r="Z21" s="56"/>
      <c r="AA21" s="52" t="s">
        <v>97</v>
      </c>
      <c r="AB21" s="56" t="str">
        <f>IF('[1]SINBA-SIS-06-P'!V91=0," ",'[1]SINBA-SIS-06-P'!V91)</f>
        <v xml:space="preserve"> </v>
      </c>
      <c r="AC21" s="3"/>
      <c r="AD21" s="3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</row>
    <row r="22" spans="1:58" s="37" customFormat="1" ht="12" customHeight="1" thickBot="1" x14ac:dyDescent="0.25">
      <c r="A22" s="236"/>
      <c r="B22" s="38"/>
      <c r="C22" s="131"/>
      <c r="D22" s="132"/>
      <c r="E22" s="132"/>
      <c r="F22" s="132"/>
      <c r="G22" s="132"/>
      <c r="H22" s="132"/>
      <c r="I22" s="132"/>
      <c r="J22" s="133"/>
      <c r="K22" s="140" t="s">
        <v>98</v>
      </c>
      <c r="L22" s="141"/>
      <c r="M22" s="142"/>
      <c r="N22" s="48" t="s">
        <v>99</v>
      </c>
      <c r="O22" s="49"/>
      <c r="P22" s="48" t="s">
        <v>100</v>
      </c>
      <c r="Q22" s="49" t="str">
        <f>IF('[1]SINBA-SIS-06-P'!V25=0," ",'[1]SINBA-SIS-06-P'!V25)</f>
        <v xml:space="preserve"> </v>
      </c>
      <c r="R22" s="41"/>
      <c r="S22" s="42"/>
      <c r="T22" s="233"/>
      <c r="U22" s="204"/>
      <c r="V22" s="134"/>
      <c r="W22" s="136"/>
      <c r="X22" s="43" t="s">
        <v>80</v>
      </c>
      <c r="Y22" s="46" t="s">
        <v>101</v>
      </c>
      <c r="Z22" s="45"/>
      <c r="AA22" s="46" t="s">
        <v>102</v>
      </c>
      <c r="AB22" s="45" t="str">
        <f>IF('[1]SINBA-SIS-06-P'!V92=0," ",'[1]SINBA-SIS-06-P'!V92)</f>
        <v xml:space="preserve"> </v>
      </c>
      <c r="AC22" s="3"/>
      <c r="AD22" s="3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</row>
    <row r="23" spans="1:58" s="37" customFormat="1" ht="12" customHeight="1" x14ac:dyDescent="0.2">
      <c r="A23" s="236"/>
      <c r="B23" s="38"/>
      <c r="C23" s="131"/>
      <c r="D23" s="132"/>
      <c r="E23" s="132"/>
      <c r="F23" s="132"/>
      <c r="G23" s="132"/>
      <c r="H23" s="132"/>
      <c r="I23" s="132"/>
      <c r="J23" s="133"/>
      <c r="K23" s="140" t="s">
        <v>103</v>
      </c>
      <c r="L23" s="141"/>
      <c r="M23" s="142"/>
      <c r="N23" s="52" t="s">
        <v>104</v>
      </c>
      <c r="O23" s="49"/>
      <c r="P23" s="48" t="s">
        <v>105</v>
      </c>
      <c r="Q23" s="49" t="str">
        <f>IF('[1]SINBA-SIS-06-P'!V26=0," ",'[1]SINBA-SIS-06-P'!V26)</f>
        <v xml:space="preserve"> </v>
      </c>
      <c r="R23" s="41"/>
      <c r="S23" s="42"/>
      <c r="T23" s="233"/>
      <c r="U23" s="202" t="s">
        <v>106</v>
      </c>
      <c r="V23" s="128" t="s">
        <v>63</v>
      </c>
      <c r="W23" s="130"/>
      <c r="X23" s="34" t="s">
        <v>64</v>
      </c>
      <c r="Y23" s="35" t="s">
        <v>107</v>
      </c>
      <c r="Z23" s="36"/>
      <c r="AA23" s="35" t="s">
        <v>108</v>
      </c>
      <c r="AB23" s="36" t="str">
        <f>IF('[1]SINBA-SIS-06-P'!V93=0," ",'[1]SINBA-SIS-06-P'!V93)</f>
        <v xml:space="preserve"> </v>
      </c>
      <c r="AC23" s="3"/>
      <c r="AD23" s="3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</row>
    <row r="24" spans="1:58" s="37" customFormat="1" ht="12" customHeight="1" x14ac:dyDescent="0.2">
      <c r="A24" s="236"/>
      <c r="B24" s="38"/>
      <c r="C24" s="131"/>
      <c r="D24" s="132"/>
      <c r="E24" s="132"/>
      <c r="F24" s="132"/>
      <c r="G24" s="132"/>
      <c r="H24" s="132"/>
      <c r="I24" s="132"/>
      <c r="J24" s="133"/>
      <c r="K24" s="145" t="s">
        <v>109</v>
      </c>
      <c r="L24" s="146"/>
      <c r="M24" s="47" t="s">
        <v>15</v>
      </c>
      <c r="N24" s="48" t="s">
        <v>110</v>
      </c>
      <c r="O24" s="49"/>
      <c r="P24" s="48" t="s">
        <v>111</v>
      </c>
      <c r="Q24" s="49" t="str">
        <f>IF('[1]SINBA-SIS-06-P'!V27=0," ",'[1]SINBA-SIS-06-P'!V27)</f>
        <v xml:space="preserve"> </v>
      </c>
      <c r="R24" s="41"/>
      <c r="S24" s="42"/>
      <c r="T24" s="233"/>
      <c r="U24" s="203"/>
      <c r="V24" s="131"/>
      <c r="W24" s="133"/>
      <c r="X24" s="55" t="s">
        <v>70</v>
      </c>
      <c r="Y24" s="52" t="s">
        <v>112</v>
      </c>
      <c r="Z24" s="56"/>
      <c r="AA24" s="52" t="s">
        <v>113</v>
      </c>
      <c r="AB24" s="56" t="str">
        <f>IF('[1]SINBA-SIS-06-P'!V94=0," ",'[1]SINBA-SIS-06-P'!V94)</f>
        <v xml:space="preserve"> </v>
      </c>
      <c r="AC24" s="3"/>
      <c r="AD24" s="3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</row>
    <row r="25" spans="1:58" s="37" customFormat="1" ht="12" customHeight="1" x14ac:dyDescent="0.2">
      <c r="A25" s="236"/>
      <c r="B25" s="38"/>
      <c r="C25" s="131"/>
      <c r="D25" s="132"/>
      <c r="E25" s="132"/>
      <c r="F25" s="132"/>
      <c r="G25" s="132"/>
      <c r="H25" s="132"/>
      <c r="I25" s="132"/>
      <c r="J25" s="133"/>
      <c r="K25" s="147"/>
      <c r="L25" s="148"/>
      <c r="M25" s="64" t="s">
        <v>30</v>
      </c>
      <c r="N25" s="48" t="s">
        <v>114</v>
      </c>
      <c r="O25" s="40"/>
      <c r="P25" s="48" t="s">
        <v>115</v>
      </c>
      <c r="Q25" s="40" t="str">
        <f>IF('[1]SINBA-SIS-06-P'!V28=0," ",'[1]SINBA-SIS-06-P'!V28)</f>
        <v xml:space="preserve"> </v>
      </c>
      <c r="R25" s="65"/>
      <c r="S25" s="42"/>
      <c r="T25" s="233"/>
      <c r="U25" s="203"/>
      <c r="V25" s="131"/>
      <c r="W25" s="133"/>
      <c r="X25" s="55" t="s">
        <v>75</v>
      </c>
      <c r="Y25" s="52" t="s">
        <v>116</v>
      </c>
      <c r="Z25" s="56"/>
      <c r="AA25" s="52" t="s">
        <v>117</v>
      </c>
      <c r="AB25" s="56" t="str">
        <f>IF('[1]SINBA-SIS-06-P'!V95=0," ",'[1]SINBA-SIS-06-P'!V95)</f>
        <v xml:space="preserve"> </v>
      </c>
      <c r="AC25" s="3"/>
      <c r="AD25" s="3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</row>
    <row r="26" spans="1:58" s="37" customFormat="1" ht="12" customHeight="1" thickBot="1" x14ac:dyDescent="0.25">
      <c r="A26" s="236"/>
      <c r="B26" s="38"/>
      <c r="C26" s="131"/>
      <c r="D26" s="132"/>
      <c r="E26" s="132"/>
      <c r="F26" s="132"/>
      <c r="G26" s="132"/>
      <c r="H26" s="132"/>
      <c r="I26" s="132"/>
      <c r="J26" s="133"/>
      <c r="K26" s="149"/>
      <c r="L26" s="150"/>
      <c r="M26" s="64" t="s">
        <v>41</v>
      </c>
      <c r="N26" s="48" t="s">
        <v>118</v>
      </c>
      <c r="O26" s="40"/>
      <c r="P26" s="48" t="s">
        <v>119</v>
      </c>
      <c r="Q26" s="40" t="str">
        <f>IF('[1]SINBA-SIS-06-P'!V29=0," ",'[1]SINBA-SIS-06-P'!V29)</f>
        <v xml:space="preserve"> </v>
      </c>
      <c r="R26" s="65"/>
      <c r="S26" s="42"/>
      <c r="T26" s="233"/>
      <c r="U26" s="203"/>
      <c r="V26" s="134"/>
      <c r="W26" s="136"/>
      <c r="X26" s="43" t="s">
        <v>80</v>
      </c>
      <c r="Y26" s="46" t="s">
        <v>120</v>
      </c>
      <c r="Z26" s="45"/>
      <c r="AA26" s="46" t="s">
        <v>121</v>
      </c>
      <c r="AB26" s="45" t="str">
        <f>IF('[1]SINBA-SIS-06-P'!V96=0," ",'[1]SINBA-SIS-06-P'!V96)</f>
        <v xml:space="preserve"> </v>
      </c>
      <c r="AC26" s="3"/>
      <c r="AD26" s="3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</row>
    <row r="27" spans="1:58" s="37" customFormat="1" ht="12" customHeight="1" thickBot="1" x14ac:dyDescent="0.25">
      <c r="A27" s="236"/>
      <c r="B27" s="38"/>
      <c r="C27" s="134"/>
      <c r="D27" s="135"/>
      <c r="E27" s="135"/>
      <c r="F27" s="135"/>
      <c r="G27" s="135"/>
      <c r="H27" s="135"/>
      <c r="I27" s="135"/>
      <c r="J27" s="136"/>
      <c r="K27" s="205" t="s">
        <v>122</v>
      </c>
      <c r="L27" s="206"/>
      <c r="M27" s="207"/>
      <c r="N27" s="44" t="s">
        <v>123</v>
      </c>
      <c r="O27" s="66"/>
      <c r="P27" s="44" t="s">
        <v>124</v>
      </c>
      <c r="Q27" s="66" t="str">
        <f>IF('[1]SINBA-SIS-06-P'!V30=0," ",'[1]SINBA-SIS-06-P'!V30)</f>
        <v xml:space="preserve"> </v>
      </c>
      <c r="R27" s="41"/>
      <c r="S27" s="42"/>
      <c r="T27" s="233"/>
      <c r="U27" s="203"/>
      <c r="V27" s="131" t="s">
        <v>84</v>
      </c>
      <c r="W27" s="133"/>
      <c r="X27" s="34" t="s">
        <v>64</v>
      </c>
      <c r="Y27" s="35" t="s">
        <v>125</v>
      </c>
      <c r="Z27" s="36"/>
      <c r="AA27" s="35" t="s">
        <v>126</v>
      </c>
      <c r="AB27" s="36" t="str">
        <f>IF('[1]SINBA-SIS-06-P'!V97=0," ",'[1]SINBA-SIS-06-P'!V97)</f>
        <v xml:space="preserve"> </v>
      </c>
      <c r="AC27" s="3"/>
      <c r="AD27" s="3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</row>
    <row r="28" spans="1:58" s="37" customFormat="1" ht="12" customHeight="1" x14ac:dyDescent="0.2">
      <c r="A28" s="236"/>
      <c r="B28" s="38"/>
      <c r="C28" s="128" t="s">
        <v>127</v>
      </c>
      <c r="D28" s="129"/>
      <c r="E28" s="129"/>
      <c r="F28" s="129"/>
      <c r="G28" s="129"/>
      <c r="H28" s="129"/>
      <c r="I28" s="129"/>
      <c r="J28" s="130"/>
      <c r="K28" s="208" t="s">
        <v>128</v>
      </c>
      <c r="L28" s="209"/>
      <c r="M28" s="210"/>
      <c r="N28" s="39" t="s">
        <v>129</v>
      </c>
      <c r="O28" s="40"/>
      <c r="P28" s="39" t="s">
        <v>130</v>
      </c>
      <c r="Q28" s="40" t="str">
        <f>IF('[1]SINBA-SIS-06-P'!V31=0," ",'[1]SINBA-SIS-06-P'!V31)</f>
        <v xml:space="preserve"> </v>
      </c>
      <c r="R28" s="65"/>
      <c r="S28" s="42"/>
      <c r="T28" s="233"/>
      <c r="U28" s="203"/>
      <c r="V28" s="131"/>
      <c r="W28" s="133"/>
      <c r="X28" s="55" t="s">
        <v>70</v>
      </c>
      <c r="Y28" s="52" t="s">
        <v>131</v>
      </c>
      <c r="Z28" s="56"/>
      <c r="AA28" s="52" t="s">
        <v>132</v>
      </c>
      <c r="AB28" s="56" t="str">
        <f>IF('[1]SINBA-SIS-06-P'!V98=0," ",'[1]SINBA-SIS-06-P'!V98)</f>
        <v xml:space="preserve"> </v>
      </c>
      <c r="AC28" s="3"/>
      <c r="AD28" s="3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</row>
    <row r="29" spans="1:58" s="37" customFormat="1" ht="12" customHeight="1" thickBot="1" x14ac:dyDescent="0.25">
      <c r="A29" s="236"/>
      <c r="B29" s="38"/>
      <c r="C29" s="134"/>
      <c r="D29" s="135"/>
      <c r="E29" s="135"/>
      <c r="F29" s="135"/>
      <c r="G29" s="135"/>
      <c r="H29" s="135"/>
      <c r="I29" s="135"/>
      <c r="J29" s="136"/>
      <c r="K29" s="211" t="s">
        <v>133</v>
      </c>
      <c r="L29" s="212"/>
      <c r="M29" s="213"/>
      <c r="N29" s="44" t="s">
        <v>134</v>
      </c>
      <c r="O29" s="60"/>
      <c r="P29" s="44" t="s">
        <v>135</v>
      </c>
      <c r="Q29" s="60" t="str">
        <f>IF('[1]SINBA-SIS-06-P'!V32=0," ",'[1]SINBA-SIS-06-P'!V32)</f>
        <v xml:space="preserve"> </v>
      </c>
      <c r="R29" s="65"/>
      <c r="S29" s="42"/>
      <c r="T29" s="233"/>
      <c r="U29" s="203"/>
      <c r="V29" s="131"/>
      <c r="W29" s="133"/>
      <c r="X29" s="55" t="s">
        <v>75</v>
      </c>
      <c r="Y29" s="52" t="s">
        <v>136</v>
      </c>
      <c r="Z29" s="56"/>
      <c r="AA29" s="52" t="s">
        <v>137</v>
      </c>
      <c r="AB29" s="56" t="str">
        <f>IF('[1]SINBA-SIS-06-P'!V99=0," ",'[1]SINBA-SIS-06-P'!V99)</f>
        <v xml:space="preserve"> </v>
      </c>
      <c r="AC29" s="3"/>
      <c r="AD29" s="3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</row>
    <row r="30" spans="1:58" s="37" customFormat="1" ht="12" customHeight="1" thickBot="1" x14ac:dyDescent="0.25">
      <c r="A30" s="236"/>
      <c r="B30" s="38"/>
      <c r="C30" s="214" t="s">
        <v>138</v>
      </c>
      <c r="D30" s="215"/>
      <c r="E30" s="215"/>
      <c r="F30" s="215"/>
      <c r="G30" s="215"/>
      <c r="H30" s="215"/>
      <c r="I30" s="215"/>
      <c r="J30" s="216"/>
      <c r="K30" s="223" t="s">
        <v>139</v>
      </c>
      <c r="L30" s="223"/>
      <c r="M30" s="224"/>
      <c r="N30" s="48" t="s">
        <v>140</v>
      </c>
      <c r="O30" s="40"/>
      <c r="P30" s="48" t="s">
        <v>141</v>
      </c>
      <c r="Q30" s="40" t="str">
        <f>IF('[1]SINBA-SIS-06-P'!V33=0," ",'[1]SINBA-SIS-06-P'!V33)</f>
        <v xml:space="preserve"> </v>
      </c>
      <c r="R30" s="65"/>
      <c r="S30" s="42"/>
      <c r="T30" s="233"/>
      <c r="U30" s="204"/>
      <c r="V30" s="134"/>
      <c r="W30" s="136"/>
      <c r="X30" s="43" t="s">
        <v>80</v>
      </c>
      <c r="Y30" s="46" t="s">
        <v>142</v>
      </c>
      <c r="Z30" s="45"/>
      <c r="AA30" s="46" t="s">
        <v>143</v>
      </c>
      <c r="AB30" s="45" t="str">
        <f>IF('[1]SINBA-SIS-06-P'!V100=0," ",'[1]SINBA-SIS-06-P'!V100)</f>
        <v xml:space="preserve"> </v>
      </c>
      <c r="AC30" s="3"/>
      <c r="AD30" s="3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</row>
    <row r="31" spans="1:58" s="37" customFormat="1" ht="12" customHeight="1" x14ac:dyDescent="0.2">
      <c r="A31" s="236"/>
      <c r="B31" s="38"/>
      <c r="C31" s="217"/>
      <c r="D31" s="218"/>
      <c r="E31" s="218"/>
      <c r="F31" s="218"/>
      <c r="G31" s="218"/>
      <c r="H31" s="218"/>
      <c r="I31" s="218"/>
      <c r="J31" s="219"/>
      <c r="K31" s="223" t="s">
        <v>144</v>
      </c>
      <c r="L31" s="223"/>
      <c r="M31" s="224"/>
      <c r="N31" s="39" t="s">
        <v>145</v>
      </c>
      <c r="O31" s="40"/>
      <c r="P31" s="39" t="s">
        <v>146</v>
      </c>
      <c r="Q31" s="40" t="str">
        <f>IF('[1]SINBA-SIS-06-P'!V34=0," ",'[1]SINBA-SIS-06-P'!V34)</f>
        <v xml:space="preserve"> </v>
      </c>
      <c r="R31" s="65"/>
      <c r="S31" s="42"/>
      <c r="T31" s="233"/>
      <c r="U31" s="202" t="s">
        <v>147</v>
      </c>
      <c r="V31" s="128" t="s">
        <v>63</v>
      </c>
      <c r="W31" s="130"/>
      <c r="X31" s="34" t="s">
        <v>64</v>
      </c>
      <c r="Y31" s="35" t="s">
        <v>148</v>
      </c>
      <c r="Z31" s="36"/>
      <c r="AA31" s="35" t="s">
        <v>149</v>
      </c>
      <c r="AB31" s="36" t="str">
        <f>IF('[1]SINBA-SIS-06-P'!V101=0," ",'[1]SINBA-SIS-06-P'!V101)</f>
        <v xml:space="preserve"> </v>
      </c>
      <c r="AC31" s="3"/>
      <c r="AD31" s="3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</row>
    <row r="32" spans="1:58" s="37" customFormat="1" ht="12" customHeight="1" x14ac:dyDescent="0.2">
      <c r="A32" s="236"/>
      <c r="B32" s="38"/>
      <c r="C32" s="217"/>
      <c r="D32" s="218"/>
      <c r="E32" s="218"/>
      <c r="F32" s="218"/>
      <c r="G32" s="218"/>
      <c r="H32" s="218"/>
      <c r="I32" s="218"/>
      <c r="J32" s="219"/>
      <c r="K32" s="164" t="s">
        <v>150</v>
      </c>
      <c r="L32" s="165"/>
      <c r="M32" s="67" t="s">
        <v>151</v>
      </c>
      <c r="N32" s="39" t="s">
        <v>152</v>
      </c>
      <c r="O32" s="40"/>
      <c r="P32" s="39" t="s">
        <v>153</v>
      </c>
      <c r="Q32" s="40" t="str">
        <f>IF('[1]SINBA-SIS-06-P'!V35=0," ",'[1]SINBA-SIS-06-P'!V35)</f>
        <v xml:space="preserve"> </v>
      </c>
      <c r="R32" s="41"/>
      <c r="S32" s="42"/>
      <c r="T32" s="233"/>
      <c r="U32" s="203"/>
      <c r="V32" s="131"/>
      <c r="W32" s="133"/>
      <c r="X32" s="55" t="s">
        <v>70</v>
      </c>
      <c r="Y32" s="52" t="s">
        <v>154</v>
      </c>
      <c r="Z32" s="56"/>
      <c r="AA32" s="52" t="s">
        <v>155</v>
      </c>
      <c r="AB32" s="56" t="str">
        <f>IF('[1]SINBA-SIS-06-P'!V102=0," ",'[1]SINBA-SIS-06-P'!V102)</f>
        <v xml:space="preserve"> </v>
      </c>
      <c r="AC32" s="3"/>
      <c r="AD32" s="3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</row>
    <row r="33" spans="1:58" s="37" customFormat="1" ht="12" customHeight="1" thickBot="1" x14ac:dyDescent="0.25">
      <c r="A33" s="236"/>
      <c r="B33" s="38"/>
      <c r="C33" s="220"/>
      <c r="D33" s="221"/>
      <c r="E33" s="221"/>
      <c r="F33" s="221"/>
      <c r="G33" s="221"/>
      <c r="H33" s="221"/>
      <c r="I33" s="221"/>
      <c r="J33" s="222"/>
      <c r="K33" s="166"/>
      <c r="L33" s="167"/>
      <c r="M33" s="68" t="s">
        <v>156</v>
      </c>
      <c r="N33" s="69" t="s">
        <v>157</v>
      </c>
      <c r="O33" s="60"/>
      <c r="P33" s="44" t="s">
        <v>158</v>
      </c>
      <c r="Q33" s="60" t="str">
        <f>IF('[1]SINBA-SIS-06-P'!V36=0," ",'[1]SINBA-SIS-06-P'!V36)</f>
        <v xml:space="preserve"> </v>
      </c>
      <c r="R33" s="41"/>
      <c r="S33" s="42"/>
      <c r="T33" s="233"/>
      <c r="U33" s="203"/>
      <c r="V33" s="131"/>
      <c r="W33" s="133"/>
      <c r="X33" s="55" t="s">
        <v>75</v>
      </c>
      <c r="Y33" s="52" t="s">
        <v>159</v>
      </c>
      <c r="Z33" s="56"/>
      <c r="AA33" s="52" t="s">
        <v>160</v>
      </c>
      <c r="AB33" s="56" t="str">
        <f>IF('[1]SINBA-SIS-06-P'!V103=0," ",'[1]SINBA-SIS-06-P'!V103)</f>
        <v xml:space="preserve"> </v>
      </c>
      <c r="AC33" s="3"/>
      <c r="AD33" s="3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</row>
    <row r="34" spans="1:58" s="37" customFormat="1" ht="12" customHeight="1" thickBot="1" x14ac:dyDescent="0.25">
      <c r="A34" s="236"/>
      <c r="B34" s="38"/>
      <c r="C34" s="128" t="s">
        <v>161</v>
      </c>
      <c r="D34" s="129"/>
      <c r="E34" s="129"/>
      <c r="F34" s="129"/>
      <c r="G34" s="129"/>
      <c r="H34" s="129"/>
      <c r="I34" s="129"/>
      <c r="J34" s="129"/>
      <c r="K34" s="137" t="s">
        <v>88</v>
      </c>
      <c r="L34" s="138"/>
      <c r="M34" s="139"/>
      <c r="N34" s="70" t="s">
        <v>162</v>
      </c>
      <c r="O34" s="50"/>
      <c r="P34" s="35" t="s">
        <v>163</v>
      </c>
      <c r="Q34" s="50" t="str">
        <f>IF('[1]SINBA-SIS-06-P'!V37=0," ",'[1]SINBA-SIS-06-P'!V37)</f>
        <v xml:space="preserve"> </v>
      </c>
      <c r="R34" s="65"/>
      <c r="S34" s="42"/>
      <c r="T34" s="233"/>
      <c r="U34" s="203"/>
      <c r="V34" s="134"/>
      <c r="W34" s="136"/>
      <c r="X34" s="43" t="s">
        <v>80</v>
      </c>
      <c r="Y34" s="46" t="s">
        <v>164</v>
      </c>
      <c r="Z34" s="45"/>
      <c r="AA34" s="46" t="s">
        <v>165</v>
      </c>
      <c r="AB34" s="45" t="str">
        <f>IF('[1]SINBA-SIS-06-P'!V104=0," ",'[1]SINBA-SIS-06-P'!V104)</f>
        <v xml:space="preserve"> </v>
      </c>
      <c r="AC34" s="3"/>
      <c r="AD34" s="3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</row>
    <row r="35" spans="1:58" s="37" customFormat="1" ht="12" customHeight="1" x14ac:dyDescent="0.2">
      <c r="A35" s="236"/>
      <c r="B35" s="38"/>
      <c r="C35" s="131"/>
      <c r="D35" s="132"/>
      <c r="E35" s="132"/>
      <c r="F35" s="132"/>
      <c r="G35" s="132"/>
      <c r="H35" s="132"/>
      <c r="I35" s="132"/>
      <c r="J35" s="132"/>
      <c r="K35" s="140" t="s">
        <v>166</v>
      </c>
      <c r="L35" s="141"/>
      <c r="M35" s="142"/>
      <c r="N35" s="71" t="s">
        <v>167</v>
      </c>
      <c r="O35" s="49"/>
      <c r="P35" s="48" t="s">
        <v>168</v>
      </c>
      <c r="Q35" s="49" t="str">
        <f>IF('[1]SINBA-SIS-06-P'!V38=0," ",'[1]SINBA-SIS-06-P'!V38)</f>
        <v xml:space="preserve"> </v>
      </c>
      <c r="R35" s="65"/>
      <c r="S35" s="42"/>
      <c r="T35" s="233"/>
      <c r="U35" s="203"/>
      <c r="V35" s="131" t="s">
        <v>84</v>
      </c>
      <c r="W35" s="133"/>
      <c r="X35" s="34" t="s">
        <v>64</v>
      </c>
      <c r="Y35" s="35" t="s">
        <v>169</v>
      </c>
      <c r="Z35" s="36"/>
      <c r="AA35" s="35" t="s">
        <v>170</v>
      </c>
      <c r="AB35" s="36" t="str">
        <f>IF('[1]SINBA-SIS-06-P'!V105=0," ",'[1]SINBA-SIS-06-P'!V105)</f>
        <v xml:space="preserve"> </v>
      </c>
      <c r="AC35" s="3"/>
      <c r="AD35" s="3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</row>
    <row r="36" spans="1:58" s="37" customFormat="1" ht="12" customHeight="1" x14ac:dyDescent="0.2">
      <c r="A36" s="236"/>
      <c r="B36" s="38"/>
      <c r="C36" s="131"/>
      <c r="D36" s="132"/>
      <c r="E36" s="132"/>
      <c r="F36" s="132"/>
      <c r="G36" s="132"/>
      <c r="H36" s="132"/>
      <c r="I36" s="132"/>
      <c r="J36" s="132"/>
      <c r="K36" s="198" t="s">
        <v>171</v>
      </c>
      <c r="L36" s="199"/>
      <c r="M36" s="142"/>
      <c r="N36" s="71" t="s">
        <v>172</v>
      </c>
      <c r="O36" s="49"/>
      <c r="P36" s="48" t="s">
        <v>173</v>
      </c>
      <c r="Q36" s="49" t="str">
        <f>IF('[1]SINBA-SIS-06-P'!V39=0," ",'[1]SINBA-SIS-06-P'!V39)</f>
        <v xml:space="preserve"> </v>
      </c>
      <c r="R36" s="65"/>
      <c r="S36" s="42"/>
      <c r="T36" s="233"/>
      <c r="U36" s="203"/>
      <c r="V36" s="131"/>
      <c r="W36" s="133"/>
      <c r="X36" s="55" t="s">
        <v>70</v>
      </c>
      <c r="Y36" s="52" t="s">
        <v>174</v>
      </c>
      <c r="Z36" s="56"/>
      <c r="AA36" s="52" t="s">
        <v>175</v>
      </c>
      <c r="AB36" s="56" t="str">
        <f>IF('[1]SINBA-SIS-06-P'!V106=0," ",'[1]SINBA-SIS-06-P'!V106)</f>
        <v xml:space="preserve"> </v>
      </c>
      <c r="AC36" s="3"/>
      <c r="AD36" s="3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</row>
    <row r="37" spans="1:58" s="37" customFormat="1" ht="12" customHeight="1" x14ac:dyDescent="0.2">
      <c r="A37" s="236"/>
      <c r="B37" s="38"/>
      <c r="C37" s="131"/>
      <c r="D37" s="132"/>
      <c r="E37" s="132"/>
      <c r="F37" s="132"/>
      <c r="G37" s="132"/>
      <c r="H37" s="132"/>
      <c r="I37" s="132"/>
      <c r="J37" s="132"/>
      <c r="K37" s="200" t="s">
        <v>176</v>
      </c>
      <c r="L37" s="201"/>
      <c r="M37" s="67" t="s">
        <v>15</v>
      </c>
      <c r="N37" s="71" t="s">
        <v>177</v>
      </c>
      <c r="O37" s="49"/>
      <c r="P37" s="48" t="s">
        <v>178</v>
      </c>
      <c r="Q37" s="49" t="str">
        <f>IF('[1]SINBA-SIS-06-P'!V40=0," ",'[1]SINBA-SIS-06-P'!V40)</f>
        <v xml:space="preserve"> </v>
      </c>
      <c r="R37" s="65"/>
      <c r="S37" s="42"/>
      <c r="T37" s="233"/>
      <c r="U37" s="203"/>
      <c r="V37" s="131"/>
      <c r="W37" s="133"/>
      <c r="X37" s="55" t="s">
        <v>75</v>
      </c>
      <c r="Y37" s="52" t="s">
        <v>179</v>
      </c>
      <c r="Z37" s="56"/>
      <c r="AA37" s="52" t="s">
        <v>180</v>
      </c>
      <c r="AB37" s="56" t="str">
        <f>IF('[1]SINBA-SIS-06-P'!V107=0," ",'[1]SINBA-SIS-06-P'!V107)</f>
        <v xml:space="preserve"> </v>
      </c>
      <c r="AC37" s="3"/>
      <c r="AD37" s="3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</row>
    <row r="38" spans="1:58" s="37" customFormat="1" ht="12" customHeight="1" thickBot="1" x14ac:dyDescent="0.25">
      <c r="A38" s="236"/>
      <c r="B38" s="38"/>
      <c r="C38" s="131"/>
      <c r="D38" s="132"/>
      <c r="E38" s="132"/>
      <c r="F38" s="132"/>
      <c r="G38" s="132"/>
      <c r="H38" s="132"/>
      <c r="I38" s="132"/>
      <c r="J38" s="132"/>
      <c r="K38" s="200"/>
      <c r="L38" s="201"/>
      <c r="M38" s="67" t="s">
        <v>30</v>
      </c>
      <c r="N38" s="71" t="s">
        <v>181</v>
      </c>
      <c r="O38" s="49"/>
      <c r="P38" s="48" t="s">
        <v>182</v>
      </c>
      <c r="Q38" s="49" t="str">
        <f>IF('[1]SINBA-SIS-06-P'!V41=0," ",'[1]SINBA-SIS-06-P'!V41)</f>
        <v xml:space="preserve"> </v>
      </c>
      <c r="R38" s="41"/>
      <c r="S38" s="42"/>
      <c r="T38" s="233"/>
      <c r="U38" s="204"/>
      <c r="V38" s="134"/>
      <c r="W38" s="136"/>
      <c r="X38" s="43" t="s">
        <v>80</v>
      </c>
      <c r="Y38" s="46" t="s">
        <v>183</v>
      </c>
      <c r="Z38" s="45"/>
      <c r="AA38" s="46" t="s">
        <v>184</v>
      </c>
      <c r="AB38" s="45" t="str">
        <f>IF('[1]SINBA-SIS-06-P'!V108=0," ",'[1]SINBA-SIS-06-P'!V108)</f>
        <v xml:space="preserve"> </v>
      </c>
      <c r="AC38" s="3"/>
      <c r="AD38" s="3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</row>
    <row r="39" spans="1:58" s="37" customFormat="1" ht="12" customHeight="1" x14ac:dyDescent="0.2">
      <c r="A39" s="236"/>
      <c r="B39" s="38"/>
      <c r="C39" s="131"/>
      <c r="D39" s="132"/>
      <c r="E39" s="132"/>
      <c r="F39" s="132"/>
      <c r="G39" s="132"/>
      <c r="H39" s="132"/>
      <c r="I39" s="132"/>
      <c r="J39" s="132"/>
      <c r="K39" s="200"/>
      <c r="L39" s="201"/>
      <c r="M39" s="67" t="s">
        <v>41</v>
      </c>
      <c r="N39" s="71" t="s">
        <v>185</v>
      </c>
      <c r="O39" s="49"/>
      <c r="P39" s="48" t="s">
        <v>186</v>
      </c>
      <c r="Q39" s="49" t="str">
        <f>IF('[1]SINBA-SIS-06-P'!V42=0," ",'[1]SINBA-SIS-06-P'!V42)</f>
        <v xml:space="preserve"> </v>
      </c>
      <c r="R39" s="41"/>
      <c r="S39" s="42"/>
      <c r="T39" s="233"/>
      <c r="U39" s="202" t="s">
        <v>187</v>
      </c>
      <c r="V39" s="128" t="s">
        <v>63</v>
      </c>
      <c r="W39" s="130"/>
      <c r="X39" s="55" t="s">
        <v>64</v>
      </c>
      <c r="Y39" s="52" t="s">
        <v>188</v>
      </c>
      <c r="Z39" s="56"/>
      <c r="AA39" s="57"/>
      <c r="AB39" s="72"/>
      <c r="AC39" s="3"/>
      <c r="AD39" s="3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</row>
    <row r="40" spans="1:58" s="37" customFormat="1" ht="12" customHeight="1" x14ac:dyDescent="0.2">
      <c r="A40" s="236"/>
      <c r="B40" s="38"/>
      <c r="C40" s="131"/>
      <c r="D40" s="132"/>
      <c r="E40" s="132"/>
      <c r="F40" s="132"/>
      <c r="G40" s="132"/>
      <c r="H40" s="132"/>
      <c r="I40" s="132"/>
      <c r="J40" s="132"/>
      <c r="K40" s="147" t="s">
        <v>189</v>
      </c>
      <c r="L40" s="148"/>
      <c r="M40" s="185" t="s">
        <v>190</v>
      </c>
      <c r="N40" s="187" t="s">
        <v>191</v>
      </c>
      <c r="O40" s="175"/>
      <c r="P40" s="189" t="s">
        <v>192</v>
      </c>
      <c r="Q40" s="175" t="str">
        <f>IF('[1]SINBA-SIS-06-P'!V43=0," ",'[1]SINBA-SIS-06-P'!V43)</f>
        <v xml:space="preserve"> </v>
      </c>
      <c r="R40" s="41"/>
      <c r="S40" s="42"/>
      <c r="T40" s="233"/>
      <c r="U40" s="203"/>
      <c r="V40" s="131"/>
      <c r="W40" s="133"/>
      <c r="X40" s="55" t="s">
        <v>70</v>
      </c>
      <c r="Y40" s="52" t="s">
        <v>193</v>
      </c>
      <c r="Z40" s="56"/>
      <c r="AA40" s="57"/>
      <c r="AB40" s="72"/>
      <c r="AC40" s="3"/>
      <c r="AD40" s="3"/>
      <c r="AE40" s="3"/>
      <c r="AF40" s="3"/>
    </row>
    <row r="41" spans="1:58" s="37" customFormat="1" ht="12" customHeight="1" x14ac:dyDescent="0.2">
      <c r="A41" s="236"/>
      <c r="B41" s="38"/>
      <c r="C41" s="131"/>
      <c r="D41" s="132"/>
      <c r="E41" s="132"/>
      <c r="F41" s="132"/>
      <c r="G41" s="132"/>
      <c r="H41" s="132"/>
      <c r="I41" s="132"/>
      <c r="J41" s="132"/>
      <c r="K41" s="149"/>
      <c r="L41" s="150"/>
      <c r="M41" s="186"/>
      <c r="N41" s="188"/>
      <c r="O41" s="163"/>
      <c r="P41" s="190"/>
      <c r="Q41" s="163" t="str">
        <f>IF('[1]SINBA-SIS-06-P'!V44=0," ",'[1]SINBA-SIS-06-P'!V44)</f>
        <v xml:space="preserve"> </v>
      </c>
      <c r="R41" s="41"/>
      <c r="S41" s="42"/>
      <c r="T41" s="233"/>
      <c r="U41" s="203"/>
      <c r="V41" s="131"/>
      <c r="W41" s="133"/>
      <c r="X41" s="55" t="s">
        <v>75</v>
      </c>
      <c r="Y41" s="52" t="s">
        <v>194</v>
      </c>
      <c r="Z41" s="56"/>
      <c r="AA41" s="57"/>
      <c r="AB41" s="72"/>
      <c r="AC41" s="3"/>
      <c r="AD41" s="3"/>
      <c r="AE41" s="3"/>
      <c r="AF41" s="3"/>
    </row>
    <row r="42" spans="1:58" s="37" customFormat="1" ht="12" customHeight="1" thickBot="1" x14ac:dyDescent="0.25">
      <c r="A42" s="236"/>
      <c r="B42" s="38"/>
      <c r="C42" s="131"/>
      <c r="D42" s="132"/>
      <c r="E42" s="132"/>
      <c r="F42" s="132"/>
      <c r="G42" s="132"/>
      <c r="H42" s="132"/>
      <c r="I42" s="132"/>
      <c r="J42" s="132"/>
      <c r="K42" s="191" t="s">
        <v>195</v>
      </c>
      <c r="L42" s="192"/>
      <c r="M42" s="195" t="s">
        <v>15</v>
      </c>
      <c r="N42" s="187" t="s">
        <v>196</v>
      </c>
      <c r="O42" s="175"/>
      <c r="P42" s="189" t="s">
        <v>197</v>
      </c>
      <c r="Q42" s="175" t="str">
        <f>IF('[1]SINBA-SIS-06-P'!V44=0," ",'[1]SINBA-SIS-06-P'!V44)</f>
        <v xml:space="preserve"> </v>
      </c>
      <c r="R42" s="41"/>
      <c r="S42" s="42"/>
      <c r="T42" s="233"/>
      <c r="U42" s="203"/>
      <c r="V42" s="134"/>
      <c r="W42" s="136"/>
      <c r="X42" s="43" t="s">
        <v>80</v>
      </c>
      <c r="Y42" s="46" t="s">
        <v>198</v>
      </c>
      <c r="Z42" s="45"/>
      <c r="AA42" s="73"/>
      <c r="AB42" s="74"/>
      <c r="AC42" s="3"/>
      <c r="AD42" s="3"/>
      <c r="AE42" s="3"/>
      <c r="AF42" s="3"/>
    </row>
    <row r="43" spans="1:58" s="37" customFormat="1" ht="12" customHeight="1" thickBot="1" x14ac:dyDescent="0.25">
      <c r="A43" s="236"/>
      <c r="B43" s="38"/>
      <c r="C43" s="134"/>
      <c r="D43" s="135"/>
      <c r="E43" s="135"/>
      <c r="F43" s="135"/>
      <c r="G43" s="135"/>
      <c r="H43" s="135"/>
      <c r="I43" s="135"/>
      <c r="J43" s="135"/>
      <c r="K43" s="193"/>
      <c r="L43" s="194"/>
      <c r="M43" s="196"/>
      <c r="N43" s="197"/>
      <c r="O43" s="163"/>
      <c r="P43" s="182"/>
      <c r="Q43" s="176" t="str">
        <f>IF('[1]SINBA-SIS-06-P'!V46=0," ",'[1]SINBA-SIS-06-P'!V46)</f>
        <v xml:space="preserve"> </v>
      </c>
      <c r="R43" s="41"/>
      <c r="S43" s="42"/>
      <c r="T43" s="233"/>
      <c r="U43" s="203"/>
      <c r="V43" s="131" t="s">
        <v>84</v>
      </c>
      <c r="W43" s="133"/>
      <c r="X43" s="55" t="s">
        <v>64</v>
      </c>
      <c r="Y43" s="52" t="s">
        <v>199</v>
      </c>
      <c r="Z43" s="56"/>
      <c r="AA43" s="57"/>
      <c r="AB43" s="72"/>
      <c r="AC43" s="3"/>
      <c r="AD43" s="3"/>
      <c r="AE43" s="3"/>
      <c r="AF43" s="3"/>
    </row>
    <row r="44" spans="1:58" s="37" customFormat="1" ht="12" customHeight="1" x14ac:dyDescent="0.2">
      <c r="A44" s="236"/>
      <c r="B44" s="38"/>
      <c r="C44" s="128" t="s">
        <v>200</v>
      </c>
      <c r="D44" s="129"/>
      <c r="E44" s="129"/>
      <c r="F44" s="129"/>
      <c r="G44" s="129"/>
      <c r="H44" s="129"/>
      <c r="I44" s="129"/>
      <c r="J44" s="130"/>
      <c r="K44" s="147" t="s">
        <v>201</v>
      </c>
      <c r="L44" s="177"/>
      <c r="M44" s="178"/>
      <c r="N44" s="181" t="s">
        <v>202</v>
      </c>
      <c r="O44" s="162"/>
      <c r="P44" s="181" t="s">
        <v>203</v>
      </c>
      <c r="Q44" s="162" t="str">
        <f>IF('[1]SINBA-SIS-06-P'!V45=0," ",'[1]SINBA-SIS-06-P'!V45)</f>
        <v xml:space="preserve"> </v>
      </c>
      <c r="R44" s="41"/>
      <c r="S44" s="42"/>
      <c r="T44" s="233"/>
      <c r="U44" s="203"/>
      <c r="V44" s="131"/>
      <c r="W44" s="133"/>
      <c r="X44" s="55" t="s">
        <v>70</v>
      </c>
      <c r="Y44" s="52" t="s">
        <v>204</v>
      </c>
      <c r="Z44" s="56"/>
      <c r="AA44" s="57"/>
      <c r="AB44" s="72"/>
      <c r="AC44" s="3"/>
      <c r="AD44" s="3"/>
      <c r="AE44" s="3"/>
      <c r="AF44" s="3"/>
    </row>
    <row r="45" spans="1:58" s="37" customFormat="1" ht="12" customHeight="1" thickBot="1" x14ac:dyDescent="0.25">
      <c r="A45" s="236"/>
      <c r="B45" s="38"/>
      <c r="C45" s="134"/>
      <c r="D45" s="135"/>
      <c r="E45" s="135"/>
      <c r="F45" s="135"/>
      <c r="G45" s="135"/>
      <c r="H45" s="135"/>
      <c r="I45" s="135"/>
      <c r="J45" s="136"/>
      <c r="K45" s="151"/>
      <c r="L45" s="179"/>
      <c r="M45" s="180"/>
      <c r="N45" s="182"/>
      <c r="O45" s="176"/>
      <c r="P45" s="182"/>
      <c r="Q45" s="176" t="str">
        <f>IF('[1]SINBA-SIS-06-P'!V48=0," ",'[1]SINBA-SIS-06-P'!V48)</f>
        <v xml:space="preserve"> </v>
      </c>
      <c r="R45" s="41"/>
      <c r="S45" s="42"/>
      <c r="T45" s="233"/>
      <c r="U45" s="203"/>
      <c r="V45" s="131"/>
      <c r="W45" s="133"/>
      <c r="X45" s="55" t="s">
        <v>75</v>
      </c>
      <c r="Y45" s="52" t="s">
        <v>205</v>
      </c>
      <c r="Z45" s="56"/>
      <c r="AA45" s="57"/>
      <c r="AB45" s="72"/>
      <c r="AC45" s="3"/>
      <c r="AD45" s="3"/>
      <c r="AE45" s="3"/>
      <c r="AF45" s="3"/>
    </row>
    <row r="46" spans="1:58" s="37" customFormat="1" ht="12" customHeight="1" thickBot="1" x14ac:dyDescent="0.25">
      <c r="A46" s="236"/>
      <c r="B46" s="38"/>
      <c r="C46" s="131" t="s">
        <v>206</v>
      </c>
      <c r="D46" s="132"/>
      <c r="E46" s="132"/>
      <c r="F46" s="132"/>
      <c r="G46" s="132"/>
      <c r="H46" s="132"/>
      <c r="I46" s="132"/>
      <c r="J46" s="133"/>
      <c r="K46" s="137" t="s">
        <v>207</v>
      </c>
      <c r="L46" s="183"/>
      <c r="M46" s="184"/>
      <c r="N46" s="39" t="s">
        <v>208</v>
      </c>
      <c r="O46" s="40"/>
      <c r="P46" s="39" t="s">
        <v>209</v>
      </c>
      <c r="Q46" s="40" t="str">
        <f>IF('[1]SINBA-SIS-06-P'!V46=0," ",'[1]SINBA-SIS-06-P'!V46)</f>
        <v xml:space="preserve"> </v>
      </c>
      <c r="R46" s="41"/>
      <c r="S46" s="42"/>
      <c r="T46" s="234"/>
      <c r="U46" s="204"/>
      <c r="V46" s="134"/>
      <c r="W46" s="136"/>
      <c r="X46" s="43" t="s">
        <v>80</v>
      </c>
      <c r="Y46" s="46" t="s">
        <v>210</v>
      </c>
      <c r="Z46" s="45"/>
      <c r="AA46" s="73"/>
      <c r="AB46" s="74"/>
      <c r="AC46" s="3"/>
      <c r="AD46" s="3"/>
      <c r="AE46" s="3"/>
      <c r="AF46" s="3"/>
    </row>
    <row r="47" spans="1:58" s="37" customFormat="1" ht="12" customHeight="1" x14ac:dyDescent="0.2">
      <c r="A47" s="236"/>
      <c r="B47" s="38"/>
      <c r="C47" s="131"/>
      <c r="D47" s="132"/>
      <c r="E47" s="132"/>
      <c r="F47" s="132"/>
      <c r="G47" s="132"/>
      <c r="H47" s="132"/>
      <c r="I47" s="132"/>
      <c r="J47" s="133"/>
      <c r="K47" s="140" t="s">
        <v>211</v>
      </c>
      <c r="L47" s="141"/>
      <c r="M47" s="142"/>
      <c r="N47" s="48" t="s">
        <v>212</v>
      </c>
      <c r="O47" s="40"/>
      <c r="P47" s="48" t="s">
        <v>213</v>
      </c>
      <c r="Q47" s="40" t="str">
        <f>IF('[1]SINBA-SIS-06-P'!V47=0," ",'[1]SINBA-SIS-06-P'!V47)</f>
        <v xml:space="preserve"> </v>
      </c>
      <c r="R47" s="41"/>
      <c r="S47" s="42"/>
      <c r="T47" s="128" t="s">
        <v>214</v>
      </c>
      <c r="U47" s="129"/>
      <c r="V47" s="129"/>
      <c r="W47" s="130"/>
      <c r="X47" s="34" t="s">
        <v>215</v>
      </c>
      <c r="Y47" s="35" t="s">
        <v>216</v>
      </c>
      <c r="Z47" s="36"/>
      <c r="AA47" s="35" t="s">
        <v>130</v>
      </c>
      <c r="AB47" s="36" t="str">
        <f>IF('[1]SINBA-SIS-06-P'!V117=0," ",'[1]SINBA-SIS-06-P'!V117)</f>
        <v xml:space="preserve"> </v>
      </c>
      <c r="AC47" s="3"/>
      <c r="AD47" s="3"/>
      <c r="AE47" s="3"/>
      <c r="AF47" s="3"/>
    </row>
    <row r="48" spans="1:58" s="37" customFormat="1" ht="12.75" customHeight="1" thickBot="1" x14ac:dyDescent="0.25">
      <c r="A48" s="236"/>
      <c r="B48" s="38"/>
      <c r="C48" s="131"/>
      <c r="D48" s="132"/>
      <c r="E48" s="132"/>
      <c r="F48" s="132"/>
      <c r="G48" s="132"/>
      <c r="H48" s="132"/>
      <c r="I48" s="132"/>
      <c r="J48" s="133"/>
      <c r="K48" s="140" t="s">
        <v>217</v>
      </c>
      <c r="L48" s="141"/>
      <c r="M48" s="142"/>
      <c r="N48" s="48" t="s">
        <v>218</v>
      </c>
      <c r="O48" s="40"/>
      <c r="P48" s="48" t="s">
        <v>219</v>
      </c>
      <c r="Q48" s="40" t="str">
        <f>IF('[1]SINBA-SIS-06-P'!V48=0," ",'[1]SINBA-SIS-06-P'!V48)</f>
        <v xml:space="preserve"> </v>
      </c>
      <c r="R48" s="75"/>
      <c r="T48" s="134"/>
      <c r="U48" s="135"/>
      <c r="V48" s="135"/>
      <c r="W48" s="136"/>
      <c r="X48" s="76" t="s">
        <v>220</v>
      </c>
      <c r="Y48" s="44" t="s">
        <v>221</v>
      </c>
      <c r="Z48" s="56"/>
      <c r="AA48" s="61"/>
      <c r="AB48" s="74"/>
      <c r="AC48" s="3"/>
      <c r="AD48" s="3"/>
      <c r="AE48" s="3"/>
      <c r="AF48" s="3"/>
    </row>
    <row r="49" spans="1:32" s="37" customFormat="1" ht="12" customHeight="1" x14ac:dyDescent="0.2">
      <c r="A49" s="236"/>
      <c r="B49" s="38"/>
      <c r="C49" s="131"/>
      <c r="D49" s="132"/>
      <c r="E49" s="132"/>
      <c r="F49" s="132"/>
      <c r="G49" s="132"/>
      <c r="H49" s="132"/>
      <c r="I49" s="132"/>
      <c r="J49" s="133"/>
      <c r="K49" s="164" t="s">
        <v>150</v>
      </c>
      <c r="L49" s="165"/>
      <c r="M49" s="54" t="s">
        <v>222</v>
      </c>
      <c r="N49" s="48" t="s">
        <v>223</v>
      </c>
      <c r="O49" s="77"/>
      <c r="P49" s="48" t="s">
        <v>224</v>
      </c>
      <c r="Q49" s="77" t="str">
        <f>IF('[1]SINBA-SIS-06-P'!V49=0," ",'[1]SINBA-SIS-06-P'!V49)</f>
        <v xml:space="preserve"> </v>
      </c>
      <c r="R49" s="1"/>
      <c r="T49" s="168" t="s">
        <v>225</v>
      </c>
      <c r="U49" s="169"/>
      <c r="V49" s="128" t="s">
        <v>226</v>
      </c>
      <c r="W49" s="130"/>
      <c r="X49" s="78" t="s">
        <v>15</v>
      </c>
      <c r="Y49" s="79" t="s">
        <v>227</v>
      </c>
      <c r="Z49" s="36"/>
      <c r="AA49" s="80" t="s">
        <v>228</v>
      </c>
      <c r="AB49" s="80" t="str">
        <f>IF('[1]SINBA-SIS-06-P'!V119=0," ",'[1]SINBA-SIS-06-P'!V119)</f>
        <v xml:space="preserve"> </v>
      </c>
      <c r="AC49" s="3"/>
      <c r="AD49" s="3"/>
      <c r="AE49" s="3"/>
      <c r="AF49" s="3"/>
    </row>
    <row r="50" spans="1:32" s="37" customFormat="1" ht="12" customHeight="1" thickBot="1" x14ac:dyDescent="0.25">
      <c r="A50" s="236"/>
      <c r="B50" s="38"/>
      <c r="C50" s="134"/>
      <c r="D50" s="135"/>
      <c r="E50" s="135"/>
      <c r="F50" s="135"/>
      <c r="G50" s="135"/>
      <c r="H50" s="135"/>
      <c r="I50" s="135"/>
      <c r="J50" s="136"/>
      <c r="K50" s="166"/>
      <c r="L50" s="167"/>
      <c r="M50" s="81" t="s">
        <v>229</v>
      </c>
      <c r="N50" s="46" t="s">
        <v>230</v>
      </c>
      <c r="O50" s="60"/>
      <c r="P50" s="48" t="s">
        <v>231</v>
      </c>
      <c r="Q50" s="60" t="str">
        <f>IF('[1]SINBA-SIS-06-P'!V50=0," ",'[1]SINBA-SIS-06-P'!V50)</f>
        <v xml:space="preserve"> </v>
      </c>
      <c r="R50" s="1"/>
      <c r="T50" s="170"/>
      <c r="U50" s="171"/>
      <c r="V50" s="131"/>
      <c r="W50" s="133"/>
      <c r="X50" s="82" t="s">
        <v>30</v>
      </c>
      <c r="Y50" s="83" t="s">
        <v>232</v>
      </c>
      <c r="Z50" s="84"/>
      <c r="AA50" s="85" t="s">
        <v>233</v>
      </c>
      <c r="AB50" s="85" t="str">
        <f>IF('[1]SINBA-SIS-06-P'!V120=0," ",'[1]SINBA-SIS-06-P'!V120)</f>
        <v xml:space="preserve"> </v>
      </c>
      <c r="AC50" s="3"/>
      <c r="AD50" s="3"/>
      <c r="AE50" s="3"/>
      <c r="AF50" s="3"/>
    </row>
    <row r="51" spans="1:32" s="37" customFormat="1" ht="12" customHeight="1" thickBot="1" x14ac:dyDescent="0.25">
      <c r="A51" s="236"/>
      <c r="B51" s="38"/>
      <c r="C51" s="128" t="s">
        <v>234</v>
      </c>
      <c r="D51" s="129"/>
      <c r="E51" s="129"/>
      <c r="F51" s="129"/>
      <c r="G51" s="129"/>
      <c r="H51" s="129"/>
      <c r="I51" s="129"/>
      <c r="J51" s="130"/>
      <c r="K51" s="137" t="s">
        <v>235</v>
      </c>
      <c r="L51" s="138"/>
      <c r="M51" s="139"/>
      <c r="N51" s="35" t="s">
        <v>236</v>
      </c>
      <c r="O51" s="50"/>
      <c r="P51" s="35" t="s">
        <v>237</v>
      </c>
      <c r="Q51" s="50" t="str">
        <f>IF('[1]SINBA-SIS-06-P'!V51=0," ",'[1]SINBA-SIS-06-P'!V51)</f>
        <v xml:space="preserve"> </v>
      </c>
      <c r="R51" s="1"/>
      <c r="T51" s="170"/>
      <c r="U51" s="171"/>
      <c r="V51" s="134"/>
      <c r="W51" s="136"/>
      <c r="X51" s="82" t="s">
        <v>41</v>
      </c>
      <c r="Y51" s="86" t="s">
        <v>238</v>
      </c>
      <c r="Z51" s="56"/>
      <c r="AA51" s="87" t="s">
        <v>239</v>
      </c>
      <c r="AB51" s="87" t="str">
        <f>IF('[1]SINBA-SIS-06-P'!V121=0," ",'[1]SINBA-SIS-06-P'!V121)</f>
        <v xml:space="preserve"> </v>
      </c>
      <c r="AC51" s="3"/>
      <c r="AD51" s="3"/>
      <c r="AE51" s="3"/>
      <c r="AF51" s="3"/>
    </row>
    <row r="52" spans="1:32" s="37" customFormat="1" ht="12" customHeight="1" x14ac:dyDescent="0.2">
      <c r="A52" s="236"/>
      <c r="B52" s="38"/>
      <c r="C52" s="131"/>
      <c r="D52" s="132"/>
      <c r="E52" s="132"/>
      <c r="F52" s="132"/>
      <c r="G52" s="132"/>
      <c r="H52" s="132"/>
      <c r="I52" s="132"/>
      <c r="J52" s="133"/>
      <c r="K52" s="140" t="s">
        <v>240</v>
      </c>
      <c r="L52" s="141"/>
      <c r="M52" s="142"/>
      <c r="N52" s="39" t="s">
        <v>241</v>
      </c>
      <c r="O52" s="40"/>
      <c r="P52" s="39" t="s">
        <v>242</v>
      </c>
      <c r="Q52" s="40" t="str">
        <f>IF('[1]SINBA-SIS-06-P'!V52=0," ",'[1]SINBA-SIS-06-P'!V52)</f>
        <v xml:space="preserve"> </v>
      </c>
      <c r="R52" s="1"/>
      <c r="T52" s="170"/>
      <c r="U52" s="171"/>
      <c r="V52" s="128" t="s">
        <v>243</v>
      </c>
      <c r="W52" s="130"/>
      <c r="X52" s="78" t="s">
        <v>15</v>
      </c>
      <c r="Y52" s="83" t="s">
        <v>244</v>
      </c>
      <c r="Z52" s="36"/>
      <c r="AA52" s="80" t="s">
        <v>245</v>
      </c>
      <c r="AB52" s="80" t="str">
        <f>IF('[1]SINBA-SIS-06-P'!V122=0," ",'[1]SINBA-SIS-06-P'!V122)</f>
        <v xml:space="preserve"> </v>
      </c>
      <c r="AC52" s="3"/>
      <c r="AD52" s="3"/>
      <c r="AE52" s="3"/>
      <c r="AF52" s="3"/>
    </row>
    <row r="53" spans="1:32" s="37" customFormat="1" ht="12" customHeight="1" thickBot="1" x14ac:dyDescent="0.25">
      <c r="A53" s="236"/>
      <c r="B53" s="38"/>
      <c r="C53" s="134"/>
      <c r="D53" s="135"/>
      <c r="E53" s="135"/>
      <c r="F53" s="135"/>
      <c r="G53" s="135"/>
      <c r="H53" s="135"/>
      <c r="I53" s="135"/>
      <c r="J53" s="136"/>
      <c r="K53" s="124" t="s">
        <v>246</v>
      </c>
      <c r="L53" s="125"/>
      <c r="M53" s="126"/>
      <c r="N53" s="39" t="s">
        <v>247</v>
      </c>
      <c r="O53" s="40"/>
      <c r="P53" s="39" t="s">
        <v>248</v>
      </c>
      <c r="Q53" s="40" t="str">
        <f>IF('[1]SINBA-SIS-06-P'!V53=0," ",'[1]SINBA-SIS-06-P'!V53)</f>
        <v xml:space="preserve"> </v>
      </c>
      <c r="R53" s="1"/>
      <c r="T53" s="170"/>
      <c r="U53" s="171"/>
      <c r="V53" s="131"/>
      <c r="W53" s="133"/>
      <c r="X53" s="82" t="s">
        <v>30</v>
      </c>
      <c r="Y53" s="83" t="s">
        <v>249</v>
      </c>
      <c r="Z53" s="84"/>
      <c r="AA53" s="85" t="s">
        <v>250</v>
      </c>
      <c r="AB53" s="85" t="str">
        <f>IF('[1]SINBA-SIS-06-P'!V123=0," ",'[1]SINBA-SIS-06-P'!V123)</f>
        <v xml:space="preserve"> </v>
      </c>
      <c r="AC53" s="3"/>
      <c r="AD53" s="3"/>
      <c r="AE53" s="3"/>
      <c r="AF53" s="3"/>
    </row>
    <row r="54" spans="1:32" s="37" customFormat="1" ht="12" customHeight="1" x14ac:dyDescent="0.2">
      <c r="A54" s="236"/>
      <c r="B54" s="38"/>
      <c r="C54" s="128" t="s">
        <v>251</v>
      </c>
      <c r="D54" s="129"/>
      <c r="E54" s="129"/>
      <c r="F54" s="129"/>
      <c r="G54" s="129"/>
      <c r="H54" s="129"/>
      <c r="I54" s="129"/>
      <c r="J54" s="130"/>
      <c r="K54" s="153" t="s">
        <v>190</v>
      </c>
      <c r="L54" s="156" t="s">
        <v>252</v>
      </c>
      <c r="M54" s="157"/>
      <c r="N54" s="160" t="s">
        <v>253</v>
      </c>
      <c r="O54" s="162"/>
      <c r="P54" s="160" t="s">
        <v>254</v>
      </c>
      <c r="Q54" s="162" t="str">
        <f>IF('[1]SINBA-SIS-06-P'!V54=0," ",'[1]SINBA-SIS-06-P'!V54)</f>
        <v xml:space="preserve"> </v>
      </c>
      <c r="R54" s="1"/>
      <c r="T54" s="170"/>
      <c r="U54" s="171"/>
      <c r="V54" s="131"/>
      <c r="W54" s="133"/>
      <c r="X54" s="82" t="s">
        <v>41</v>
      </c>
      <c r="Y54" s="83" t="s">
        <v>255</v>
      </c>
      <c r="Z54" s="84"/>
      <c r="AA54" s="85" t="s">
        <v>256</v>
      </c>
      <c r="AB54" s="85" t="str">
        <f>IF('[1]SINBA-SIS-06-P'!V124=0," ",'[1]SINBA-SIS-06-P'!V124)</f>
        <v xml:space="preserve"> </v>
      </c>
      <c r="AC54" s="3"/>
      <c r="AD54" s="3"/>
      <c r="AE54" s="3"/>
      <c r="AF54" s="3"/>
    </row>
    <row r="55" spans="1:32" s="37" customFormat="1" ht="12" customHeight="1" thickBot="1" x14ac:dyDescent="0.25">
      <c r="A55" s="236"/>
      <c r="B55" s="38"/>
      <c r="C55" s="131"/>
      <c r="D55" s="132"/>
      <c r="E55" s="132"/>
      <c r="F55" s="132"/>
      <c r="G55" s="132"/>
      <c r="H55" s="132"/>
      <c r="I55" s="132"/>
      <c r="J55" s="133"/>
      <c r="K55" s="154"/>
      <c r="L55" s="158"/>
      <c r="M55" s="159"/>
      <c r="N55" s="161"/>
      <c r="O55" s="163"/>
      <c r="P55" s="161"/>
      <c r="Q55" s="163" t="str">
        <f>IF('[1]SINBA-SIS-06-P'!V55=0," ",'[1]SINBA-SIS-06-P'!V55)</f>
        <v xml:space="preserve"> </v>
      </c>
      <c r="R55" s="1"/>
      <c r="T55" s="170"/>
      <c r="U55" s="171"/>
      <c r="V55" s="134"/>
      <c r="W55" s="136"/>
      <c r="X55" s="90" t="s">
        <v>257</v>
      </c>
      <c r="Y55" s="91" t="s">
        <v>258</v>
      </c>
      <c r="Z55" s="45"/>
      <c r="AA55" s="92" t="s">
        <v>259</v>
      </c>
      <c r="AB55" s="92" t="str">
        <f>IF('[1]SINBA-SIS-06-P'!V125=0," ",'[1]SINBA-SIS-06-P'!V125)</f>
        <v xml:space="preserve"> </v>
      </c>
      <c r="AC55" s="3"/>
      <c r="AD55" s="3"/>
      <c r="AE55" s="3"/>
      <c r="AF55" s="3"/>
    </row>
    <row r="56" spans="1:32" ht="12" customHeight="1" x14ac:dyDescent="0.2">
      <c r="A56" s="236"/>
      <c r="B56" s="38"/>
      <c r="C56" s="131"/>
      <c r="D56" s="132"/>
      <c r="E56" s="132"/>
      <c r="F56" s="132"/>
      <c r="G56" s="132"/>
      <c r="H56" s="132"/>
      <c r="I56" s="132"/>
      <c r="J56" s="133"/>
      <c r="K56" s="154"/>
      <c r="L56" s="143" t="s">
        <v>260</v>
      </c>
      <c r="M56" s="174"/>
      <c r="N56" s="93" t="s">
        <v>261</v>
      </c>
      <c r="O56" s="49"/>
      <c r="P56" s="94" t="s">
        <v>262</v>
      </c>
      <c r="Q56" s="49" t="str">
        <f>IF('[1]SINBA-SIS-06-P'!V55=0," ",'[1]SINBA-SIS-06-P'!V55)</f>
        <v xml:space="preserve"> </v>
      </c>
      <c r="R56" s="1"/>
      <c r="S56" s="37"/>
      <c r="T56" s="170"/>
      <c r="U56" s="171"/>
      <c r="V56" s="128" t="s">
        <v>263</v>
      </c>
      <c r="W56" s="130"/>
      <c r="X56" s="78" t="s">
        <v>15</v>
      </c>
      <c r="Y56" s="52" t="s">
        <v>264</v>
      </c>
      <c r="Z56" s="36"/>
      <c r="AA56" s="80" t="s">
        <v>265</v>
      </c>
      <c r="AB56" s="80" t="str">
        <f>IF('[1]SINBA-SIS-06-P'!V126=0," ",'[1]SINBA-SIS-06-P'!V126)</f>
        <v xml:space="preserve"> </v>
      </c>
    </row>
    <row r="57" spans="1:32" ht="12" customHeight="1" x14ac:dyDescent="0.2">
      <c r="A57" s="236"/>
      <c r="B57" s="38"/>
      <c r="C57" s="131"/>
      <c r="D57" s="132"/>
      <c r="E57" s="132"/>
      <c r="F57" s="132"/>
      <c r="G57" s="132"/>
      <c r="H57" s="132"/>
      <c r="I57" s="132"/>
      <c r="J57" s="133"/>
      <c r="K57" s="154"/>
      <c r="L57" s="143" t="s">
        <v>266</v>
      </c>
      <c r="M57" s="144"/>
      <c r="N57" s="94" t="s">
        <v>267</v>
      </c>
      <c r="O57" s="49"/>
      <c r="P57" s="94" t="s">
        <v>268</v>
      </c>
      <c r="Q57" s="49" t="str">
        <f>IF('[1]SINBA-SIS-06-P'!V56=0," ",'[1]SINBA-SIS-06-P'!V56)</f>
        <v xml:space="preserve"> </v>
      </c>
      <c r="R57" s="1"/>
      <c r="S57" s="37"/>
      <c r="T57" s="170"/>
      <c r="U57" s="171"/>
      <c r="V57" s="131"/>
      <c r="W57" s="133"/>
      <c r="X57" s="82" t="s">
        <v>30</v>
      </c>
      <c r="Y57" s="52" t="s">
        <v>269</v>
      </c>
      <c r="Z57" s="84"/>
      <c r="AA57" s="85" t="s">
        <v>270</v>
      </c>
      <c r="AB57" s="85" t="str">
        <f>IF('[1]SINBA-SIS-06-P'!V127=0," ",'[1]SINBA-SIS-06-P'!V127)</f>
        <v xml:space="preserve"> </v>
      </c>
    </row>
    <row r="58" spans="1:32" ht="12" customHeight="1" x14ac:dyDescent="0.2">
      <c r="A58" s="236"/>
      <c r="B58" s="38"/>
      <c r="C58" s="131"/>
      <c r="D58" s="132"/>
      <c r="E58" s="132"/>
      <c r="F58" s="132"/>
      <c r="G58" s="132"/>
      <c r="H58" s="132"/>
      <c r="I58" s="132"/>
      <c r="J58" s="133"/>
      <c r="K58" s="155"/>
      <c r="L58" s="143" t="s">
        <v>271</v>
      </c>
      <c r="M58" s="144"/>
      <c r="N58" s="94" t="s">
        <v>272</v>
      </c>
      <c r="O58" s="49"/>
      <c r="P58" s="94" t="s">
        <v>273</v>
      </c>
      <c r="Q58" s="49" t="str">
        <f>IF('[1]SINBA-SIS-06-P'!V57=0," ",'[1]SINBA-SIS-06-P'!V57)</f>
        <v xml:space="preserve"> </v>
      </c>
      <c r="R58" s="1"/>
      <c r="S58" s="37"/>
      <c r="T58" s="170"/>
      <c r="U58" s="171"/>
      <c r="V58" s="131"/>
      <c r="W58" s="133"/>
      <c r="X58" s="82" t="s">
        <v>41</v>
      </c>
      <c r="Y58" s="52" t="s">
        <v>274</v>
      </c>
      <c r="Z58" s="84"/>
      <c r="AA58" s="85" t="s">
        <v>275</v>
      </c>
      <c r="AB58" s="85" t="str">
        <f>IF('[1]SINBA-SIS-06-P'!V128=0," ",'[1]SINBA-SIS-06-P'!V128)</f>
        <v xml:space="preserve"> </v>
      </c>
    </row>
    <row r="59" spans="1:32" ht="12" customHeight="1" thickBot="1" x14ac:dyDescent="0.25">
      <c r="A59" s="236"/>
      <c r="B59" s="38"/>
      <c r="C59" s="131"/>
      <c r="D59" s="132"/>
      <c r="E59" s="132"/>
      <c r="F59" s="132"/>
      <c r="G59" s="132"/>
      <c r="H59" s="132"/>
      <c r="I59" s="132"/>
      <c r="J59" s="133"/>
      <c r="K59" s="145" t="s">
        <v>276</v>
      </c>
      <c r="L59" s="146"/>
      <c r="M59" s="47" t="s">
        <v>15</v>
      </c>
      <c r="N59" s="94" t="s">
        <v>277</v>
      </c>
      <c r="O59" s="49"/>
      <c r="P59" s="93" t="s">
        <v>278</v>
      </c>
      <c r="Q59" s="49" t="str">
        <f>IF('[1]SINBA-SIS-06-P'!V58=0," ",'[1]SINBA-SIS-06-P'!V58)</f>
        <v xml:space="preserve"> </v>
      </c>
      <c r="R59" s="1"/>
      <c r="S59" s="37"/>
      <c r="T59" s="170"/>
      <c r="U59" s="171"/>
      <c r="V59" s="134"/>
      <c r="W59" s="136"/>
      <c r="X59" s="90" t="s">
        <v>257</v>
      </c>
      <c r="Y59" s="46" t="s">
        <v>279</v>
      </c>
      <c r="Z59" s="45"/>
      <c r="AA59" s="92" t="s">
        <v>280</v>
      </c>
      <c r="AB59" s="92" t="str">
        <f>IF('[1]SINBA-SIS-06-P'!V129=0," ",'[1]SINBA-SIS-06-P'!V129)</f>
        <v xml:space="preserve"> </v>
      </c>
    </row>
    <row r="60" spans="1:32" ht="12" customHeight="1" x14ac:dyDescent="0.2">
      <c r="A60" s="236"/>
      <c r="B60" s="38"/>
      <c r="C60" s="131"/>
      <c r="D60" s="132"/>
      <c r="E60" s="132"/>
      <c r="F60" s="132"/>
      <c r="G60" s="132"/>
      <c r="H60" s="132"/>
      <c r="I60" s="132"/>
      <c r="J60" s="133"/>
      <c r="K60" s="147"/>
      <c r="L60" s="148"/>
      <c r="M60" s="47" t="s">
        <v>30</v>
      </c>
      <c r="N60" s="94" t="s">
        <v>281</v>
      </c>
      <c r="O60" s="63"/>
      <c r="P60" s="93" t="s">
        <v>282</v>
      </c>
      <c r="Q60" s="63" t="str">
        <f>IF('[1]SINBA-SIS-06-P'!V59=0," ",'[1]SINBA-SIS-06-P'!V59)</f>
        <v xml:space="preserve"> </v>
      </c>
      <c r="R60" s="95"/>
      <c r="T60" s="170"/>
      <c r="U60" s="171"/>
      <c r="V60" s="128" t="s">
        <v>14</v>
      </c>
      <c r="W60" s="130"/>
      <c r="X60" s="96" t="s">
        <v>15</v>
      </c>
      <c r="Y60" s="52" t="s">
        <v>283</v>
      </c>
      <c r="Z60" s="36"/>
      <c r="AA60" s="80" t="s">
        <v>284</v>
      </c>
      <c r="AB60" s="80" t="str">
        <f>IF('[1]SINBA-SIS-06-P'!V130=0," ",'[1]SINBA-SIS-06-P'!V130)</f>
        <v xml:space="preserve"> </v>
      </c>
    </row>
    <row r="61" spans="1:32" ht="12" customHeight="1" x14ac:dyDescent="0.2">
      <c r="A61" s="236"/>
      <c r="B61" s="38"/>
      <c r="C61" s="131"/>
      <c r="D61" s="132"/>
      <c r="E61" s="132"/>
      <c r="F61" s="132"/>
      <c r="G61" s="132"/>
      <c r="H61" s="132"/>
      <c r="I61" s="132"/>
      <c r="J61" s="133"/>
      <c r="K61" s="149"/>
      <c r="L61" s="150"/>
      <c r="M61" s="47" t="s">
        <v>41</v>
      </c>
      <c r="N61" s="94" t="s">
        <v>285</v>
      </c>
      <c r="O61" s="49"/>
      <c r="P61" s="94" t="s">
        <v>286</v>
      </c>
      <c r="Q61" s="49" t="str">
        <f>IF('[1]SINBA-SIS-06-P'!V60=0," ",'[1]SINBA-SIS-06-P'!V60)</f>
        <v xml:space="preserve"> </v>
      </c>
      <c r="R61" s="95"/>
      <c r="T61" s="170"/>
      <c r="U61" s="171"/>
      <c r="V61" s="131"/>
      <c r="W61" s="133"/>
      <c r="X61" s="82" t="s">
        <v>30</v>
      </c>
      <c r="Y61" s="52" t="s">
        <v>287</v>
      </c>
      <c r="Z61" s="84"/>
      <c r="AA61" s="85" t="s">
        <v>288</v>
      </c>
      <c r="AB61" s="85" t="str">
        <f>IF('[1]SINBA-SIS-06-P'!V131=0," ",'[1]SINBA-SIS-06-P'!V131)</f>
        <v xml:space="preserve"> </v>
      </c>
    </row>
    <row r="62" spans="1:32" ht="12" customHeight="1" x14ac:dyDescent="0.2">
      <c r="A62" s="236"/>
      <c r="B62" s="38"/>
      <c r="C62" s="131"/>
      <c r="D62" s="132"/>
      <c r="E62" s="132"/>
      <c r="F62" s="132"/>
      <c r="G62" s="132"/>
      <c r="H62" s="132"/>
      <c r="I62" s="132"/>
      <c r="J62" s="133"/>
      <c r="K62" s="147" t="s">
        <v>289</v>
      </c>
      <c r="L62" s="148"/>
      <c r="M62" s="64" t="s">
        <v>15</v>
      </c>
      <c r="N62" s="89" t="s">
        <v>290</v>
      </c>
      <c r="O62" s="40"/>
      <c r="P62" s="93" t="s">
        <v>291</v>
      </c>
      <c r="Q62" s="40" t="str">
        <f>IF('[1]SINBA-SIS-06-P'!V61=0," ",'[1]SINBA-SIS-06-P'!V61)</f>
        <v xml:space="preserve"> </v>
      </c>
      <c r="R62" s="95"/>
      <c r="T62" s="170"/>
      <c r="U62" s="171"/>
      <c r="V62" s="131"/>
      <c r="W62" s="133"/>
      <c r="X62" s="82" t="s">
        <v>41</v>
      </c>
      <c r="Y62" s="52" t="s">
        <v>292</v>
      </c>
      <c r="Z62" s="84"/>
      <c r="AA62" s="85" t="s">
        <v>293</v>
      </c>
      <c r="AB62" s="85" t="str">
        <f>IF('[1]SINBA-SIS-06-P'!V132=0," ",'[1]SINBA-SIS-06-P'!V132)</f>
        <v xml:space="preserve"> </v>
      </c>
    </row>
    <row r="63" spans="1:32" ht="12" customHeight="1" thickBot="1" x14ac:dyDescent="0.25">
      <c r="A63" s="236"/>
      <c r="B63" s="38"/>
      <c r="C63" s="131"/>
      <c r="D63" s="132"/>
      <c r="E63" s="132"/>
      <c r="F63" s="132"/>
      <c r="G63" s="132"/>
      <c r="H63" s="132"/>
      <c r="I63" s="132"/>
      <c r="J63" s="133"/>
      <c r="K63" s="147"/>
      <c r="L63" s="148"/>
      <c r="M63" s="47" t="s">
        <v>30</v>
      </c>
      <c r="N63" s="89" t="s">
        <v>294</v>
      </c>
      <c r="O63" s="63"/>
      <c r="P63" s="94" t="s">
        <v>295</v>
      </c>
      <c r="Q63" s="63" t="str">
        <f>IF('[1]SINBA-SIS-06-P'!V62=0," ",'[1]SINBA-SIS-06-P'!V62)</f>
        <v xml:space="preserve"> </v>
      </c>
      <c r="R63" s="95"/>
      <c r="T63" s="170"/>
      <c r="U63" s="171"/>
      <c r="V63" s="134"/>
      <c r="W63" s="136"/>
      <c r="X63" s="90" t="s">
        <v>53</v>
      </c>
      <c r="Y63" s="46" t="s">
        <v>296</v>
      </c>
      <c r="Z63" s="45"/>
      <c r="AA63" s="92" t="s">
        <v>297</v>
      </c>
      <c r="AB63" s="92" t="str">
        <f>IF('[1]SINBA-SIS-06-P'!V133=0," ",'[1]SINBA-SIS-06-P'!V133)</f>
        <v xml:space="preserve"> </v>
      </c>
    </row>
    <row r="64" spans="1:32" ht="12" customHeight="1" thickBot="1" x14ac:dyDescent="0.25">
      <c r="A64" s="236"/>
      <c r="B64" s="38"/>
      <c r="C64" s="134"/>
      <c r="D64" s="135"/>
      <c r="E64" s="135"/>
      <c r="F64" s="135"/>
      <c r="G64" s="135"/>
      <c r="H64" s="135"/>
      <c r="I64" s="135"/>
      <c r="J64" s="136"/>
      <c r="K64" s="151"/>
      <c r="L64" s="152"/>
      <c r="M64" s="47" t="s">
        <v>41</v>
      </c>
      <c r="N64" s="89" t="s">
        <v>298</v>
      </c>
      <c r="O64" s="60"/>
      <c r="P64" s="93" t="s">
        <v>299</v>
      </c>
      <c r="Q64" s="60" t="str">
        <f>IF('[1]SINBA-SIS-06-P'!V63=0," ",'[1]SINBA-SIS-06-P'!V63)</f>
        <v xml:space="preserve"> </v>
      </c>
      <c r="R64" s="95"/>
      <c r="T64" s="170"/>
      <c r="U64" s="171"/>
      <c r="V64" s="128" t="s">
        <v>78</v>
      </c>
      <c r="W64" s="130"/>
      <c r="X64" s="96" t="s">
        <v>15</v>
      </c>
      <c r="Y64" s="52" t="s">
        <v>300</v>
      </c>
      <c r="Z64" s="36"/>
      <c r="AA64" s="97"/>
      <c r="AB64" s="97"/>
    </row>
    <row r="65" spans="1:32" ht="12" customHeight="1" x14ac:dyDescent="0.2">
      <c r="A65" s="236"/>
      <c r="B65" s="38"/>
      <c r="C65" s="128" t="s">
        <v>301</v>
      </c>
      <c r="D65" s="129"/>
      <c r="E65" s="129"/>
      <c r="F65" s="129"/>
      <c r="G65" s="129"/>
      <c r="H65" s="129"/>
      <c r="I65" s="129"/>
      <c r="J65" s="130"/>
      <c r="K65" s="137" t="s">
        <v>302</v>
      </c>
      <c r="L65" s="138"/>
      <c r="M65" s="139"/>
      <c r="N65" s="98" t="s">
        <v>303</v>
      </c>
      <c r="O65" s="50"/>
      <c r="P65" s="88" t="s">
        <v>304</v>
      </c>
      <c r="Q65" s="40" t="str">
        <f>IF('[1]SINBA-SIS-06-P'!V64=0," ",'[1]SINBA-SIS-06-P'!V64)</f>
        <v xml:space="preserve"> </v>
      </c>
      <c r="R65" s="99"/>
      <c r="S65" s="100"/>
      <c r="T65" s="170"/>
      <c r="U65" s="171"/>
      <c r="V65" s="131"/>
      <c r="W65" s="133"/>
      <c r="X65" s="82" t="s">
        <v>30</v>
      </c>
      <c r="Y65" s="52" t="s">
        <v>305</v>
      </c>
      <c r="Z65" s="84"/>
      <c r="AA65" s="101"/>
      <c r="AB65" s="101"/>
    </row>
    <row r="66" spans="1:32" ht="12" customHeight="1" x14ac:dyDescent="0.2">
      <c r="A66" s="236"/>
      <c r="B66" s="38"/>
      <c r="C66" s="131"/>
      <c r="D66" s="132"/>
      <c r="E66" s="132"/>
      <c r="F66" s="132"/>
      <c r="G66" s="132"/>
      <c r="H66" s="132"/>
      <c r="I66" s="132"/>
      <c r="J66" s="133"/>
      <c r="K66" s="140" t="s">
        <v>306</v>
      </c>
      <c r="L66" s="141"/>
      <c r="M66" s="142"/>
      <c r="N66" s="83" t="s">
        <v>307</v>
      </c>
      <c r="O66" s="40"/>
      <c r="P66" s="48" t="s">
        <v>308</v>
      </c>
      <c r="Q66" s="40" t="str">
        <f>IF('[1]SINBA-SIS-06-P'!V65=0," ",'[1]SINBA-SIS-06-P'!V65)</f>
        <v xml:space="preserve"> </v>
      </c>
      <c r="R66" s="99"/>
      <c r="S66" s="100"/>
      <c r="T66" s="170"/>
      <c r="U66" s="171"/>
      <c r="V66" s="131"/>
      <c r="W66" s="133"/>
      <c r="X66" s="82" t="s">
        <v>41</v>
      </c>
      <c r="Y66" s="52" t="s">
        <v>309</v>
      </c>
      <c r="Z66" s="84"/>
      <c r="AA66" s="101"/>
      <c r="AB66" s="101"/>
    </row>
    <row r="67" spans="1:32" ht="12" customHeight="1" thickBot="1" x14ac:dyDescent="0.25">
      <c r="A67" s="236"/>
      <c r="B67" s="38"/>
      <c r="C67" s="134"/>
      <c r="D67" s="135"/>
      <c r="E67" s="135"/>
      <c r="F67" s="135"/>
      <c r="G67" s="135"/>
      <c r="H67" s="135"/>
      <c r="I67" s="135"/>
      <c r="J67" s="136"/>
      <c r="K67" s="124" t="s">
        <v>310</v>
      </c>
      <c r="L67" s="125"/>
      <c r="M67" s="126"/>
      <c r="N67" s="86" t="s">
        <v>311</v>
      </c>
      <c r="O67" s="77"/>
      <c r="P67" s="93" t="s">
        <v>312</v>
      </c>
      <c r="Q67" s="60" t="str">
        <f>IF('[1]SINBA-SIS-06-P'!V66=0," ",'[1]SINBA-SIS-06-P'!V66)</f>
        <v xml:space="preserve"> </v>
      </c>
      <c r="R67" s="99"/>
      <c r="S67" s="100"/>
      <c r="T67" s="170"/>
      <c r="U67" s="171"/>
      <c r="V67" s="134"/>
      <c r="W67" s="136"/>
      <c r="X67" s="90" t="s">
        <v>53</v>
      </c>
      <c r="Y67" s="46" t="s">
        <v>313</v>
      </c>
      <c r="Z67" s="45"/>
      <c r="AA67" s="102"/>
      <c r="AB67" s="102"/>
    </row>
    <row r="68" spans="1:32" ht="12" customHeight="1" x14ac:dyDescent="0.2">
      <c r="A68" s="236"/>
      <c r="B68" s="38"/>
      <c r="C68" s="128" t="s">
        <v>314</v>
      </c>
      <c r="D68" s="129"/>
      <c r="E68" s="129"/>
      <c r="F68" s="129"/>
      <c r="G68" s="129"/>
      <c r="H68" s="129"/>
      <c r="I68" s="129"/>
      <c r="J68" s="130"/>
      <c r="K68" s="137" t="s">
        <v>315</v>
      </c>
      <c r="L68" s="138"/>
      <c r="M68" s="139"/>
      <c r="N68" s="39" t="s">
        <v>316</v>
      </c>
      <c r="O68" s="50"/>
      <c r="P68" s="88" t="s">
        <v>317</v>
      </c>
      <c r="Q68" s="40" t="str">
        <f>IF('[1]SINBA-SIS-06-P'!V67=0," ",'[1]SINBA-SIS-06-P'!V67)</f>
        <v xml:space="preserve"> </v>
      </c>
      <c r="R68" s="103"/>
      <c r="S68" s="104"/>
      <c r="T68" s="170"/>
      <c r="U68" s="171"/>
      <c r="V68" s="119" t="s">
        <v>318</v>
      </c>
      <c r="W68" s="121" t="s">
        <v>319</v>
      </c>
      <c r="X68" s="96" t="s">
        <v>15</v>
      </c>
      <c r="Y68" s="105" t="s">
        <v>320</v>
      </c>
      <c r="Z68" s="36"/>
      <c r="AA68" s="97"/>
      <c r="AB68" s="97"/>
    </row>
    <row r="69" spans="1:32" ht="12" customHeight="1" thickBot="1" x14ac:dyDescent="0.25">
      <c r="A69" s="237"/>
      <c r="B69" s="37"/>
      <c r="C69" s="134"/>
      <c r="D69" s="135"/>
      <c r="E69" s="135"/>
      <c r="F69" s="135"/>
      <c r="G69" s="135"/>
      <c r="H69" s="135"/>
      <c r="I69" s="135"/>
      <c r="J69" s="136"/>
      <c r="K69" s="124" t="s">
        <v>67</v>
      </c>
      <c r="L69" s="125"/>
      <c r="M69" s="126"/>
      <c r="N69" s="44" t="s">
        <v>321</v>
      </c>
      <c r="O69" s="66"/>
      <c r="P69" s="106" t="s">
        <v>322</v>
      </c>
      <c r="Q69" s="60" t="str">
        <f>IF('[1]SINBA-SIS-06-P'!V68=0," ",'[1]SINBA-SIS-06-P'!V68)</f>
        <v xml:space="preserve"> </v>
      </c>
      <c r="R69" s="103"/>
      <c r="S69" s="104"/>
      <c r="T69" s="170"/>
      <c r="U69" s="171"/>
      <c r="V69" s="119"/>
      <c r="W69" s="122"/>
      <c r="X69" s="82" t="s">
        <v>30</v>
      </c>
      <c r="Y69" s="107" t="s">
        <v>323</v>
      </c>
      <c r="Z69" s="84"/>
      <c r="AA69" s="101"/>
      <c r="AB69" s="101"/>
    </row>
    <row r="70" spans="1:32" ht="15.75" customHeight="1" thickBot="1" x14ac:dyDescent="0.25">
      <c r="B70" s="37"/>
      <c r="C70" s="108" t="s">
        <v>324</v>
      </c>
      <c r="D70" s="109" t="s">
        <v>325</v>
      </c>
      <c r="E70" s="110"/>
      <c r="F70" s="110"/>
      <c r="G70" s="111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S70" s="1"/>
      <c r="T70" s="170"/>
      <c r="U70" s="171"/>
      <c r="V70" s="119"/>
      <c r="W70" s="123"/>
      <c r="X70" s="112" t="s">
        <v>41</v>
      </c>
      <c r="Y70" s="46" t="s">
        <v>326</v>
      </c>
      <c r="Z70" s="56"/>
      <c r="AA70" s="113"/>
      <c r="AB70" s="113"/>
    </row>
    <row r="71" spans="1:32" ht="12" customHeight="1" x14ac:dyDescent="0.2">
      <c r="B71" s="37"/>
      <c r="C71" s="108" t="s">
        <v>327</v>
      </c>
      <c r="D71" s="114" t="s">
        <v>328</v>
      </c>
      <c r="E71" s="115"/>
      <c r="F71" s="115"/>
      <c r="G71" s="115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S71" s="1"/>
      <c r="T71" s="170"/>
      <c r="U71" s="171"/>
      <c r="V71" s="119"/>
      <c r="W71" s="121" t="s">
        <v>329</v>
      </c>
      <c r="X71" s="78" t="s">
        <v>15</v>
      </c>
      <c r="Y71" s="105" t="s">
        <v>330</v>
      </c>
      <c r="Z71" s="36"/>
      <c r="AA71" s="97"/>
      <c r="AB71" s="97"/>
    </row>
    <row r="72" spans="1:32" ht="12" customHeight="1" x14ac:dyDescent="0.2">
      <c r="C72" s="108" t="s">
        <v>331</v>
      </c>
      <c r="D72" s="114" t="s">
        <v>332</v>
      </c>
      <c r="E72" s="115"/>
      <c r="F72" s="115"/>
      <c r="G72" s="115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S72" s="1"/>
      <c r="T72" s="170"/>
      <c r="U72" s="171"/>
      <c r="V72" s="119"/>
      <c r="W72" s="122"/>
      <c r="X72" s="82" t="s">
        <v>30</v>
      </c>
      <c r="Y72" s="107" t="s">
        <v>333</v>
      </c>
      <c r="Z72" s="84"/>
      <c r="AA72" s="101"/>
      <c r="AB72" s="101"/>
      <c r="AC72" s="1"/>
      <c r="AD72" s="1"/>
      <c r="AE72" s="1"/>
      <c r="AF72" s="1"/>
    </row>
    <row r="73" spans="1:32" ht="12" customHeight="1" thickBot="1" x14ac:dyDescent="0.25">
      <c r="C73" s="116" t="s">
        <v>334</v>
      </c>
      <c r="D73" s="127" t="s">
        <v>335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72"/>
      <c r="U73" s="173"/>
      <c r="V73" s="120"/>
      <c r="W73" s="123"/>
      <c r="X73" s="90" t="s">
        <v>41</v>
      </c>
      <c r="Y73" s="46" t="s">
        <v>336</v>
      </c>
      <c r="Z73" s="45"/>
      <c r="AA73" s="102"/>
      <c r="AB73" s="102"/>
      <c r="AC73" s="1"/>
      <c r="AD73" s="1"/>
      <c r="AE73" s="1"/>
      <c r="AF73" s="1"/>
    </row>
    <row r="74" spans="1:32" ht="12" customHeight="1" x14ac:dyDescent="0.2">
      <c r="C74" s="109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17"/>
      <c r="U74" s="114"/>
      <c r="V74" s="114"/>
      <c r="W74" s="115"/>
      <c r="X74" s="115"/>
      <c r="Y74" s="1"/>
      <c r="AA74" s="1"/>
      <c r="AC74" s="1"/>
      <c r="AD74" s="1"/>
      <c r="AE74" s="1"/>
      <c r="AF74" s="1"/>
    </row>
    <row r="75" spans="1:32" x14ac:dyDescent="0.2">
      <c r="S75" s="1"/>
      <c r="T75" s="117"/>
      <c r="U75" s="114"/>
      <c r="V75" s="114"/>
      <c r="W75" s="115"/>
      <c r="X75" s="115"/>
      <c r="Y75" s="1"/>
      <c r="AA75" s="1"/>
      <c r="AC75" s="1"/>
      <c r="AD75" s="1"/>
      <c r="AE75" s="1"/>
      <c r="AF75" s="1"/>
    </row>
    <row r="76" spans="1:32" x14ac:dyDescent="0.2">
      <c r="S76" s="1"/>
      <c r="T76" s="1"/>
      <c r="U76" s="118"/>
      <c r="V76" s="118"/>
      <c r="W76" s="1"/>
      <c r="X76" s="1"/>
      <c r="Y76" s="1"/>
      <c r="AA76" s="1"/>
      <c r="AC76" s="1"/>
      <c r="AD76" s="1"/>
      <c r="AE76" s="1"/>
      <c r="AF76" s="1"/>
    </row>
    <row r="77" spans="1:32" x14ac:dyDescent="0.2">
      <c r="S77" s="1"/>
      <c r="T77" s="1"/>
      <c r="U77" s="118"/>
      <c r="V77" s="118"/>
      <c r="W77" s="1"/>
      <c r="X77" s="1"/>
      <c r="Y77" s="95"/>
      <c r="AA77" s="95"/>
      <c r="AC77" s="1"/>
      <c r="AD77" s="1"/>
      <c r="AE77" s="1"/>
      <c r="AF77" s="1"/>
    </row>
    <row r="78" spans="1:32" x14ac:dyDescent="0.2">
      <c r="T78" s="1"/>
      <c r="U78" s="118"/>
      <c r="V78" s="118"/>
      <c r="W78" s="1"/>
      <c r="X78" s="1"/>
      <c r="Y78" s="95"/>
      <c r="AA78" s="95"/>
      <c r="AC78" s="1"/>
      <c r="AD78" s="1"/>
      <c r="AE78" s="1"/>
      <c r="AF78" s="1"/>
    </row>
    <row r="79" spans="1:32" x14ac:dyDescent="0.2">
      <c r="T79" s="1"/>
      <c r="U79" s="118"/>
      <c r="V79" s="118"/>
      <c r="W79" s="1"/>
      <c r="X79" s="1"/>
      <c r="Y79" s="95"/>
      <c r="Z79" s="1"/>
      <c r="AA79" s="95"/>
      <c r="AB79" s="1"/>
    </row>
    <row r="80" spans="1:32" x14ac:dyDescent="0.2">
      <c r="T80" s="1"/>
      <c r="U80" s="118"/>
      <c r="V80" s="118"/>
      <c r="W80" s="1"/>
      <c r="X80" s="1"/>
      <c r="Y80" s="1"/>
      <c r="Z80" s="1"/>
      <c r="AA80" s="1"/>
      <c r="AB80" s="1"/>
    </row>
    <row r="81" spans="7:28" s="3" customFormat="1" x14ac:dyDescent="0.2">
      <c r="G81" s="4"/>
      <c r="U81" s="118"/>
      <c r="V81" s="118"/>
      <c r="W81" s="1"/>
      <c r="X81" s="1"/>
      <c r="Y81" s="1"/>
      <c r="Z81" s="1"/>
      <c r="AA81" s="1"/>
      <c r="AB81" s="1"/>
    </row>
    <row r="82" spans="7:28" s="3" customFormat="1" x14ac:dyDescent="0.2">
      <c r="G82" s="4"/>
      <c r="U82" s="4"/>
      <c r="V82" s="4"/>
      <c r="Y82" s="1"/>
      <c r="Z82" s="1"/>
      <c r="AA82" s="1"/>
      <c r="AB82" s="1"/>
    </row>
    <row r="83" spans="7:28" s="3" customFormat="1" x14ac:dyDescent="0.2">
      <c r="G83" s="4"/>
      <c r="U83" s="4"/>
      <c r="V83" s="4"/>
      <c r="Y83" s="1"/>
      <c r="Z83" s="1"/>
      <c r="AA83" s="1"/>
      <c r="AB83" s="1"/>
    </row>
    <row r="84" spans="7:28" s="3" customFormat="1" x14ac:dyDescent="0.2">
      <c r="G84" s="4"/>
      <c r="U84" s="4"/>
      <c r="V84" s="4"/>
      <c r="Y84" s="1"/>
      <c r="Z84" s="1"/>
      <c r="AA84" s="1"/>
      <c r="AB84" s="1"/>
    </row>
    <row r="85" spans="7:28" s="3" customFormat="1" x14ac:dyDescent="0.2">
      <c r="G85" s="4"/>
      <c r="U85" s="4"/>
      <c r="V85" s="4"/>
      <c r="Y85" s="1"/>
      <c r="Z85" s="1"/>
      <c r="AA85" s="1"/>
      <c r="AB85" s="1"/>
    </row>
    <row r="86" spans="7:28" s="3" customFormat="1" x14ac:dyDescent="0.2">
      <c r="G86" s="4"/>
      <c r="U86" s="4"/>
      <c r="V86" s="4"/>
      <c r="Z86" s="1"/>
      <c r="AB86" s="1"/>
    </row>
  </sheetData>
  <mergeCells count="113">
    <mergeCell ref="K2:Z2"/>
    <mergeCell ref="G3:T3"/>
    <mergeCell ref="W3:X3"/>
    <mergeCell ref="L4:T4"/>
    <mergeCell ref="W4:X4"/>
    <mergeCell ref="AA4:AB4"/>
    <mergeCell ref="K7:M7"/>
    <mergeCell ref="T7:T46"/>
    <mergeCell ref="U7:U14"/>
    <mergeCell ref="V7:W8"/>
    <mergeCell ref="A8:A69"/>
    <mergeCell ref="C8:J12"/>
    <mergeCell ref="K8:M8"/>
    <mergeCell ref="K9:M9"/>
    <mergeCell ref="V9:W10"/>
    <mergeCell ref="K10:M10"/>
    <mergeCell ref="K11:M11"/>
    <mergeCell ref="V11:W12"/>
    <mergeCell ref="K12:M12"/>
    <mergeCell ref="C13:J19"/>
    <mergeCell ref="K13:M13"/>
    <mergeCell ref="V13:W14"/>
    <mergeCell ref="K14:L15"/>
    <mergeCell ref="U15:U22"/>
    <mergeCell ref="V15:W18"/>
    <mergeCell ref="K16:L17"/>
    <mergeCell ref="K18:L19"/>
    <mergeCell ref="V19:W22"/>
    <mergeCell ref="C20:J27"/>
    <mergeCell ref="K20:M20"/>
    <mergeCell ref="K21:M21"/>
    <mergeCell ref="K22:M22"/>
    <mergeCell ref="K23:M23"/>
    <mergeCell ref="U23:U30"/>
    <mergeCell ref="V23:W26"/>
    <mergeCell ref="K24:L26"/>
    <mergeCell ref="K27:M27"/>
    <mergeCell ref="V27:W30"/>
    <mergeCell ref="C28:J29"/>
    <mergeCell ref="K28:M28"/>
    <mergeCell ref="K29:M29"/>
    <mergeCell ref="C30:J33"/>
    <mergeCell ref="K30:M30"/>
    <mergeCell ref="K31:M31"/>
    <mergeCell ref="U31:U38"/>
    <mergeCell ref="V31:W34"/>
    <mergeCell ref="K32:L33"/>
    <mergeCell ref="C34:J43"/>
    <mergeCell ref="K34:M34"/>
    <mergeCell ref="K35:M35"/>
    <mergeCell ref="V35:W38"/>
    <mergeCell ref="K36:M36"/>
    <mergeCell ref="K37:L39"/>
    <mergeCell ref="U39:U46"/>
    <mergeCell ref="V39:W42"/>
    <mergeCell ref="K40:L41"/>
    <mergeCell ref="M40:M41"/>
    <mergeCell ref="N40:N41"/>
    <mergeCell ref="O40:O41"/>
    <mergeCell ref="P40:P41"/>
    <mergeCell ref="Q40:Q41"/>
    <mergeCell ref="K42:L43"/>
    <mergeCell ref="M42:M43"/>
    <mergeCell ref="N42:N43"/>
    <mergeCell ref="O42:O43"/>
    <mergeCell ref="P42:P43"/>
    <mergeCell ref="Q42:Q43"/>
    <mergeCell ref="V43:W46"/>
    <mergeCell ref="C44:J45"/>
    <mergeCell ref="K44:M45"/>
    <mergeCell ref="N44:N45"/>
    <mergeCell ref="O44:O45"/>
    <mergeCell ref="P44:P45"/>
    <mergeCell ref="Q44:Q45"/>
    <mergeCell ref="C46:J50"/>
    <mergeCell ref="K46:M46"/>
    <mergeCell ref="K47:M47"/>
    <mergeCell ref="T47:W48"/>
    <mergeCell ref="K48:M48"/>
    <mergeCell ref="K49:L50"/>
    <mergeCell ref="T49:U73"/>
    <mergeCell ref="V49:W51"/>
    <mergeCell ref="P54:P55"/>
    <mergeCell ref="Q54:Q55"/>
    <mergeCell ref="L56:M56"/>
    <mergeCell ref="V56:W59"/>
    <mergeCell ref="L57:M57"/>
    <mergeCell ref="L58:M58"/>
    <mergeCell ref="K59:L61"/>
    <mergeCell ref="V60:W63"/>
    <mergeCell ref="K62:L64"/>
    <mergeCell ref="V64:W67"/>
    <mergeCell ref="C51:J53"/>
    <mergeCell ref="K51:M51"/>
    <mergeCell ref="K52:M52"/>
    <mergeCell ref="V52:W55"/>
    <mergeCell ref="K53:M53"/>
    <mergeCell ref="C54:J64"/>
    <mergeCell ref="K54:K58"/>
    <mergeCell ref="L54:M55"/>
    <mergeCell ref="N54:N55"/>
    <mergeCell ref="O54:O55"/>
    <mergeCell ref="V68:V73"/>
    <mergeCell ref="W68:W70"/>
    <mergeCell ref="K69:M69"/>
    <mergeCell ref="W71:W73"/>
    <mergeCell ref="D73:S74"/>
    <mergeCell ref="C65:J67"/>
    <mergeCell ref="K65:M65"/>
    <mergeCell ref="K66:M66"/>
    <mergeCell ref="K67:M67"/>
    <mergeCell ref="C68:J69"/>
    <mergeCell ref="K68:M68"/>
  </mergeCells>
  <pageMargins left="0.59055118110236227" right="0.19685039370078741" top="0.39370078740157483" bottom="0.19685039370078741" header="0" footer="0"/>
  <pageSetup paperSize="4636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SIS-SS-CE-H-2025</vt:lpstr>
      <vt:lpstr>'SIS-SS-CE-H-2025'!Área_de_impresión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Becerra</dc:creator>
  <cp:lastModifiedBy>Carlos Becerra</cp:lastModifiedBy>
  <cp:lastPrinted>2026-07-27T15:27:01Z</cp:lastPrinted>
  <dcterms:created xsi:type="dcterms:W3CDTF">2026-07-27T15:25:55Z</dcterms:created>
  <dcterms:modified xsi:type="dcterms:W3CDTF">2026-07-27T15:27:04Z</dcterms:modified>
</cp:coreProperties>
</file>