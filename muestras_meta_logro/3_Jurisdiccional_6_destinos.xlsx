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/>
  </bookViews>
  <sheets>
    <sheet sheetId="1" name="ANÁLIS DE META-LOGRO" state="visible" r:id="rId4"/>
  </sheets>
  <definedNames>
    <definedName name="_xlnm.Print_Area" localSheetId="0">'ANÁLIS DE META-LOGRO'!$A1:$J57</definedName>
    <definedName name="_xlnm.Print_Titles" localSheetId="0">'ANÁLIS DE META-LOGRO'!$B:$F</definedName>
  </definedNames>
  <calcPr calcId="171027" fullCalcOnLoad="1"/>
</workbook>
</file>

<file path=xl/sharedStrings.xml><?xml version="1.0" encoding="utf-8"?>
<sst xmlns="http://schemas.openxmlformats.org/spreadsheetml/2006/main" count="100" uniqueCount="53">
  <si>
    <t>Subsecretaria de Prevención y Promoción de la Salud</t>
  </si>
  <si>
    <t>Centro Nacional para la Salud de la Infancia y la Adolescencia</t>
  </si>
  <si>
    <t>Programa de Vacunación Universal</t>
  </si>
  <si>
    <t>Meta-Logro de Vacuna Anti Influenza Estacional Temporada Invernal 2026-2027</t>
  </si>
  <si>
    <t>Jurisdicción Sanitaria 1 · Corte al 2026-12-11</t>
  </si>
  <si>
    <t>Población</t>
  </si>
  <si>
    <t xml:space="preserve"> DOSIS / GRUPO POBLACIONAL</t>
  </si>
  <si>
    <t>QUERETARO</t>
  </si>
  <si>
    <t>CORREGIDORA</t>
  </si>
  <si>
    <t>EL MARQUES</t>
  </si>
  <si>
    <t>HUIMILPAN</t>
  </si>
  <si>
    <t>HENM</t>
  </si>
  <si>
    <t>NHG</t>
  </si>
  <si>
    <t>TOTAL JURISDICCIÓN</t>
  </si>
  <si>
    <t>LOGRO</t>
  </si>
  <si>
    <t>META</t>
  </si>
  <si>
    <t>%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</si>
  <si>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</si>
  <si>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</si>
  <si>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</si>
  <si>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</si>
  <si>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</si>
  <si>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</si>
  <si>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</si>
  <si>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</si>
  <si>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</si>
  <si>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</si>
  <si>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</si>
  <si>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</si>
  <si>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</si>
  <si>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</si>
  <si>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</si>
  <si>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</si>
  <si>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</si>
  <si>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</si>
  <si>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</si>
  <si>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</si>
  <si>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</si>
  <si>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</si>
  <si>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</si>
  <si>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</si>
  <si>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</si>
  <si>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</si>
  <si>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</si>
  <si>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</si>
  <si>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</si>
  <si>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</si>
  <si>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</si>
  <si>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</si>
  <si>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</si>
  <si>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</si>
  <si>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</si>
  <si>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Frascos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</si>
</sst>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;[Red]-#,##0 "/>
    <numFmt numFmtId="165" formatCode="#,##0_ ;-#,##0 "/>
  </numFmts>
  <fonts count="15" x14ac:knownFonts="1">
    <font>
      <color theme="1"/>
      <family val="2"/>
      <scheme val="minor"/>
      <sz val="11"/>
      <name val="Calibri"/>
    </font>
    <font>
      <color indexed="8"/>
      <family val="2"/>
      <sz val="10"/>
      <name val="Arial"/>
    </font>
    <font>
      <b/>
      <color indexed="8"/>
      <family val="3"/>
      <sz val="16"/>
      <name val="Patria"/>
    </font>
    <font>
      <b/>
      <color indexed="8"/>
      <family val="2"/>
      <sz val="14"/>
      <name val="Arial"/>
    </font>
    <font>
      <b/>
      <color indexed="8"/>
      <family val="2"/>
      <sz val="12"/>
      <name val="Arial"/>
    </font>
    <font>
      <color indexed="8"/>
      <family val="2"/>
      <sz val="11"/>
      <name val="Arial"/>
    </font>
    <font>
      <color indexed="8"/>
      <family val="2"/>
      <sz val="12"/>
      <name val="Arial"/>
    </font>
    <font>
      <b/>
      <color indexed="8"/>
      <sz val="12"/>
      <name val="Montserrat"/>
    </font>
    <font>
      <b/>
      <color theme="0"/>
      <sz val="11"/>
      <name val="Montserrat"/>
    </font>
    <font>
      <color theme="1"/>
      <sz val="11"/>
      <name val="Montserrat"/>
    </font>
    <font>
      <b/>
      <color theme="1"/>
      <sz val="11"/>
      <name val="Montserrat"/>
    </font>
    <font>
      <b/>
      <color indexed="8"/>
      <sz val="11"/>
      <name val="Montserrat"/>
    </font>
    <font>
      <b/>
      <sz val="11"/>
      <name val="Montserrat"/>
    </font>
    <font>
      <sz val="11"/>
      <name val="Montserrat"/>
    </font>
    <font>
      <b/>
      <i/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3" xfId="0" applyFont="1" applyFill="1" applyBorder="1" applyAlignment="1" applyProtection="1">
      <alignment horizontal="center" vertical="center" wrapText="1"/>
      <protection hidden="1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5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protection hidden="1"/>
    </xf>
    <xf numFmtId="0" fontId="8" fillId="2" borderId="7" xfId="0" applyFont="1" applyFill="1" applyBorder="1" applyAlignment="1" applyProtection="1">
      <alignment horizontal="center" vertical="center" wrapText="1"/>
      <protection hidden="1"/>
    </xf>
    <xf numFmtId="0" fontId="8" fillId="2" borderId="8" xfId="0" applyFont="1" applyFill="1" applyBorder="1" applyAlignment="1" applyProtection="1">
      <alignment horizontal="center" vertical="center" wrapText="1"/>
      <protection hidden="1"/>
    </xf>
    <xf numFmtId="0" fontId="8" fillId="2" borderId="9" xfId="0" applyFont="1" applyFill="1" applyBorder="1" applyAlignment="1" applyProtection="1">
      <alignment horizontal="center" vertical="center" wrapText="1"/>
      <protection hidden="1"/>
    </xf>
    <xf numFmtId="0" fontId="8" fillId="2" borderId="10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 textRotation="90"/>
      <protection hidden="1"/>
    </xf>
    <xf numFmtId="0" fontId="11" fillId="0" borderId="10" xfId="0" applyFont="1" applyBorder="1" applyAlignment="1" applyProtection="1">
      <alignment horizontal="center" vertical="center" wrapText="1" textRotation="90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left" vertical="center" wrapText="1"/>
      <protection hidden="1"/>
    </xf>
    <xf numFmtId="0" fontId="13" fillId="3" borderId="13" xfId="0" applyFont="1" applyFill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9" fontId="12" fillId="0" borderId="13" xfId="0" applyNumberFormat="1" applyFont="1" applyBorder="1" applyAlignment="1" applyProtection="1">
      <alignment horizontal="center" vertical="center"/>
      <protection hidden="1"/>
    </xf>
    <xf numFmtId="0" fontId="12" fillId="0" borderId="15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16" xfId="0" applyFont="1" applyBorder="1" applyAlignment="1" applyProtection="1">
      <alignment horizontal="center" vertical="center" wrapText="1"/>
      <protection hidden="1"/>
    </xf>
    <xf numFmtId="0" fontId="12" fillId="0" borderId="17" xfId="0" applyFont="1" applyBorder="1" applyAlignment="1" applyProtection="1">
      <alignment horizontal="left" vertical="center" wrapText="1"/>
      <protection hidden="1"/>
    </xf>
    <xf numFmtId="0" fontId="13" fillId="3" borderId="18" xfId="0" applyFont="1" applyFill="1" applyBorder="1" applyAlignment="1" applyProtection="1">
      <alignment horizontal="center" vertical="center" wrapText="1"/>
      <protection hidden="1"/>
    </xf>
    <xf numFmtId="0" fontId="12" fillId="0" borderId="19" xfId="0" applyFont="1" applyBorder="1" applyAlignment="1" applyProtection="1">
      <alignment horizontal="center" vertical="center" wrapText="1"/>
      <protection hidden="1"/>
    </xf>
    <xf numFmtId="9" fontId="12" fillId="0" borderId="18" xfId="0" applyNumberFormat="1" applyFont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left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12" fillId="0" borderId="21" xfId="0" applyFont="1" applyBorder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left" vertical="center" wrapText="1"/>
      <protection hidden="1"/>
    </xf>
    <xf numFmtId="0" fontId="13" fillId="3" borderId="23" xfId="0" applyFont="1" applyFill="1" applyBorder="1" applyAlignment="1" applyProtection="1">
      <alignment horizontal="center" vertical="center" wrapText="1"/>
      <protection hidden="1"/>
    </xf>
    <xf numFmtId="0" fontId="12" fillId="0" borderId="24" xfId="0" applyFont="1" applyBorder="1" applyAlignment="1" applyProtection="1">
      <alignment horizontal="center" vertical="center" wrapText="1"/>
      <protection hidden="1"/>
    </xf>
    <xf numFmtId="9" fontId="12" fillId="0" borderId="23" xfId="0" applyNumberFormat="1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25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vertical="center" wrapText="1"/>
      <protection hidden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9" fontId="12" fillId="0" borderId="10" xfId="0" applyNumberFormat="1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 wrapText="1"/>
      <protection hidden="1"/>
    </xf>
    <xf numFmtId="0" fontId="12" fillId="0" borderId="26" xfId="0" applyFont="1" applyBorder="1" applyAlignment="1" applyProtection="1">
      <alignment horizontal="left" vertical="center" wrapText="1"/>
      <protection hidden="1"/>
    </xf>
    <xf numFmtId="0" fontId="12" fillId="0" borderId="27" xfId="0" applyFont="1" applyBorder="1" applyAlignment="1" applyProtection="1">
      <alignment horizontal="left" vertical="center" wrapText="1"/>
      <protection hidden="1"/>
    </xf>
    <xf numFmtId="0" fontId="12" fillId="0" borderId="28" xfId="0" applyFont="1" applyBorder="1" applyAlignment="1" applyProtection="1">
      <alignment horizontal="left" vertical="center" wrapText="1"/>
      <protection hidden="1"/>
    </xf>
    <xf numFmtId="0" fontId="12" fillId="0" borderId="29" xfId="0" applyFont="1" applyBorder="1" applyAlignment="1" applyProtection="1">
      <alignment horizontal="center" vertical="center" wrapText="1"/>
      <protection hidden="1"/>
    </xf>
    <xf numFmtId="0" fontId="12" fillId="0" borderId="30" xfId="0" applyFont="1" applyBorder="1" applyAlignment="1" applyProtection="1">
      <alignment horizontal="left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32" xfId="0" applyFont="1" applyBorder="1" applyAlignment="1" applyProtection="1">
      <alignment horizontal="center" vertical="center" wrapText="1"/>
      <protection hidden="1"/>
    </xf>
    <xf numFmtId="164" fontId="14" fillId="0" borderId="0" xfId="0" applyNumberFormat="1" applyFont="1" applyProtection="1">
      <protection hidden="1"/>
    </xf>
    <xf numFmtId="0" fontId="11" fillId="0" borderId="33" xfId="0" applyFont="1" applyBorder="1" applyAlignment="1" applyProtection="1">
      <alignment horizontal="center" vertical="center" wrapText="1" textRotation="90"/>
      <protection hidden="1"/>
    </xf>
    <xf numFmtId="9" fontId="12" fillId="0" borderId="34" xfId="0" applyNumberFormat="1" applyFont="1" applyBorder="1" applyAlignment="1" applyProtection="1">
      <alignment horizontal="center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8" fillId="2" borderId="5" xfId="0" applyFont="1" applyFill="1" applyBorder="1" applyAlignment="1" applyProtection="1">
      <alignment horizontal="center" vertical="center"/>
      <protection hidden="1"/>
    </xf>
    <xf numFmtId="0" fontId="8" fillId="2" borderId="6" xfId="0" applyFont="1" applyFill="1" applyBorder="1" applyAlignment="1" applyProtection="1">
      <alignment horizontal="center" vertical="center"/>
      <protection hidden="1"/>
    </xf>
    <xf numFmtId="165" fontId="8" fillId="2" borderId="10" xfId="0" applyNumberFormat="1" applyFont="1" applyFill="1" applyBorder="1" applyAlignment="1" applyProtection="1">
      <alignment horizontal="center" vertical="center"/>
      <protection hidden="1"/>
    </xf>
    <xf numFmtId="165" fontId="8" fillId="2" borderId="5" xfId="0" applyNumberFormat="1" applyFont="1" applyFill="1" applyBorder="1" applyAlignment="1" applyProtection="1">
      <alignment horizontal="center" vertical="center"/>
      <protection hidden="1"/>
    </xf>
    <xf numFmtId="9" fontId="8" fillId="2" borderId="4" xfId="0" applyNumberFormat="1" applyFont="1" applyFill="1" applyBorder="1" applyAlignment="1" applyProtection="1">
      <alignment horizontal="center" vertical="center"/>
      <protection hidden="1"/>
    </xf>
    <xf numFmtId="0" fontId="12" fillId="4" borderId="4" xfId="0" applyFont="1" applyFill="1" applyBorder="1" applyAlignment="1" applyProtection="1">
      <alignment horizontal="right"/>
      <protection hidden="1"/>
    </xf>
    <xf numFmtId="0" fontId="12" fillId="4" borderId="10" xfId="0" applyFont="1" applyFill="1" applyBorder="1" applyAlignment="1" applyProtection="1">
      <alignment horizontal="center" vertical="center"/>
      <protection hidden="1"/>
    </xf>
    <xf numFmtId="9" fontId="12" fillId="4" borderId="10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</cellXfs>
  <cellStyles count="1">
    <cellStyle name="Normal" xfId="0" builtinId="0"/>
  </cellStyles>
  <dxfs count="28"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2241"/>
    <pageSetUpPr fitToPage="1"/>
  </sheetPr>
  <dimension ref="A1:AA79"/>
  <sheetViews>
    <sheetView workbookViewId="0" showGridLines="0" zoomScale="90" zoomScaleNormal="90">
      <selection activeCell="L12" sqref="L12"/>
    </sheetView>
  </sheetViews>
  <sheetFormatPr defaultRowHeight="15" outlineLevelRow="0" outlineLevelCol="0" x14ac:dyDescent="0.25" defaultColWidth="11.42578125"/>
  <cols>
    <col min="1" max="1" width="10.425781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8.85546875" style="1" customWidth="1"/>
    <col min="11" max="11" width="17.7109375" style="1" customWidth="1"/>
    <col min="12" max="12" width="20.7109375" style="1" customWidth="1"/>
    <col min="13" max="13" width="18.85546875" style="1" customWidth="1"/>
    <col min="14" max="14" width="17.7109375" style="1" customWidth="1"/>
    <col min="15" max="15" width="20.7109375" style="1" customWidth="1"/>
    <col min="16" max="16" width="18.85546875" style="1" customWidth="1"/>
    <col min="17" max="17" width="17.7109375" style="1" customWidth="1"/>
    <col min="18" max="18" width="20.7109375" style="1" customWidth="1"/>
    <col min="19" max="19" width="18.85546875" style="1" customWidth="1"/>
    <col min="20" max="20" width="17.7109375" style="1" customWidth="1"/>
    <col min="21" max="21" width="20.7109375" style="1" customWidth="1"/>
    <col min="22" max="22" width="18.85546875" style="1" customWidth="1"/>
    <col min="23" max="23" width="17.7109375" style="1" customWidth="1"/>
    <col min="24" max="24" width="20.7109375" style="1" customWidth="1"/>
    <col min="25" max="25" width="18.85546875" style="1" customWidth="1"/>
    <col min="26" max="26" width="17.7109375" style="1" customWidth="1"/>
    <col min="27" max="27" width="20.7109375" style="1" customWidth="1"/>
    <col min="28" max="16384" width="11.42578125" style="1" customWidth="1"/>
  </cols>
  <sheetData>
    <row r="1" ht="27.75" customHeight="1" spans="1:10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23.25" customHeight="1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5"/>
    </row>
    <row r="3" ht="23.25" customHeight="1" spans="1:10" s="2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5"/>
    </row>
    <row r="4" ht="23.25" customHeight="1" spans="1:12" s="2" customFormat="1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6"/>
      <c r="K4" s="6"/>
      <c r="L4" s="6"/>
    </row>
    <row r="5" ht="23.25" customHeight="1" spans="1:10" s="2" customForma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9"/>
    </row>
    <row r="6" ht="57.75" customHeight="1" spans="1:12" s="10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3.25" customHeight="1" spans="1:12" s="11" customForma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ht="23.25" customHeight="1" spans="1:27" s="11" customFormat="1" x14ac:dyDescent="0.25">
      <c r="A8" s="13" t="s">
        <v>5</v>
      </c>
      <c r="B8" s="14"/>
      <c r="C8" s="13" t="s">
        <v>6</v>
      </c>
      <c r="D8" s="15"/>
      <c r="E8" s="15"/>
      <c r="F8" s="14"/>
      <c r="G8" s="16" t="s">
        <v>7</v>
      </c>
      <c r="H8" s="17"/>
      <c r="I8" s="18"/>
      <c r="J8" s="16" t="s">
        <v>8</v>
      </c>
      <c r="K8" s="17"/>
      <c r="L8" s="18"/>
      <c r="M8" s="16" t="s">
        <v>9</v>
      </c>
      <c r="N8" s="16"/>
      <c r="O8" s="16"/>
      <c r="P8" s="16" t="s">
        <v>10</v>
      </c>
      <c r="Q8" s="16"/>
      <c r="R8" s="16"/>
      <c r="S8" s="16" t="s">
        <v>11</v>
      </c>
      <c r="T8" s="16"/>
      <c r="U8" s="16"/>
      <c r="V8" s="16" t="s">
        <v>12</v>
      </c>
      <c r="W8" s="16"/>
      <c r="X8" s="16"/>
      <c r="Y8" s="16" t="s">
        <v>13</v>
      </c>
      <c r="Z8" s="16"/>
      <c r="AA8" s="16"/>
    </row>
    <row r="9" ht="30" customHeight="1" spans="1:27" s="19" customFormat="1" x14ac:dyDescent="0.25">
      <c r="A9" s="20"/>
      <c r="B9" s="21"/>
      <c r="C9" s="20"/>
      <c r="D9" s="22"/>
      <c r="E9" s="22"/>
      <c r="F9" s="21"/>
      <c r="G9" s="18" t="s">
        <v>14</v>
      </c>
      <c r="H9" s="18" t="s">
        <v>15</v>
      </c>
      <c r="I9" s="23" t="s">
        <v>16</v>
      </c>
      <c r="J9" s="18" t="s">
        <v>14</v>
      </c>
      <c r="K9" s="18" t="s">
        <v>15</v>
      </c>
      <c r="L9" s="23" t="s">
        <v>16</v>
      </c>
      <c r="M9" s="18" t="s">
        <v>14</v>
      </c>
      <c r="N9" s="18" t="s">
        <v>15</v>
      </c>
      <c r="O9" s="23" t="s">
        <v>16</v>
      </c>
      <c r="P9" s="18" t="s">
        <v>14</v>
      </c>
      <c r="Q9" s="18" t="s">
        <v>15</v>
      </c>
      <c r="R9" s="23" t="s">
        <v>16</v>
      </c>
      <c r="S9" s="18" t="s">
        <v>14</v>
      </c>
      <c r="T9" s="18" t="s">
        <v>15</v>
      </c>
      <c r="U9" s="23" t="s">
        <v>16</v>
      </c>
      <c r="V9" s="18" t="s">
        <v>14</v>
      </c>
      <c r="W9" s="18" t="s">
        <v>15</v>
      </c>
      <c r="X9" s="23" t="s">
        <v>16</v>
      </c>
      <c r="Y9" s="18" t="s">
        <v>14</v>
      </c>
      <c r="Z9" s="18" t="s">
        <v>15</v>
      </c>
      <c r="AA9" s="23" t="s">
        <v>16</v>
      </c>
    </row>
    <row r="10" ht="30" customHeight="1" spans="1:27" s="19" customFormat="1" x14ac:dyDescent="0.25">
      <c r="A10" s="24" t="s">
        <v>17</v>
      </c>
      <c r="B10" s="25" t="s">
        <v>18</v>
      </c>
      <c r="C10" s="26" t="s">
        <v>19</v>
      </c>
      <c r="D10" s="27"/>
      <c r="E10" s="28"/>
      <c r="F10" s="29" t="s">
        <v>20</v>
      </c>
      <c r="G10" s="30">
        <v>209</v>
      </c>
      <c r="H10" s="31">
        <v>360</v>
      </c>
      <c r="I10" s="32">
        <f>IFERROR(G10/H10," ")</f>
        <v>0.5805555555555556</v>
      </c>
      <c r="J10" s="30">
        <v>75</v>
      </c>
      <c r="K10" s="31">
        <v>88</v>
      </c>
      <c r="L10" s="32">
        <f>IFERROR(J10/K10," ")</f>
        <v>0.8522727272727273</v>
      </c>
      <c r="M10" s="30">
        <v>28</v>
      </c>
      <c r="N10" s="31">
        <v>72</v>
      </c>
      <c r="O10" s="32">
        <f>IFERROR(M10/N10," ")</f>
        <v>0.3888888888888889</v>
      </c>
      <c r="P10" s="30">
        <v>5</v>
      </c>
      <c r="Q10" s="31">
        <v>28</v>
      </c>
      <c r="R10" s="32">
        <f>IFERROR(P10/Q10," ")</f>
        <v>0.17857142857142858</v>
      </c>
      <c r="S10" s="30">
        <v>35</v>
      </c>
      <c r="T10" s="31">
        <v>36</v>
      </c>
      <c r="U10" s="32">
        <f>IFERROR(S10/T10," ")</f>
        <v>0.9722222222222222</v>
      </c>
      <c r="V10" s="30">
        <v>28</v>
      </c>
      <c r="W10" s="31">
        <v>32</v>
      </c>
      <c r="X10" s="32">
        <f>IFERROR(V10/W10," ")</f>
        <v>0.875</v>
      </c>
      <c r="Y10" s="30">
        <v>380</v>
      </c>
      <c r="Z10" s="31">
        <v>616</v>
      </c>
      <c r="AA10" s="32">
        <f>IFERROR(Y10/Z10," ")</f>
        <v>0.6168831168831169</v>
      </c>
    </row>
    <row r="11" ht="30" customHeight="1" spans="1:27" s="19" customFormat="1" x14ac:dyDescent="0.25">
      <c r="A11" s="24"/>
      <c r="B11" s="25"/>
      <c r="C11" s="33"/>
      <c r="D11" s="34"/>
      <c r="E11" s="35"/>
      <c r="F11" s="36" t="s">
        <v>21</v>
      </c>
      <c r="G11" s="37">
        <v>295</v>
      </c>
      <c r="H11" s="38">
        <v>540</v>
      </c>
      <c r="I11" s="39">
        <f>IFERROR(G11/H11," ")</f>
        <v>0.5462962962962963</v>
      </c>
      <c r="J11" s="37">
        <v>83</v>
      </c>
      <c r="K11" s="38">
        <v>132</v>
      </c>
      <c r="L11" s="39">
        <f>IFERROR(J11/K11," ")</f>
        <v>0.6287878787878788</v>
      </c>
      <c r="M11" s="37">
        <v>32</v>
      </c>
      <c r="N11" s="38">
        <v>108</v>
      </c>
      <c r="O11" s="39">
        <f>IFERROR(M11/N11," ")</f>
        <v>0.2962962962962963</v>
      </c>
      <c r="P11" s="37">
        <v>6</v>
      </c>
      <c r="Q11" s="38">
        <v>42</v>
      </c>
      <c r="R11" s="39">
        <f>IFERROR(P11/Q11," ")</f>
        <v>0.14285714285714285</v>
      </c>
      <c r="S11" s="37">
        <v>40</v>
      </c>
      <c r="T11" s="38">
        <v>54</v>
      </c>
      <c r="U11" s="39">
        <f>IFERROR(S11/T11," ")</f>
        <v>0.7407407407407407</v>
      </c>
      <c r="V11" s="37">
        <v>57</v>
      </c>
      <c r="W11" s="38">
        <v>48</v>
      </c>
      <c r="X11" s="39">
        <f>IFERROR(V11/W11," ")</f>
        <v>1.1875</v>
      </c>
      <c r="Y11" s="37">
        <v>513</v>
      </c>
      <c r="Z11" s="38">
        <v>924</v>
      </c>
      <c r="AA11" s="39">
        <f>IFERROR(Y11/Z11," ")</f>
        <v>0.5551948051948052</v>
      </c>
    </row>
    <row r="12" ht="30" customHeight="1" spans="1:27" s="19" customFormat="1" x14ac:dyDescent="0.25">
      <c r="A12" s="24"/>
      <c r="B12" s="25"/>
      <c r="C12" s="33"/>
      <c r="D12" s="34"/>
      <c r="E12" s="35"/>
      <c r="F12" s="36" t="s">
        <v>22</v>
      </c>
      <c r="G12" s="37">
        <v>294</v>
      </c>
      <c r="H12" s="38">
        <v>450</v>
      </c>
      <c r="I12" s="39">
        <f>IFERROR(G12/H12," ")</f>
        <v>0.6533333333333333</v>
      </c>
      <c r="J12" s="37">
        <v>80</v>
      </c>
      <c r="K12" s="38">
        <v>110</v>
      </c>
      <c r="L12" s="39">
        <f>IFERROR(J12/K12," ")</f>
        <v>0.7272727272727273</v>
      </c>
      <c r="M12" s="37">
        <v>34</v>
      </c>
      <c r="N12" s="38">
        <v>90</v>
      </c>
      <c r="O12" s="39">
        <f>IFERROR(M12/N12," ")</f>
        <v>0.37777777777777777</v>
      </c>
      <c r="P12" s="37">
        <v>7</v>
      </c>
      <c r="Q12" s="38">
        <v>35</v>
      </c>
      <c r="R12" s="39">
        <f>IFERROR(P12/Q12," ")</f>
        <v>0.2</v>
      </c>
      <c r="S12" s="37">
        <v>42</v>
      </c>
      <c r="T12" s="38">
        <v>45</v>
      </c>
      <c r="U12" s="39">
        <f>IFERROR(S12/T12," ")</f>
        <v>0.9333333333333333</v>
      </c>
      <c r="V12" s="37">
        <v>36</v>
      </c>
      <c r="W12" s="38">
        <v>40</v>
      </c>
      <c r="X12" s="39">
        <f>IFERROR(V12/W12," ")</f>
        <v>0.9</v>
      </c>
      <c r="Y12" s="37">
        <v>493</v>
      </c>
      <c r="Z12" s="38">
        <v>770</v>
      </c>
      <c r="AA12" s="39">
        <f>IFERROR(Y12/Z12," ")</f>
        <v>0.6402597402597403</v>
      </c>
    </row>
    <row r="13" ht="30" customHeight="1" spans="1:27" s="19" customFormat="1" x14ac:dyDescent="0.25">
      <c r="A13" s="24"/>
      <c r="B13" s="25"/>
      <c r="C13" s="33"/>
      <c r="D13" s="34"/>
      <c r="E13" s="35"/>
      <c r="F13" s="40" t="s">
        <v>23</v>
      </c>
      <c r="G13" s="37">
        <v>210</v>
      </c>
      <c r="H13" s="38">
        <v>405</v>
      </c>
      <c r="I13" s="39">
        <f>IFERROR(G13/H13," ")</f>
        <v>0.5185185185185185</v>
      </c>
      <c r="J13" s="37">
        <v>69</v>
      </c>
      <c r="K13" s="38">
        <v>99</v>
      </c>
      <c r="L13" s="39">
        <f>IFERROR(J13/K13," ")</f>
        <v>0.696969696969697</v>
      </c>
      <c r="M13" s="37">
        <v>32</v>
      </c>
      <c r="N13" s="38">
        <v>81</v>
      </c>
      <c r="O13" s="39">
        <f>IFERROR(M13/N13," ")</f>
        <v>0.3950617283950617</v>
      </c>
      <c r="P13" s="37">
        <v>6</v>
      </c>
      <c r="Q13" s="38">
        <v>31</v>
      </c>
      <c r="R13" s="39">
        <f>IFERROR(P13/Q13," ")</f>
        <v>0.1935483870967742</v>
      </c>
      <c r="S13" s="37">
        <v>35</v>
      </c>
      <c r="T13" s="38">
        <v>41</v>
      </c>
      <c r="U13" s="39">
        <f>IFERROR(S13/T13," ")</f>
        <v>0.8536585365853658</v>
      </c>
      <c r="V13" s="37">
        <v>44</v>
      </c>
      <c r="W13" s="38">
        <v>36</v>
      </c>
      <c r="X13" s="39">
        <f>IFERROR(V13/W13," ")</f>
        <v>1.2222222222222223</v>
      </c>
      <c r="Y13" s="37">
        <v>396</v>
      </c>
      <c r="Z13" s="38">
        <v>693</v>
      </c>
      <c r="AA13" s="39">
        <f>IFERROR(Y13/Z13," ")</f>
        <v>0.5714285714285714</v>
      </c>
    </row>
    <row r="14" ht="30" customHeight="1" spans="1:27" s="19" customFormat="1" x14ac:dyDescent="0.25">
      <c r="A14" s="24"/>
      <c r="B14" s="25"/>
      <c r="C14" s="41"/>
      <c r="D14" s="42"/>
      <c r="E14" s="43"/>
      <c r="F14" s="44" t="s">
        <v>24</v>
      </c>
      <c r="G14" s="45">
        <v>179</v>
      </c>
      <c r="H14" s="46">
        <v>315</v>
      </c>
      <c r="I14" s="47">
        <f>IFERROR(G14/H14," ")</f>
        <v>0.5682539682539682</v>
      </c>
      <c r="J14" s="45">
        <v>63</v>
      </c>
      <c r="K14" s="46">
        <v>77</v>
      </c>
      <c r="L14" s="47">
        <f>IFERROR(J14/K14," ")</f>
        <v>0.8181818181818182</v>
      </c>
      <c r="M14" s="45">
        <v>18</v>
      </c>
      <c r="N14" s="46">
        <v>63</v>
      </c>
      <c r="O14" s="47">
        <f>IFERROR(M14/N14," ")</f>
        <v>0.2857142857142857</v>
      </c>
      <c r="P14" s="45">
        <v>5</v>
      </c>
      <c r="Q14" s="46">
        <v>25</v>
      </c>
      <c r="R14" s="47">
        <f>IFERROR(P14/Q14," ")</f>
        <v>0.2</v>
      </c>
      <c r="S14" s="45">
        <v>33</v>
      </c>
      <c r="T14" s="46">
        <v>32</v>
      </c>
      <c r="U14" s="47">
        <f>IFERROR(S14/T14," ")</f>
        <v>1.03125</v>
      </c>
      <c r="V14" s="45">
        <v>28</v>
      </c>
      <c r="W14" s="46">
        <v>28</v>
      </c>
      <c r="X14" s="47">
        <f>IFERROR(V14/W14," ")</f>
        <v>1</v>
      </c>
      <c r="Y14" s="45">
        <v>326</v>
      </c>
      <c r="Z14" s="46">
        <v>540</v>
      </c>
      <c r="AA14" s="47">
        <f>IFERROR(Y14/Z14," ")</f>
        <v>0.6037037037037037</v>
      </c>
    </row>
    <row r="15" ht="30" customHeight="1" spans="1:27" s="19" customFormat="1" x14ac:dyDescent="0.25">
      <c r="A15" s="24"/>
      <c r="B15" s="25"/>
      <c r="C15" s="26" t="s">
        <v>25</v>
      </c>
      <c r="D15" s="27"/>
      <c r="E15" s="28"/>
      <c r="F15" s="29" t="s">
        <v>26</v>
      </c>
      <c r="G15" s="30">
        <v>178</v>
      </c>
      <c r="H15" s="31">
        <v>270</v>
      </c>
      <c r="I15" s="32">
        <f>IFERROR(G15/H15," ")</f>
        <v>0.6592592592592592</v>
      </c>
      <c r="J15" s="30">
        <v>52</v>
      </c>
      <c r="K15" s="31">
        <v>66</v>
      </c>
      <c r="L15" s="32">
        <f>IFERROR(J15/K15," ")</f>
        <v>0.7878787878787878</v>
      </c>
      <c r="M15" s="30">
        <v>21</v>
      </c>
      <c r="N15" s="31">
        <v>54</v>
      </c>
      <c r="O15" s="32">
        <f>IFERROR(M15/N15," ")</f>
        <v>0.3888888888888889</v>
      </c>
      <c r="P15" s="30">
        <v>4</v>
      </c>
      <c r="Q15" s="31">
        <v>21</v>
      </c>
      <c r="R15" s="32">
        <f>IFERROR(P15/Q15," ")</f>
        <v>0.19047619047619047</v>
      </c>
      <c r="S15" s="30">
        <v>21</v>
      </c>
      <c r="T15" s="31">
        <v>27</v>
      </c>
      <c r="U15" s="32">
        <f>IFERROR(S15/T15," ")</f>
        <v>0.7777777777777778</v>
      </c>
      <c r="V15" s="30">
        <v>26</v>
      </c>
      <c r="W15" s="31">
        <v>24</v>
      </c>
      <c r="X15" s="32">
        <f>IFERROR(V15/W15," ")</f>
        <v>1.0833333333333333</v>
      </c>
      <c r="Y15" s="30">
        <v>302</v>
      </c>
      <c r="Z15" s="31">
        <v>462</v>
      </c>
      <c r="AA15" s="32">
        <f>IFERROR(Y15/Z15," ")</f>
        <v>0.6536796536796536</v>
      </c>
    </row>
    <row r="16" ht="30" customHeight="1" spans="1:27" s="19" customFormat="1" x14ac:dyDescent="0.25">
      <c r="A16" s="24"/>
      <c r="B16" s="25"/>
      <c r="C16" s="33"/>
      <c r="D16" s="34"/>
      <c r="E16" s="35"/>
      <c r="F16" s="36" t="s">
        <v>27</v>
      </c>
      <c r="G16" s="37">
        <v>116</v>
      </c>
      <c r="H16" s="38">
        <v>225</v>
      </c>
      <c r="I16" s="39">
        <f>IFERROR(G16/H16," ")</f>
        <v>0.5155555555555555</v>
      </c>
      <c r="J16" s="37">
        <v>48</v>
      </c>
      <c r="K16" s="38">
        <v>55</v>
      </c>
      <c r="L16" s="39">
        <f>IFERROR(J16/K16," ")</f>
        <v>0.8727272727272727</v>
      </c>
      <c r="M16" s="37">
        <v>15</v>
      </c>
      <c r="N16" s="38">
        <v>45</v>
      </c>
      <c r="O16" s="39">
        <f>IFERROR(M16/N16," ")</f>
        <v>0.3333333333333333</v>
      </c>
      <c r="P16" s="37">
        <v>3</v>
      </c>
      <c r="Q16" s="38">
        <v>18</v>
      </c>
      <c r="R16" s="39">
        <f>IFERROR(P16/Q16," ")</f>
        <v>0.16666666666666666</v>
      </c>
      <c r="S16" s="37">
        <v>22</v>
      </c>
      <c r="T16" s="38">
        <v>23</v>
      </c>
      <c r="U16" s="39">
        <f>IFERROR(S16/T16," ")</f>
        <v>0.9565217391304348</v>
      </c>
      <c r="V16" s="37">
        <v>21</v>
      </c>
      <c r="W16" s="38">
        <v>20</v>
      </c>
      <c r="X16" s="39">
        <f>IFERROR(V16/W16," ")</f>
        <v>1.05</v>
      </c>
      <c r="Y16" s="37">
        <v>225</v>
      </c>
      <c r="Z16" s="38">
        <v>386</v>
      </c>
      <c r="AA16" s="39">
        <f>IFERROR(Y16/Z16," ")</f>
        <v>0.582901554404145</v>
      </c>
    </row>
    <row r="17" ht="30" customHeight="1" spans="1:27" s="19" customFormat="1" x14ac:dyDescent="0.25">
      <c r="A17" s="24"/>
      <c r="B17" s="25"/>
      <c r="C17" s="33"/>
      <c r="D17" s="34"/>
      <c r="E17" s="35"/>
      <c r="F17" s="36" t="s">
        <v>28</v>
      </c>
      <c r="G17" s="37">
        <v>114</v>
      </c>
      <c r="H17" s="38">
        <v>180</v>
      </c>
      <c r="I17" s="39">
        <f>IFERROR(G17/H17," ")</f>
        <v>0.6333333333333333</v>
      </c>
      <c r="J17" s="37">
        <v>27</v>
      </c>
      <c r="K17" s="38">
        <v>44</v>
      </c>
      <c r="L17" s="39">
        <f>IFERROR(J17/K17," ")</f>
        <v>0.6136363636363636</v>
      </c>
      <c r="M17" s="37">
        <v>11</v>
      </c>
      <c r="N17" s="38">
        <v>36</v>
      </c>
      <c r="O17" s="39">
        <f>IFERROR(M17/N17," ")</f>
        <v>0.3055555555555556</v>
      </c>
      <c r="P17" s="37">
        <v>3</v>
      </c>
      <c r="Q17" s="38">
        <v>14</v>
      </c>
      <c r="R17" s="39">
        <f>IFERROR(P17/Q17," ")</f>
        <v>0.21428571428571427</v>
      </c>
      <c r="S17" s="37">
        <v>13</v>
      </c>
      <c r="T17" s="38">
        <v>18</v>
      </c>
      <c r="U17" s="39">
        <f>IFERROR(S17/T17," ")</f>
        <v>0.7222222222222222</v>
      </c>
      <c r="V17" s="37">
        <v>17</v>
      </c>
      <c r="W17" s="38">
        <v>16</v>
      </c>
      <c r="X17" s="39">
        <f>IFERROR(V17/W17," ")</f>
        <v>1.0625</v>
      </c>
      <c r="Y17" s="37">
        <v>185</v>
      </c>
      <c r="Z17" s="38">
        <v>308</v>
      </c>
      <c r="AA17" s="39">
        <f>IFERROR(Y17/Z17," ")</f>
        <v>0.6006493506493507</v>
      </c>
    </row>
    <row r="18" ht="30" customHeight="1" spans="1:27" s="19" customFormat="1" x14ac:dyDescent="0.25">
      <c r="A18" s="24"/>
      <c r="B18" s="25"/>
      <c r="C18" s="33"/>
      <c r="D18" s="34"/>
      <c r="E18" s="35"/>
      <c r="F18" s="40" t="s">
        <v>29</v>
      </c>
      <c r="G18" s="37">
        <v>118</v>
      </c>
      <c r="H18" s="38">
        <v>162</v>
      </c>
      <c r="I18" s="39">
        <f>IFERROR(G18/H18," ")</f>
        <v>0.7283950617283951</v>
      </c>
      <c r="J18" s="37">
        <v>25</v>
      </c>
      <c r="K18" s="38">
        <v>40</v>
      </c>
      <c r="L18" s="39">
        <f>IFERROR(J18/K18," ")</f>
        <v>0.625</v>
      </c>
      <c r="M18" s="37">
        <v>9</v>
      </c>
      <c r="N18" s="38">
        <v>32</v>
      </c>
      <c r="O18" s="39">
        <f>IFERROR(M18/N18," ")</f>
        <v>0.28125</v>
      </c>
      <c r="P18" s="37">
        <v>3</v>
      </c>
      <c r="Q18" s="38">
        <v>13</v>
      </c>
      <c r="R18" s="39">
        <f>IFERROR(P18/Q18," ")</f>
        <v>0.23076923076923078</v>
      </c>
      <c r="S18" s="37">
        <v>16</v>
      </c>
      <c r="T18" s="38">
        <v>16</v>
      </c>
      <c r="U18" s="39">
        <f>IFERROR(S18/T18," ")</f>
        <v>1</v>
      </c>
      <c r="V18" s="37">
        <v>15</v>
      </c>
      <c r="W18" s="38">
        <v>14</v>
      </c>
      <c r="X18" s="39">
        <f>IFERROR(V18/W18," ")</f>
        <v>1.0714285714285714</v>
      </c>
      <c r="Y18" s="37">
        <v>186</v>
      </c>
      <c r="Z18" s="38">
        <v>277</v>
      </c>
      <c r="AA18" s="39">
        <f>IFERROR(Y18/Z18," ")</f>
        <v>0.6714801444043321</v>
      </c>
    </row>
    <row r="19" ht="30" customHeight="1" spans="1:27" s="19" customFormat="1" x14ac:dyDescent="0.25">
      <c r="A19" s="24"/>
      <c r="B19" s="25"/>
      <c r="C19" s="41"/>
      <c r="D19" s="42"/>
      <c r="E19" s="43"/>
      <c r="F19" s="44" t="s">
        <v>30</v>
      </c>
      <c r="G19" s="45">
        <v>68</v>
      </c>
      <c r="H19" s="46">
        <v>135</v>
      </c>
      <c r="I19" s="47">
        <f>IFERROR(G19/H19," ")</f>
        <v>0.5037037037037037</v>
      </c>
      <c r="J19" s="45">
        <v>28</v>
      </c>
      <c r="K19" s="46">
        <v>33</v>
      </c>
      <c r="L19" s="47">
        <f>IFERROR(J19/K19," ")</f>
        <v>0.8484848484848485</v>
      </c>
      <c r="M19" s="45">
        <v>8</v>
      </c>
      <c r="N19" s="46">
        <v>27</v>
      </c>
      <c r="O19" s="47">
        <f>IFERROR(M19/N19," ")</f>
        <v>0.2962962962962963</v>
      </c>
      <c r="P19" s="45">
        <v>2</v>
      </c>
      <c r="Q19" s="46">
        <v>11</v>
      </c>
      <c r="R19" s="47">
        <f>IFERROR(P19/Q19," ")</f>
        <v>0.18181818181818182</v>
      </c>
      <c r="S19" s="45">
        <v>11</v>
      </c>
      <c r="T19" s="46">
        <v>14</v>
      </c>
      <c r="U19" s="47">
        <f>IFERROR(S19/T19," ")</f>
        <v>0.7857142857142857</v>
      </c>
      <c r="V19" s="45">
        <v>10</v>
      </c>
      <c r="W19" s="46">
        <v>12</v>
      </c>
      <c r="X19" s="47">
        <f>IFERROR(V19/W19," ")</f>
        <v>0.8333333333333334</v>
      </c>
      <c r="Y19" s="45">
        <v>127</v>
      </c>
      <c r="Z19" s="46">
        <v>232</v>
      </c>
      <c r="AA19" s="47">
        <f>IFERROR(Y19/Z19," ")</f>
        <v>0.5474137931034483</v>
      </c>
    </row>
    <row r="20" ht="30" customHeight="1" spans="1:27" s="19" customFormat="1" x14ac:dyDescent="0.25">
      <c r="A20" s="24"/>
      <c r="B20" s="25"/>
      <c r="C20" s="26" t="s">
        <v>31</v>
      </c>
      <c r="D20" s="27"/>
      <c r="E20" s="48"/>
      <c r="F20" s="29" t="s">
        <v>32</v>
      </c>
      <c r="G20" s="30">
        <v>143</v>
      </c>
      <c r="H20" s="31">
        <v>198</v>
      </c>
      <c r="I20" s="32">
        <f>IFERROR(G20/H20," ")</f>
        <v>0.7222222222222222</v>
      </c>
      <c r="J20" s="30">
        <v>40</v>
      </c>
      <c r="K20" s="31">
        <v>48</v>
      </c>
      <c r="L20" s="32">
        <f>IFERROR(J20/K20," ")</f>
        <v>0.8333333333333334</v>
      </c>
      <c r="M20" s="30">
        <v>14</v>
      </c>
      <c r="N20" s="31">
        <v>40</v>
      </c>
      <c r="O20" s="32">
        <f>IFERROR(M20/N20," ")</f>
        <v>0.35</v>
      </c>
      <c r="P20" s="30">
        <v>3</v>
      </c>
      <c r="Q20" s="31">
        <v>15</v>
      </c>
      <c r="R20" s="32">
        <f>IFERROR(P20/Q20," ")</f>
        <v>0.2</v>
      </c>
      <c r="S20" s="30">
        <v>17</v>
      </c>
      <c r="T20" s="31">
        <v>20</v>
      </c>
      <c r="U20" s="32">
        <f>IFERROR(S20/T20," ")</f>
        <v>0.85</v>
      </c>
      <c r="V20" s="30">
        <v>18</v>
      </c>
      <c r="W20" s="31">
        <v>18</v>
      </c>
      <c r="X20" s="32">
        <f>IFERROR(V20/W20," ")</f>
        <v>1</v>
      </c>
      <c r="Y20" s="30">
        <v>235</v>
      </c>
      <c r="Z20" s="31">
        <v>339</v>
      </c>
      <c r="AA20" s="32">
        <f>IFERROR(Y20/Z20," ")</f>
        <v>0.6932153392330384</v>
      </c>
    </row>
    <row r="21" ht="30" customHeight="1" spans="1:27" s="19" customFormat="1" x14ac:dyDescent="0.25">
      <c r="A21" s="24"/>
      <c r="B21" s="25"/>
      <c r="C21" s="33"/>
      <c r="D21" s="34"/>
      <c r="E21" s="49"/>
      <c r="F21" s="36" t="s">
        <v>28</v>
      </c>
      <c r="G21" s="37">
        <v>100</v>
      </c>
      <c r="H21" s="38">
        <v>180</v>
      </c>
      <c r="I21" s="39">
        <f>IFERROR(G21/H21," ")</f>
        <v>0.5555555555555556</v>
      </c>
      <c r="J21" s="37">
        <v>34</v>
      </c>
      <c r="K21" s="38">
        <v>44</v>
      </c>
      <c r="L21" s="39">
        <f>IFERROR(J21/K21," ")</f>
        <v>0.7727272727272727</v>
      </c>
      <c r="M21" s="37">
        <v>15</v>
      </c>
      <c r="N21" s="38">
        <v>36</v>
      </c>
      <c r="O21" s="39">
        <f>IFERROR(M21/N21," ")</f>
        <v>0.4166666666666667</v>
      </c>
      <c r="P21" s="37">
        <v>3</v>
      </c>
      <c r="Q21" s="38">
        <v>14</v>
      </c>
      <c r="R21" s="39">
        <f>IFERROR(P21/Q21," ")</f>
        <v>0.21428571428571427</v>
      </c>
      <c r="S21" s="37">
        <v>12</v>
      </c>
      <c r="T21" s="38">
        <v>18</v>
      </c>
      <c r="U21" s="39">
        <f>IFERROR(S21/T21," ")</f>
        <v>0.6666666666666666</v>
      </c>
      <c r="V21" s="37">
        <v>20</v>
      </c>
      <c r="W21" s="38">
        <v>16</v>
      </c>
      <c r="X21" s="39">
        <f>IFERROR(V21/W21," ")</f>
        <v>1.25</v>
      </c>
      <c r="Y21" s="37">
        <v>184</v>
      </c>
      <c r="Z21" s="38">
        <v>308</v>
      </c>
      <c r="AA21" s="39">
        <f>IFERROR(Y21/Z21," ")</f>
        <v>0.5974025974025974</v>
      </c>
    </row>
    <row r="22" ht="30" customHeight="1" spans="1:27" s="19" customFormat="1" x14ac:dyDescent="0.25">
      <c r="A22" s="24"/>
      <c r="B22" s="25"/>
      <c r="C22" s="33"/>
      <c r="D22" s="34"/>
      <c r="E22" s="49"/>
      <c r="F22" s="36" t="s">
        <v>23</v>
      </c>
      <c r="G22" s="37">
        <v>93</v>
      </c>
      <c r="H22" s="38">
        <v>144</v>
      </c>
      <c r="I22" s="39">
        <f>IFERROR(G22/H22," ")</f>
        <v>0.6458333333333334</v>
      </c>
      <c r="J22" s="37">
        <v>22</v>
      </c>
      <c r="K22" s="38">
        <v>35</v>
      </c>
      <c r="L22" s="39">
        <f>IFERROR(J22/K22," ")</f>
        <v>0.6285714285714286</v>
      </c>
      <c r="M22" s="37">
        <v>11</v>
      </c>
      <c r="N22" s="38">
        <v>29</v>
      </c>
      <c r="O22" s="39">
        <f>IFERROR(M22/N22," ")</f>
        <v>0.3793103448275862</v>
      </c>
      <c r="P22" s="37">
        <v>2</v>
      </c>
      <c r="Q22" s="38">
        <v>11</v>
      </c>
      <c r="R22" s="39">
        <f>IFERROR(P22/Q22," ")</f>
        <v>0.18181818181818182</v>
      </c>
      <c r="S22" s="37">
        <v>11</v>
      </c>
      <c r="T22" s="38">
        <v>14</v>
      </c>
      <c r="U22" s="39">
        <f>IFERROR(S22/T22," ")</f>
        <v>0.7857142857142857</v>
      </c>
      <c r="V22" s="37">
        <v>13</v>
      </c>
      <c r="W22" s="38">
        <v>13</v>
      </c>
      <c r="X22" s="39">
        <f>IFERROR(V22/W22," ")</f>
        <v>1</v>
      </c>
      <c r="Y22" s="37">
        <v>152</v>
      </c>
      <c r="Z22" s="38">
        <v>246</v>
      </c>
      <c r="AA22" s="39">
        <f>IFERROR(Y22/Z22," ")</f>
        <v>0.6178861788617886</v>
      </c>
    </row>
    <row r="23" ht="30" customHeight="1" spans="1:27" s="19" customFormat="1" x14ac:dyDescent="0.25">
      <c r="A23" s="24"/>
      <c r="B23" s="25"/>
      <c r="C23" s="33"/>
      <c r="D23" s="34"/>
      <c r="E23" s="49"/>
      <c r="F23" s="40" t="s">
        <v>24</v>
      </c>
      <c r="G23" s="37">
        <v>64</v>
      </c>
      <c r="H23" s="38">
        <v>126</v>
      </c>
      <c r="I23" s="39">
        <f>IFERROR(G23/H23," ")</f>
        <v>0.5079365079365079</v>
      </c>
      <c r="J23" s="37">
        <v>23</v>
      </c>
      <c r="K23" s="38">
        <v>31</v>
      </c>
      <c r="L23" s="39">
        <f>IFERROR(J23/K23," ")</f>
        <v>0.7419354838709677</v>
      </c>
      <c r="M23" s="37">
        <v>9</v>
      </c>
      <c r="N23" s="38">
        <v>25</v>
      </c>
      <c r="O23" s="39">
        <f>IFERROR(M23/N23," ")</f>
        <v>0.36</v>
      </c>
      <c r="P23" s="37">
        <v>2</v>
      </c>
      <c r="Q23" s="38">
        <v>10</v>
      </c>
      <c r="R23" s="39">
        <f>IFERROR(P23/Q23," ")</f>
        <v>0.2</v>
      </c>
      <c r="S23" s="37">
        <v>11</v>
      </c>
      <c r="T23" s="38">
        <v>13</v>
      </c>
      <c r="U23" s="39">
        <f>IFERROR(S23/T23," ")</f>
        <v>0.8461538461538461</v>
      </c>
      <c r="V23" s="37">
        <v>13</v>
      </c>
      <c r="W23" s="38">
        <v>11</v>
      </c>
      <c r="X23" s="39">
        <f>IFERROR(V23/W23," ")</f>
        <v>1.1818181818181819</v>
      </c>
      <c r="Y23" s="37">
        <v>122</v>
      </c>
      <c r="Z23" s="38">
        <v>216</v>
      </c>
      <c r="AA23" s="39">
        <f>IFERROR(Y23/Z23," ")</f>
        <v>0.5648148148148148</v>
      </c>
    </row>
    <row r="24" ht="30" customHeight="1" spans="1:27" s="19" customFormat="1" x14ac:dyDescent="0.25">
      <c r="A24" s="24"/>
      <c r="B24" s="25"/>
      <c r="C24" s="41"/>
      <c r="D24" s="42"/>
      <c r="E24" s="50"/>
      <c r="F24" s="44" t="s">
        <v>33</v>
      </c>
      <c r="G24" s="45">
        <v>388</v>
      </c>
      <c r="H24" s="46">
        <v>540</v>
      </c>
      <c r="I24" s="47">
        <f>IFERROR(G24/H24," ")</f>
        <v>0.7185185185185186</v>
      </c>
      <c r="J24" s="45">
        <v>96</v>
      </c>
      <c r="K24" s="46">
        <v>132</v>
      </c>
      <c r="L24" s="47">
        <f>IFERROR(J24/K24," ")</f>
        <v>0.7272727272727273</v>
      </c>
      <c r="M24" s="45">
        <v>31</v>
      </c>
      <c r="N24" s="46">
        <v>108</v>
      </c>
      <c r="O24" s="47">
        <f>IFERROR(M24/N24," ")</f>
        <v>0.28703703703703703</v>
      </c>
      <c r="P24" s="45">
        <v>8</v>
      </c>
      <c r="Q24" s="46">
        <v>42</v>
      </c>
      <c r="R24" s="47">
        <f>IFERROR(P24/Q24," ")</f>
        <v>0.19047619047619047</v>
      </c>
      <c r="S24" s="45">
        <v>50</v>
      </c>
      <c r="T24" s="46">
        <v>54</v>
      </c>
      <c r="U24" s="47">
        <f>IFERROR(S24/T24," ")</f>
        <v>0.9259259259259259</v>
      </c>
      <c r="V24" s="45">
        <v>50</v>
      </c>
      <c r="W24" s="46">
        <v>48</v>
      </c>
      <c r="X24" s="47">
        <f>IFERROR(V24/W24," ")</f>
        <v>1.0416666666666667</v>
      </c>
      <c r="Y24" s="45">
        <v>623</v>
      </c>
      <c r="Z24" s="46">
        <v>924</v>
      </c>
      <c r="AA24" s="47">
        <f>IFERROR(Y24/Z24," ")</f>
        <v>0.6742424242424242</v>
      </c>
    </row>
    <row r="25" ht="30" customHeight="1" spans="1:27" s="19" customFormat="1" x14ac:dyDescent="0.25">
      <c r="A25" s="24"/>
      <c r="B25" s="25" t="s">
        <v>34</v>
      </c>
      <c r="C25" s="26" t="s">
        <v>35</v>
      </c>
      <c r="D25" s="27"/>
      <c r="E25" s="48"/>
      <c r="F25" s="51" t="s">
        <v>36</v>
      </c>
      <c r="G25" s="52">
        <v>70</v>
      </c>
      <c r="H25" s="53">
        <v>108</v>
      </c>
      <c r="I25" s="54">
        <f>IFERROR(G25/H25," ")</f>
        <v>0.6481481481481481</v>
      </c>
      <c r="J25" s="52">
        <v>21</v>
      </c>
      <c r="K25" s="53">
        <v>26</v>
      </c>
      <c r="L25" s="54">
        <f>IFERROR(J25/K25," ")</f>
        <v>0.8076923076923077</v>
      </c>
      <c r="M25" s="52">
        <v>7</v>
      </c>
      <c r="N25" s="53">
        <v>22</v>
      </c>
      <c r="O25" s="54">
        <f>IFERROR(M25/N25," ")</f>
        <v>0.3181818181818182</v>
      </c>
      <c r="P25" s="52">
        <v>2</v>
      </c>
      <c r="Q25" s="53">
        <v>8</v>
      </c>
      <c r="R25" s="54">
        <f>IFERROR(P25/Q25," ")</f>
        <v>0.25</v>
      </c>
      <c r="S25" s="52">
        <v>11</v>
      </c>
      <c r="T25" s="53">
        <v>11</v>
      </c>
      <c r="U25" s="54">
        <f>IFERROR(S25/T25," ")</f>
        <v>1</v>
      </c>
      <c r="V25" s="52">
        <v>9</v>
      </c>
      <c r="W25" s="53">
        <v>10</v>
      </c>
      <c r="X25" s="54">
        <f>IFERROR(V25/W25," ")</f>
        <v>0.9</v>
      </c>
      <c r="Y25" s="52">
        <v>120</v>
      </c>
      <c r="Z25" s="53">
        <v>185</v>
      </c>
      <c r="AA25" s="54">
        <f>IFERROR(Y25/Z25," ")</f>
        <v>0.6486486486486487</v>
      </c>
    </row>
    <row r="26" ht="51" customHeight="1" spans="1:27" s="19" customFormat="1" x14ac:dyDescent="0.25">
      <c r="A26" s="24"/>
      <c r="B26" s="25"/>
      <c r="C26" s="41"/>
      <c r="D26" s="42"/>
      <c r="E26" s="50"/>
      <c r="F26" s="55" t="s">
        <v>37</v>
      </c>
      <c r="G26" s="52">
        <v>403</v>
      </c>
      <c r="H26" s="53">
        <v>720</v>
      </c>
      <c r="I26" s="54">
        <f>IFERROR(G26/H26," ")</f>
        <v>0.5597222222222222</v>
      </c>
      <c r="J26" s="52">
        <v>138</v>
      </c>
      <c r="K26" s="53">
        <v>176</v>
      </c>
      <c r="L26" s="54">
        <f>IFERROR(J26/K26," ")</f>
        <v>0.7840909090909091</v>
      </c>
      <c r="M26" s="52">
        <v>45</v>
      </c>
      <c r="N26" s="53">
        <v>144</v>
      </c>
      <c r="O26" s="54">
        <f>IFERROR(M26/N26," ")</f>
        <v>0.3125</v>
      </c>
      <c r="P26" s="52">
        <v>11</v>
      </c>
      <c r="Q26" s="53">
        <v>56</v>
      </c>
      <c r="R26" s="54">
        <f>IFERROR(P26/Q26," ")</f>
        <v>0.19642857142857142</v>
      </c>
      <c r="S26" s="52">
        <v>58</v>
      </c>
      <c r="T26" s="53">
        <v>72</v>
      </c>
      <c r="U26" s="54">
        <f>IFERROR(S26/T26," ")</f>
        <v>0.8055555555555556</v>
      </c>
      <c r="V26" s="52">
        <v>66</v>
      </c>
      <c r="W26" s="53">
        <v>64</v>
      </c>
      <c r="X26" s="54">
        <f>IFERROR(V26/W26," ")</f>
        <v>1.03125</v>
      </c>
      <c r="Y26" s="52">
        <v>721</v>
      </c>
      <c r="Z26" s="53">
        <v>1232</v>
      </c>
      <c r="AA26" s="54">
        <f>IFERROR(Y26/Z26," ")</f>
        <v>0.5852272727272727</v>
      </c>
    </row>
    <row r="27" ht="30" customHeight="1" spans="1:27" s="19" customFormat="1" x14ac:dyDescent="0.25">
      <c r="A27" s="24"/>
      <c r="B27" s="25"/>
      <c r="C27" s="26" t="s">
        <v>38</v>
      </c>
      <c r="D27" s="27"/>
      <c r="E27" s="48"/>
      <c r="F27" s="56" t="s">
        <v>39</v>
      </c>
      <c r="G27" s="30">
        <v>35</v>
      </c>
      <c r="H27" s="31">
        <v>54</v>
      </c>
      <c r="I27" s="32">
        <f>IFERROR(G27/H27," ")</f>
        <v>0.6481481481481481</v>
      </c>
      <c r="J27" s="30">
        <v>9</v>
      </c>
      <c r="K27" s="31">
        <v>13</v>
      </c>
      <c r="L27" s="32">
        <f>IFERROR(J27/K27," ")</f>
        <v>0.6923076923076923</v>
      </c>
      <c r="M27" s="30">
        <v>5</v>
      </c>
      <c r="N27" s="31">
        <v>11</v>
      </c>
      <c r="O27" s="32">
        <f>IFERROR(M27/N27," ")</f>
        <v>0.45454545454545453</v>
      </c>
      <c r="P27" s="30">
        <v>1</v>
      </c>
      <c r="Q27" s="31">
        <v>4</v>
      </c>
      <c r="R27" s="32">
        <f>IFERROR(P27/Q27," ")</f>
        <v>0.25</v>
      </c>
      <c r="S27" s="30">
        <v>4</v>
      </c>
      <c r="T27" s="31">
        <v>5</v>
      </c>
      <c r="U27" s="32">
        <f>IFERROR(S27/T27," ")</f>
        <v>0.8</v>
      </c>
      <c r="V27" s="30">
        <v>5</v>
      </c>
      <c r="W27" s="31">
        <v>5</v>
      </c>
      <c r="X27" s="32">
        <f>IFERROR(V27/W27," ")</f>
        <v>1</v>
      </c>
      <c r="Y27" s="30">
        <v>59</v>
      </c>
      <c r="Z27" s="31">
        <v>92</v>
      </c>
      <c r="AA27" s="32">
        <f>IFERROR(Y27/Z27," ")</f>
        <v>0.6413043478260869</v>
      </c>
    </row>
    <row r="28" ht="30" customHeight="1" spans="1:27" s="19" customFormat="1" x14ac:dyDescent="0.25">
      <c r="A28" s="24"/>
      <c r="B28" s="25"/>
      <c r="C28" s="33"/>
      <c r="D28" s="34"/>
      <c r="E28" s="49"/>
      <c r="F28" s="57" t="s">
        <v>40</v>
      </c>
      <c r="G28" s="37">
        <v>42</v>
      </c>
      <c r="H28" s="38">
        <v>72</v>
      </c>
      <c r="I28" s="39">
        <f>IFERROR(G28/H28," ")</f>
        <v>0.5833333333333334</v>
      </c>
      <c r="J28" s="37">
        <v>11</v>
      </c>
      <c r="K28" s="38">
        <v>18</v>
      </c>
      <c r="L28" s="39">
        <f>IFERROR(J28/K28," ")</f>
        <v>0.6111111111111112</v>
      </c>
      <c r="M28" s="37">
        <v>4</v>
      </c>
      <c r="N28" s="38">
        <v>14</v>
      </c>
      <c r="O28" s="39">
        <f>IFERROR(M28/N28," ")</f>
        <v>0.2857142857142857</v>
      </c>
      <c r="P28" s="37">
        <v>1</v>
      </c>
      <c r="Q28" s="38">
        <v>6</v>
      </c>
      <c r="R28" s="39">
        <f>IFERROR(P28/Q28," ")</f>
        <v>0.16666666666666666</v>
      </c>
      <c r="S28" s="37">
        <v>7</v>
      </c>
      <c r="T28" s="38">
        <v>7</v>
      </c>
      <c r="U28" s="39">
        <f>IFERROR(S28/T28," ")</f>
        <v>1</v>
      </c>
      <c r="V28" s="37">
        <v>7</v>
      </c>
      <c r="W28" s="38">
        <v>6</v>
      </c>
      <c r="X28" s="39">
        <f>IFERROR(V28/W28," ")</f>
        <v>1.1666666666666667</v>
      </c>
      <c r="Y28" s="37">
        <v>72</v>
      </c>
      <c r="Z28" s="38">
        <v>123</v>
      </c>
      <c r="AA28" s="39">
        <f>IFERROR(Y28/Z28," ")</f>
        <v>0.5853658536585366</v>
      </c>
    </row>
    <row r="29" ht="30" customHeight="1" spans="1:27" s="19" customFormat="1" x14ac:dyDescent="0.25">
      <c r="A29" s="24"/>
      <c r="B29" s="25"/>
      <c r="C29" s="41"/>
      <c r="D29" s="42"/>
      <c r="E29" s="50"/>
      <c r="F29" s="58" t="s">
        <v>41</v>
      </c>
      <c r="G29" s="45">
        <v>56</v>
      </c>
      <c r="H29" s="46">
        <v>90</v>
      </c>
      <c r="I29" s="47">
        <f>IFERROR(G29/H29," ")</f>
        <v>0.6222222222222222</v>
      </c>
      <c r="J29" s="45">
        <v>14</v>
      </c>
      <c r="K29" s="46">
        <v>22</v>
      </c>
      <c r="L29" s="47">
        <f>IFERROR(J29/K29," ")</f>
        <v>0.6363636363636364</v>
      </c>
      <c r="M29" s="45">
        <v>6</v>
      </c>
      <c r="N29" s="46">
        <v>18</v>
      </c>
      <c r="O29" s="47">
        <f>IFERROR(M29/N29," ")</f>
        <v>0.3333333333333333</v>
      </c>
      <c r="P29" s="45">
        <v>1</v>
      </c>
      <c r="Q29" s="46">
        <v>7</v>
      </c>
      <c r="R29" s="47">
        <f>IFERROR(P29/Q29," ")</f>
        <v>0.14285714285714285</v>
      </c>
      <c r="S29" s="45">
        <v>8</v>
      </c>
      <c r="T29" s="46">
        <v>9</v>
      </c>
      <c r="U29" s="47">
        <f>IFERROR(S29/T29," ")</f>
        <v>0.8888888888888888</v>
      </c>
      <c r="V29" s="45">
        <v>8</v>
      </c>
      <c r="W29" s="46">
        <v>8</v>
      </c>
      <c r="X29" s="47">
        <f>IFERROR(V29/W29," ")</f>
        <v>1</v>
      </c>
      <c r="Y29" s="45">
        <v>93</v>
      </c>
      <c r="Z29" s="46">
        <v>154</v>
      </c>
      <c r="AA29" s="47">
        <f>IFERROR(Y29/Z29," ")</f>
        <v>0.6038961038961039</v>
      </c>
    </row>
    <row r="30" ht="30" customHeight="1" spans="1:27" s="19" customFormat="1" x14ac:dyDescent="0.25">
      <c r="A30" s="24"/>
      <c r="B30" s="25"/>
      <c r="C30" s="26" t="s">
        <v>42</v>
      </c>
      <c r="D30" s="27"/>
      <c r="E30" s="48"/>
      <c r="F30" s="56" t="s">
        <v>39</v>
      </c>
      <c r="G30" s="30">
        <v>27</v>
      </c>
      <c r="H30" s="31">
        <v>45</v>
      </c>
      <c r="I30" s="32">
        <f>IFERROR(G30/H30," ")</f>
        <v>0.6</v>
      </c>
      <c r="J30" s="30">
        <v>8</v>
      </c>
      <c r="K30" s="31">
        <v>11</v>
      </c>
      <c r="L30" s="32">
        <f>IFERROR(J30/K30," ")</f>
        <v>0.7272727272727273</v>
      </c>
      <c r="M30" s="30">
        <v>3</v>
      </c>
      <c r="N30" s="31">
        <v>9</v>
      </c>
      <c r="O30" s="32">
        <f>IFERROR(M30/N30," ")</f>
        <v>0.3333333333333333</v>
      </c>
      <c r="P30" s="30">
        <v>1</v>
      </c>
      <c r="Q30" s="31">
        <v>4</v>
      </c>
      <c r="R30" s="32">
        <f>IFERROR(P30/Q30," ")</f>
        <v>0.25</v>
      </c>
      <c r="S30" s="30">
        <v>5</v>
      </c>
      <c r="T30" s="31">
        <v>5</v>
      </c>
      <c r="U30" s="32">
        <f>IFERROR(S30/T30," ")</f>
        <v>1</v>
      </c>
      <c r="V30" s="30">
        <v>4</v>
      </c>
      <c r="W30" s="31">
        <v>4</v>
      </c>
      <c r="X30" s="32">
        <f>IFERROR(V30/W30," ")</f>
        <v>1</v>
      </c>
      <c r="Y30" s="30">
        <v>48</v>
      </c>
      <c r="Z30" s="31">
        <v>78</v>
      </c>
      <c r="AA30" s="32">
        <f>IFERROR(Y30/Z30," ")</f>
        <v>0.6153846153846154</v>
      </c>
    </row>
    <row r="31" ht="30" customHeight="1" spans="1:27" s="19" customFormat="1" x14ac:dyDescent="0.25">
      <c r="A31" s="24"/>
      <c r="B31" s="25"/>
      <c r="C31" s="33"/>
      <c r="D31" s="34"/>
      <c r="E31" s="49"/>
      <c r="F31" s="57" t="s">
        <v>40</v>
      </c>
      <c r="G31" s="37">
        <v>46</v>
      </c>
      <c r="H31" s="38">
        <v>63</v>
      </c>
      <c r="I31" s="39">
        <f>IFERROR(G31/H31," ")</f>
        <v>0.7301587301587301</v>
      </c>
      <c r="J31" s="37">
        <v>13</v>
      </c>
      <c r="K31" s="38">
        <v>15</v>
      </c>
      <c r="L31" s="39">
        <f>IFERROR(J31/K31," ")</f>
        <v>0.8666666666666667</v>
      </c>
      <c r="M31" s="37">
        <v>4</v>
      </c>
      <c r="N31" s="38">
        <v>13</v>
      </c>
      <c r="O31" s="39">
        <f>IFERROR(M31/N31," ")</f>
        <v>0.3076923076923077</v>
      </c>
      <c r="P31" s="37">
        <v>1</v>
      </c>
      <c r="Q31" s="38">
        <v>5</v>
      </c>
      <c r="R31" s="39">
        <f>IFERROR(P31/Q31," ")</f>
        <v>0.2</v>
      </c>
      <c r="S31" s="37">
        <v>5</v>
      </c>
      <c r="T31" s="38">
        <v>6</v>
      </c>
      <c r="U31" s="39">
        <f>IFERROR(S31/T31," ")</f>
        <v>0.8333333333333334</v>
      </c>
      <c r="V31" s="37">
        <v>6</v>
      </c>
      <c r="W31" s="38">
        <v>6</v>
      </c>
      <c r="X31" s="39">
        <f>IFERROR(V31/W31," ")</f>
        <v>1</v>
      </c>
      <c r="Y31" s="37">
        <v>75</v>
      </c>
      <c r="Z31" s="38">
        <v>108</v>
      </c>
      <c r="AA31" s="39">
        <f>IFERROR(Y31/Z31," ")</f>
        <v>0.6944444444444444</v>
      </c>
    </row>
    <row r="32" ht="30" customHeight="1" spans="1:27" s="19" customFormat="1" x14ac:dyDescent="0.25">
      <c r="A32" s="24"/>
      <c r="B32" s="25"/>
      <c r="C32" s="41"/>
      <c r="D32" s="42"/>
      <c r="E32" s="50"/>
      <c r="F32" s="58" t="s">
        <v>41</v>
      </c>
      <c r="G32" s="45">
        <v>57</v>
      </c>
      <c r="H32" s="46">
        <v>81</v>
      </c>
      <c r="I32" s="47">
        <f>IFERROR(G32/H32," ")</f>
        <v>0.7037037037037037</v>
      </c>
      <c r="J32" s="45">
        <v>16</v>
      </c>
      <c r="K32" s="46">
        <v>20</v>
      </c>
      <c r="L32" s="47">
        <f>IFERROR(J32/K32," ")</f>
        <v>0.8</v>
      </c>
      <c r="M32" s="45">
        <v>7</v>
      </c>
      <c r="N32" s="46">
        <v>16</v>
      </c>
      <c r="O32" s="47">
        <f>IFERROR(M32/N32," ")</f>
        <v>0.4375</v>
      </c>
      <c r="P32" s="45">
        <v>1</v>
      </c>
      <c r="Q32" s="46">
        <v>6</v>
      </c>
      <c r="R32" s="47">
        <f>IFERROR(P32/Q32," ")</f>
        <v>0.16666666666666666</v>
      </c>
      <c r="S32" s="45">
        <v>7</v>
      </c>
      <c r="T32" s="46">
        <v>8</v>
      </c>
      <c r="U32" s="47">
        <f>IFERROR(S32/T32," ")</f>
        <v>0.875</v>
      </c>
      <c r="V32" s="45">
        <v>6</v>
      </c>
      <c r="W32" s="46">
        <v>7</v>
      </c>
      <c r="X32" s="47">
        <f>IFERROR(V32/W32," ")</f>
        <v>0.8571428571428571</v>
      </c>
      <c r="Y32" s="45">
        <v>94</v>
      </c>
      <c r="Z32" s="46">
        <v>138</v>
      </c>
      <c r="AA32" s="47">
        <f>IFERROR(Y32/Z32," ")</f>
        <v>0.6811594202898551</v>
      </c>
    </row>
    <row r="33" ht="30" customHeight="1" spans="1:27" s="19" customFormat="1" x14ac:dyDescent="0.25">
      <c r="A33" s="24"/>
      <c r="B33" s="25"/>
      <c r="C33" s="26" t="s">
        <v>43</v>
      </c>
      <c r="D33" s="27"/>
      <c r="E33" s="48"/>
      <c r="F33" s="56" t="s">
        <v>39</v>
      </c>
      <c r="G33" s="30">
        <v>26</v>
      </c>
      <c r="H33" s="31">
        <v>36</v>
      </c>
      <c r="I33" s="32">
        <f>IFERROR(G33/H33," ")</f>
        <v>0.7222222222222222</v>
      </c>
      <c r="J33" s="30">
        <v>8</v>
      </c>
      <c r="K33" s="31">
        <v>9</v>
      </c>
      <c r="L33" s="32">
        <f>IFERROR(J33/K33," ")</f>
        <v>0.8888888888888888</v>
      </c>
      <c r="M33" s="30">
        <v>2</v>
      </c>
      <c r="N33" s="31">
        <v>7</v>
      </c>
      <c r="O33" s="32">
        <f>IFERROR(M33/N33," ")</f>
        <v>0.2857142857142857</v>
      </c>
      <c r="P33" s="30">
        <v>1</v>
      </c>
      <c r="Q33" s="31">
        <v>3</v>
      </c>
      <c r="R33" s="32">
        <f>IFERROR(P33/Q33," ")</f>
        <v>0.3333333333333333</v>
      </c>
      <c r="S33" s="30">
        <v>3</v>
      </c>
      <c r="T33" s="31">
        <v>4</v>
      </c>
      <c r="U33" s="32">
        <f>IFERROR(S33/T33," ")</f>
        <v>0.75</v>
      </c>
      <c r="V33" s="30">
        <v>3</v>
      </c>
      <c r="W33" s="31">
        <v>3</v>
      </c>
      <c r="X33" s="32">
        <f>IFERROR(V33/W33," ")</f>
        <v>1</v>
      </c>
      <c r="Y33" s="30">
        <v>43</v>
      </c>
      <c r="Z33" s="31">
        <v>62</v>
      </c>
      <c r="AA33" s="32">
        <f>IFERROR(Y33/Z33," ")</f>
        <v>0.6935483870967742</v>
      </c>
    </row>
    <row r="34" ht="30" customHeight="1" spans="1:27" s="19" customFormat="1" x14ac:dyDescent="0.25">
      <c r="A34" s="24"/>
      <c r="B34" s="25"/>
      <c r="C34" s="33"/>
      <c r="D34" s="34"/>
      <c r="E34" s="49"/>
      <c r="F34" s="57" t="s">
        <v>40</v>
      </c>
      <c r="G34" s="37">
        <v>32</v>
      </c>
      <c r="H34" s="38">
        <v>45</v>
      </c>
      <c r="I34" s="39">
        <f>IFERROR(G34/H34," ")</f>
        <v>0.7111111111111111</v>
      </c>
      <c r="J34" s="37">
        <v>9</v>
      </c>
      <c r="K34" s="38">
        <v>11</v>
      </c>
      <c r="L34" s="39">
        <f>IFERROR(J34/K34," ")</f>
        <v>0.8181818181818182</v>
      </c>
      <c r="M34" s="37">
        <v>3</v>
      </c>
      <c r="N34" s="38">
        <v>9</v>
      </c>
      <c r="O34" s="39">
        <f>IFERROR(M34/N34," ")</f>
        <v>0.3333333333333333</v>
      </c>
      <c r="P34" s="37">
        <v>1</v>
      </c>
      <c r="Q34" s="38">
        <v>4</v>
      </c>
      <c r="R34" s="39">
        <f>IFERROR(P34/Q34," ")</f>
        <v>0.25</v>
      </c>
      <c r="S34" s="37">
        <v>4</v>
      </c>
      <c r="T34" s="38">
        <v>5</v>
      </c>
      <c r="U34" s="39">
        <f>IFERROR(S34/T34," ")</f>
        <v>0.8</v>
      </c>
      <c r="V34" s="37">
        <v>5</v>
      </c>
      <c r="W34" s="38">
        <v>4</v>
      </c>
      <c r="X34" s="39">
        <f>IFERROR(V34/W34," ")</f>
        <v>1.25</v>
      </c>
      <c r="Y34" s="37">
        <v>54</v>
      </c>
      <c r="Z34" s="38">
        <v>78</v>
      </c>
      <c r="AA34" s="39">
        <f>IFERROR(Y34/Z34," ")</f>
        <v>0.6923076923076923</v>
      </c>
    </row>
    <row r="35" ht="30" customHeight="1" spans="1:27" s="19" customFormat="1" x14ac:dyDescent="0.25">
      <c r="A35" s="24"/>
      <c r="B35" s="25"/>
      <c r="C35" s="41"/>
      <c r="D35" s="42"/>
      <c r="E35" s="50"/>
      <c r="F35" s="58" t="s">
        <v>41</v>
      </c>
      <c r="G35" s="45">
        <v>27</v>
      </c>
      <c r="H35" s="46">
        <v>54</v>
      </c>
      <c r="I35" s="47">
        <f>IFERROR(G35/H35," ")</f>
        <v>0.5</v>
      </c>
      <c r="J35" s="45">
        <v>11</v>
      </c>
      <c r="K35" s="46">
        <v>13</v>
      </c>
      <c r="L35" s="47">
        <f>IFERROR(J35/K35," ")</f>
        <v>0.8461538461538461</v>
      </c>
      <c r="M35" s="45">
        <v>4</v>
      </c>
      <c r="N35" s="46">
        <v>11</v>
      </c>
      <c r="O35" s="47">
        <f>IFERROR(M35/N35," ")</f>
        <v>0.36363636363636365</v>
      </c>
      <c r="P35" s="45">
        <v>1</v>
      </c>
      <c r="Q35" s="46">
        <v>4</v>
      </c>
      <c r="R35" s="47">
        <f>IFERROR(P35/Q35," ")</f>
        <v>0.25</v>
      </c>
      <c r="S35" s="45">
        <v>4</v>
      </c>
      <c r="T35" s="46">
        <v>5</v>
      </c>
      <c r="U35" s="47">
        <f>IFERROR(S35/T35," ")</f>
        <v>0.8</v>
      </c>
      <c r="V35" s="45">
        <v>5</v>
      </c>
      <c r="W35" s="46">
        <v>5</v>
      </c>
      <c r="X35" s="47">
        <f>IFERROR(V35/W35," ")</f>
        <v>1</v>
      </c>
      <c r="Y35" s="45">
        <v>52</v>
      </c>
      <c r="Z35" s="46">
        <v>92</v>
      </c>
      <c r="AA35" s="47">
        <f>IFERROR(Y35/Z35," ")</f>
        <v>0.5652173913043478</v>
      </c>
    </row>
    <row r="36" ht="30" customHeight="1" spans="1:27" s="19" customFormat="1" x14ac:dyDescent="0.25">
      <c r="A36" s="24"/>
      <c r="B36" s="25"/>
      <c r="C36" s="26" t="s">
        <v>44</v>
      </c>
      <c r="D36" s="27"/>
      <c r="E36" s="48"/>
      <c r="F36" s="56" t="s">
        <v>39</v>
      </c>
      <c r="G36" s="30">
        <v>15</v>
      </c>
      <c r="H36" s="31">
        <v>27</v>
      </c>
      <c r="I36" s="32">
        <f>IFERROR(G36/H36," ")</f>
        <v>0.5555555555555556</v>
      </c>
      <c r="J36" s="30">
        <v>6</v>
      </c>
      <c r="K36" s="31">
        <v>7</v>
      </c>
      <c r="L36" s="32">
        <f>IFERROR(J36/K36," ")</f>
        <v>0.8571428571428571</v>
      </c>
      <c r="M36" s="30">
        <v>2</v>
      </c>
      <c r="N36" s="31">
        <v>5</v>
      </c>
      <c r="O36" s="32">
        <f>IFERROR(M36/N36," ")</f>
        <v>0.4</v>
      </c>
      <c r="P36" s="30">
        <v>0</v>
      </c>
      <c r="Q36" s="31">
        <v>2</v>
      </c>
      <c r="R36" s="32">
        <f>IFERROR(P36/Q36," ")</f>
        <v>0</v>
      </c>
      <c r="S36" s="30">
        <v>2</v>
      </c>
      <c r="T36" s="31">
        <v>3</v>
      </c>
      <c r="U36" s="32">
        <f>IFERROR(S36/T36," ")</f>
        <v>0.6666666666666666</v>
      </c>
      <c r="V36" s="30">
        <v>3</v>
      </c>
      <c r="W36" s="31">
        <v>2</v>
      </c>
      <c r="X36" s="32">
        <f>IFERROR(V36/W36," ")</f>
        <v>1.5</v>
      </c>
      <c r="Y36" s="30">
        <v>28</v>
      </c>
      <c r="Z36" s="31">
        <v>46</v>
      </c>
      <c r="AA36" s="32">
        <f>IFERROR(Y36/Z36," ")</f>
        <v>0.6086956521739131</v>
      </c>
    </row>
    <row r="37" ht="30" customHeight="1" spans="1:27" s="19" customFormat="1" x14ac:dyDescent="0.25">
      <c r="A37" s="24"/>
      <c r="B37" s="25"/>
      <c r="C37" s="33"/>
      <c r="D37" s="34"/>
      <c r="E37" s="49"/>
      <c r="F37" s="57" t="s">
        <v>40</v>
      </c>
      <c r="G37" s="37">
        <v>22</v>
      </c>
      <c r="H37" s="38">
        <v>36</v>
      </c>
      <c r="I37" s="39">
        <f>IFERROR(G37/H37," ")</f>
        <v>0.6111111111111112</v>
      </c>
      <c r="J37" s="37">
        <v>6</v>
      </c>
      <c r="K37" s="38">
        <v>9</v>
      </c>
      <c r="L37" s="39">
        <f>IFERROR(J37/K37," ")</f>
        <v>0.6666666666666666</v>
      </c>
      <c r="M37" s="37">
        <v>3</v>
      </c>
      <c r="N37" s="38">
        <v>7</v>
      </c>
      <c r="O37" s="39">
        <f>IFERROR(M37/N37," ")</f>
        <v>0.42857142857142855</v>
      </c>
      <c r="P37" s="37">
        <v>0</v>
      </c>
      <c r="Q37" s="38">
        <v>3</v>
      </c>
      <c r="R37" s="39">
        <f>IFERROR(P37/Q37," ")</f>
        <v>0</v>
      </c>
      <c r="S37" s="37">
        <v>3</v>
      </c>
      <c r="T37" s="38">
        <v>4</v>
      </c>
      <c r="U37" s="39">
        <f>IFERROR(S37/T37," ")</f>
        <v>0.75</v>
      </c>
      <c r="V37" s="37">
        <v>3</v>
      </c>
      <c r="W37" s="38">
        <v>3</v>
      </c>
      <c r="X37" s="39">
        <f>IFERROR(V37/W37," ")</f>
        <v>1</v>
      </c>
      <c r="Y37" s="37">
        <v>37</v>
      </c>
      <c r="Z37" s="38">
        <v>62</v>
      </c>
      <c r="AA37" s="39">
        <f>IFERROR(Y37/Z37," ")</f>
        <v>0.5967741935483871</v>
      </c>
    </row>
    <row r="38" ht="30" customHeight="1" spans="1:27" s="19" customFormat="1" x14ac:dyDescent="0.25">
      <c r="A38" s="24"/>
      <c r="B38" s="25"/>
      <c r="C38" s="41"/>
      <c r="D38" s="42"/>
      <c r="E38" s="50"/>
      <c r="F38" s="58" t="s">
        <v>41</v>
      </c>
      <c r="G38" s="45">
        <v>28</v>
      </c>
      <c r="H38" s="46">
        <v>45</v>
      </c>
      <c r="I38" s="47">
        <f>IFERROR(G38/H38," ")</f>
        <v>0.6222222222222222</v>
      </c>
      <c r="J38" s="45">
        <v>9</v>
      </c>
      <c r="K38" s="46">
        <v>11</v>
      </c>
      <c r="L38" s="47">
        <f>IFERROR(J38/K38," ")</f>
        <v>0.8181818181818182</v>
      </c>
      <c r="M38" s="45">
        <v>3</v>
      </c>
      <c r="N38" s="46">
        <v>9</v>
      </c>
      <c r="O38" s="47">
        <f>IFERROR(M38/N38," ")</f>
        <v>0.3333333333333333</v>
      </c>
      <c r="P38" s="45">
        <v>1</v>
      </c>
      <c r="Q38" s="46">
        <v>4</v>
      </c>
      <c r="R38" s="47">
        <f>IFERROR(P38/Q38," ")</f>
        <v>0.25</v>
      </c>
      <c r="S38" s="45">
        <v>4</v>
      </c>
      <c r="T38" s="46">
        <v>5</v>
      </c>
      <c r="U38" s="47">
        <f>IFERROR(S38/T38," ")</f>
        <v>0.8</v>
      </c>
      <c r="V38" s="45">
        <v>4</v>
      </c>
      <c r="W38" s="46">
        <v>4</v>
      </c>
      <c r="X38" s="47">
        <f>IFERROR(V38/W38," ")</f>
        <v>1</v>
      </c>
      <c r="Y38" s="45">
        <v>49</v>
      </c>
      <c r="Z38" s="46">
        <v>78</v>
      </c>
      <c r="AA38" s="47">
        <f>IFERROR(Y38/Z38," ")</f>
        <v>0.6282051282051282</v>
      </c>
    </row>
    <row r="39" ht="30" customHeight="1" spans="1:27" s="19" customFormat="1" x14ac:dyDescent="0.25">
      <c r="A39" s="24"/>
      <c r="B39" s="25"/>
      <c r="C39" s="26" t="s">
        <v>45</v>
      </c>
      <c r="D39" s="27"/>
      <c r="E39" s="48"/>
      <c r="F39" s="56" t="s">
        <v>39</v>
      </c>
      <c r="G39" s="30">
        <v>28</v>
      </c>
      <c r="H39" s="31">
        <v>54</v>
      </c>
      <c r="I39" s="32">
        <f>IFERROR(G39/H39," ")</f>
        <v>0.5185185185185185</v>
      </c>
      <c r="J39" s="30">
        <v>11</v>
      </c>
      <c r="K39" s="31">
        <v>13</v>
      </c>
      <c r="L39" s="32">
        <f>IFERROR(J39/K39," ")</f>
        <v>0.8461538461538461</v>
      </c>
      <c r="M39" s="30">
        <v>3</v>
      </c>
      <c r="N39" s="31">
        <v>11</v>
      </c>
      <c r="O39" s="32">
        <f>IFERROR(M39/N39," ")</f>
        <v>0.2727272727272727</v>
      </c>
      <c r="P39" s="30">
        <v>1</v>
      </c>
      <c r="Q39" s="31">
        <v>4</v>
      </c>
      <c r="R39" s="32">
        <f>IFERROR(P39/Q39," ")</f>
        <v>0.25</v>
      </c>
      <c r="S39" s="30">
        <v>4</v>
      </c>
      <c r="T39" s="31">
        <v>5</v>
      </c>
      <c r="U39" s="32">
        <f>IFERROR(S39/T39," ")</f>
        <v>0.8</v>
      </c>
      <c r="V39" s="30">
        <v>6</v>
      </c>
      <c r="W39" s="31">
        <v>5</v>
      </c>
      <c r="X39" s="32">
        <f>IFERROR(V39/W39," ")</f>
        <v>1.2</v>
      </c>
      <c r="Y39" s="30">
        <v>53</v>
      </c>
      <c r="Z39" s="31">
        <v>92</v>
      </c>
      <c r="AA39" s="32">
        <f>IFERROR(Y39/Z39," ")</f>
        <v>0.5760869565217391</v>
      </c>
    </row>
    <row r="40" ht="30" customHeight="1" spans="1:27" s="19" customFormat="1" x14ac:dyDescent="0.25">
      <c r="A40" s="24"/>
      <c r="B40" s="25"/>
      <c r="C40" s="33"/>
      <c r="D40" s="34"/>
      <c r="E40" s="49"/>
      <c r="F40" s="57" t="s">
        <v>40</v>
      </c>
      <c r="G40" s="37">
        <v>17</v>
      </c>
      <c r="H40" s="38">
        <v>27</v>
      </c>
      <c r="I40" s="39">
        <f>IFERROR(G40/H40," ")</f>
        <v>0.6296296296296297</v>
      </c>
      <c r="J40" s="37">
        <v>6</v>
      </c>
      <c r="K40" s="38">
        <v>7</v>
      </c>
      <c r="L40" s="39">
        <f>IFERROR(J40/K40," ")</f>
        <v>0.8571428571428571</v>
      </c>
      <c r="M40" s="37">
        <v>2</v>
      </c>
      <c r="N40" s="38">
        <v>5</v>
      </c>
      <c r="O40" s="39">
        <f>IFERROR(M40/N40," ")</f>
        <v>0.4</v>
      </c>
      <c r="P40" s="37">
        <v>0</v>
      </c>
      <c r="Q40" s="38">
        <v>2</v>
      </c>
      <c r="R40" s="39">
        <f>IFERROR(P40/Q40," ")</f>
        <v>0</v>
      </c>
      <c r="S40" s="37">
        <v>3</v>
      </c>
      <c r="T40" s="38">
        <v>3</v>
      </c>
      <c r="U40" s="39">
        <f>IFERROR(S40/T40," ")</f>
        <v>1</v>
      </c>
      <c r="V40" s="37">
        <v>2</v>
      </c>
      <c r="W40" s="38">
        <v>2</v>
      </c>
      <c r="X40" s="39">
        <f>IFERROR(V40/W40," ")</f>
        <v>1</v>
      </c>
      <c r="Y40" s="37">
        <v>30</v>
      </c>
      <c r="Z40" s="38">
        <v>46</v>
      </c>
      <c r="AA40" s="39">
        <f>IFERROR(Y40/Z40," ")</f>
        <v>0.6521739130434783</v>
      </c>
    </row>
    <row r="41" ht="30" customHeight="1" spans="1:27" s="19" customFormat="1" x14ac:dyDescent="0.25">
      <c r="A41" s="24"/>
      <c r="B41" s="25"/>
      <c r="C41" s="41"/>
      <c r="D41" s="42"/>
      <c r="E41" s="50"/>
      <c r="F41" s="58" t="s">
        <v>41</v>
      </c>
      <c r="G41" s="45">
        <v>20</v>
      </c>
      <c r="H41" s="46">
        <v>36</v>
      </c>
      <c r="I41" s="47">
        <f>IFERROR(G41/H41," ")</f>
        <v>0.5555555555555556</v>
      </c>
      <c r="J41" s="45">
        <v>7</v>
      </c>
      <c r="K41" s="46">
        <v>9</v>
      </c>
      <c r="L41" s="47">
        <f>IFERROR(J41/K41," ")</f>
        <v>0.7777777777777778</v>
      </c>
      <c r="M41" s="45">
        <v>2</v>
      </c>
      <c r="N41" s="46">
        <v>7</v>
      </c>
      <c r="O41" s="47">
        <f>IFERROR(M41/N41," ")</f>
        <v>0.2857142857142857</v>
      </c>
      <c r="P41" s="45">
        <v>0</v>
      </c>
      <c r="Q41" s="46">
        <v>3</v>
      </c>
      <c r="R41" s="47">
        <f>IFERROR(P41/Q41," ")</f>
        <v>0</v>
      </c>
      <c r="S41" s="45">
        <v>3</v>
      </c>
      <c r="T41" s="46">
        <v>4</v>
      </c>
      <c r="U41" s="47">
        <f>IFERROR(S41/T41," ")</f>
        <v>0.75</v>
      </c>
      <c r="V41" s="45">
        <v>4</v>
      </c>
      <c r="W41" s="46">
        <v>3</v>
      </c>
      <c r="X41" s="47">
        <f>IFERROR(V41/W41," ")</f>
        <v>1.3333333333333333</v>
      </c>
      <c r="Y41" s="45">
        <v>36</v>
      </c>
      <c r="Z41" s="46">
        <v>62</v>
      </c>
      <c r="AA41" s="47">
        <f>IFERROR(Y41/Z41," ")</f>
        <v>0.5806451612903226</v>
      </c>
    </row>
    <row r="42" ht="30" customHeight="1" spans="1:27" s="19" customFormat="1" x14ac:dyDescent="0.25">
      <c r="A42" s="24"/>
      <c r="B42" s="25"/>
      <c r="C42" s="26" t="s">
        <v>46</v>
      </c>
      <c r="D42" s="27"/>
      <c r="E42" s="48"/>
      <c r="F42" s="56" t="s">
        <v>39</v>
      </c>
      <c r="G42" s="30">
        <v>27</v>
      </c>
      <c r="H42" s="31">
        <v>45</v>
      </c>
      <c r="I42" s="32">
        <f>IFERROR(G42/H42," ")</f>
        <v>0.6</v>
      </c>
      <c r="J42" s="30">
        <v>9</v>
      </c>
      <c r="K42" s="31">
        <v>11</v>
      </c>
      <c r="L42" s="32">
        <f>IFERROR(J42/K42," ")</f>
        <v>0.8181818181818182</v>
      </c>
      <c r="M42" s="30">
        <v>3</v>
      </c>
      <c r="N42" s="31">
        <v>9</v>
      </c>
      <c r="O42" s="32">
        <f>IFERROR(M42/N42," ")</f>
        <v>0.3333333333333333</v>
      </c>
      <c r="P42" s="30">
        <v>1</v>
      </c>
      <c r="Q42" s="31">
        <v>4</v>
      </c>
      <c r="R42" s="32">
        <f>IFERROR(P42/Q42," ")</f>
        <v>0.25</v>
      </c>
      <c r="S42" s="30">
        <v>5</v>
      </c>
      <c r="T42" s="31">
        <v>5</v>
      </c>
      <c r="U42" s="32">
        <f>IFERROR(S42/T42," ")</f>
        <v>1</v>
      </c>
      <c r="V42" s="30">
        <v>5</v>
      </c>
      <c r="W42" s="31">
        <v>4</v>
      </c>
      <c r="X42" s="32">
        <f>IFERROR(V42/W42," ")</f>
        <v>1.25</v>
      </c>
      <c r="Y42" s="30">
        <v>50</v>
      </c>
      <c r="Z42" s="31">
        <v>78</v>
      </c>
      <c r="AA42" s="32">
        <f>IFERROR(Y42/Z42," ")</f>
        <v>0.6410256410256411</v>
      </c>
    </row>
    <row r="43" ht="30" customHeight="1" spans="1:27" s="19" customFormat="1" x14ac:dyDescent="0.25">
      <c r="A43" s="24"/>
      <c r="B43" s="25"/>
      <c r="C43" s="33"/>
      <c r="D43" s="34"/>
      <c r="E43" s="49"/>
      <c r="F43" s="57" t="s">
        <v>40</v>
      </c>
      <c r="G43" s="37">
        <v>12</v>
      </c>
      <c r="H43" s="38">
        <v>18</v>
      </c>
      <c r="I43" s="39">
        <f>IFERROR(G43/H43," ")</f>
        <v>0.6666666666666666</v>
      </c>
      <c r="J43" s="37">
        <v>3</v>
      </c>
      <c r="K43" s="38">
        <v>4</v>
      </c>
      <c r="L43" s="39">
        <f>IFERROR(J43/K43," ")</f>
        <v>0.75</v>
      </c>
      <c r="M43" s="37">
        <v>2</v>
      </c>
      <c r="N43" s="38">
        <v>4</v>
      </c>
      <c r="O43" s="39">
        <f>IFERROR(M43/N43," ")</f>
        <v>0.5</v>
      </c>
      <c r="P43" s="37">
        <v>0</v>
      </c>
      <c r="Q43" s="38">
        <v>1</v>
      </c>
      <c r="R43" s="39">
        <f>IFERROR(P43/Q43," ")</f>
        <v>0</v>
      </c>
      <c r="S43" s="37">
        <v>1</v>
      </c>
      <c r="T43" s="38">
        <v>2</v>
      </c>
      <c r="U43" s="39">
        <f>IFERROR(S43/T43," ")</f>
        <v>0.5</v>
      </c>
      <c r="V43" s="37">
        <v>2</v>
      </c>
      <c r="W43" s="38">
        <v>2</v>
      </c>
      <c r="X43" s="39">
        <f>IFERROR(V43/W43," ")</f>
        <v>1</v>
      </c>
      <c r="Y43" s="37">
        <v>20</v>
      </c>
      <c r="Z43" s="38">
        <v>31</v>
      </c>
      <c r="AA43" s="39">
        <f>IFERROR(Y43/Z43," ")</f>
        <v>0.6451612903225806</v>
      </c>
    </row>
    <row r="44" ht="30" customHeight="1" spans="1:27" s="19" customFormat="1" x14ac:dyDescent="0.25">
      <c r="A44" s="24"/>
      <c r="B44" s="25"/>
      <c r="C44" s="41"/>
      <c r="D44" s="42"/>
      <c r="E44" s="50"/>
      <c r="F44" s="58" t="s">
        <v>41</v>
      </c>
      <c r="G44" s="45">
        <v>19</v>
      </c>
      <c r="H44" s="59">
        <v>27</v>
      </c>
      <c r="I44" s="47">
        <f>IFERROR(G44/H44," ")</f>
        <v>0.7037037037037037</v>
      </c>
      <c r="J44" s="45">
        <v>5</v>
      </c>
      <c r="K44" s="59">
        <v>7</v>
      </c>
      <c r="L44" s="47">
        <f>IFERROR(J44/K44," ")</f>
        <v>0.7142857142857143</v>
      </c>
      <c r="M44" s="45">
        <v>2</v>
      </c>
      <c r="N44" s="59">
        <v>5</v>
      </c>
      <c r="O44" s="47">
        <f>IFERROR(M44/N44," ")</f>
        <v>0.4</v>
      </c>
      <c r="P44" s="45">
        <v>0</v>
      </c>
      <c r="Q44" s="59">
        <v>2</v>
      </c>
      <c r="R44" s="47">
        <f>IFERROR(P44/Q44," ")</f>
        <v>0</v>
      </c>
      <c r="S44" s="45">
        <v>2</v>
      </c>
      <c r="T44" s="59">
        <v>3</v>
      </c>
      <c r="U44" s="47">
        <f>IFERROR(S44/T44," ")</f>
        <v>0.6666666666666666</v>
      </c>
      <c r="V44" s="45">
        <v>2</v>
      </c>
      <c r="W44" s="59">
        <v>2</v>
      </c>
      <c r="X44" s="47">
        <f>IFERROR(V44/W44," ")</f>
        <v>1</v>
      </c>
      <c r="Y44" s="45">
        <v>30</v>
      </c>
      <c r="Z44" s="59">
        <v>46</v>
      </c>
      <c r="AA44" s="47">
        <f>IFERROR(Y44/Z44," ")</f>
        <v>0.6521739130434783</v>
      </c>
    </row>
    <row r="45" ht="45" customHeight="1" spans="1:27" s="19" customFormat="1" x14ac:dyDescent="0.25">
      <c r="A45" s="24"/>
      <c r="B45" s="25"/>
      <c r="C45" s="26" t="s">
        <v>47</v>
      </c>
      <c r="D45" s="27"/>
      <c r="E45" s="48"/>
      <c r="F45" s="60" t="s">
        <v>39</v>
      </c>
      <c r="G45" s="30">
        <v>11</v>
      </c>
      <c r="H45" s="61">
        <v>18</v>
      </c>
      <c r="I45" s="39">
        <f>IFERROR(G45/H45," ")</f>
        <v>0.6111111111111112</v>
      </c>
      <c r="J45" s="30">
        <v>3</v>
      </c>
      <c r="K45" s="61">
        <v>4</v>
      </c>
      <c r="L45" s="39">
        <f>IFERROR(J45/K45," ")</f>
        <v>0.75</v>
      </c>
      <c r="M45" s="30">
        <v>2</v>
      </c>
      <c r="N45" s="61">
        <v>4</v>
      </c>
      <c r="O45" s="39">
        <f>IFERROR(M45/N45," ")</f>
        <v>0.5</v>
      </c>
      <c r="P45" s="30">
        <v>0</v>
      </c>
      <c r="Q45" s="61">
        <v>1</v>
      </c>
      <c r="R45" s="39">
        <f>IFERROR(P45/Q45," ")</f>
        <v>0</v>
      </c>
      <c r="S45" s="30">
        <v>2</v>
      </c>
      <c r="T45" s="61">
        <v>2</v>
      </c>
      <c r="U45" s="39">
        <f>IFERROR(S45/T45," ")</f>
        <v>1</v>
      </c>
      <c r="V45" s="30">
        <v>2</v>
      </c>
      <c r="W45" s="61">
        <v>2</v>
      </c>
      <c r="X45" s="39">
        <f>IFERROR(V45/W45," ")</f>
        <v>1</v>
      </c>
      <c r="Y45" s="30">
        <v>20</v>
      </c>
      <c r="Z45" s="61">
        <v>31</v>
      </c>
      <c r="AA45" s="39">
        <f>IFERROR(Y45/Z45," ")</f>
        <v>0.6451612903225806</v>
      </c>
    </row>
    <row r="46" ht="45" customHeight="1" spans="1:27" s="19" customFormat="1" x14ac:dyDescent="0.25">
      <c r="A46" s="24"/>
      <c r="B46" s="25"/>
      <c r="C46" s="33"/>
      <c r="D46" s="34"/>
      <c r="E46" s="49"/>
      <c r="F46" s="58" t="s">
        <v>40</v>
      </c>
      <c r="G46" s="45">
        <v>14</v>
      </c>
      <c r="H46" s="59">
        <v>27</v>
      </c>
      <c r="I46" s="47">
        <f>IFERROR(G46/H46," ")</f>
        <v>0.5185185185185185</v>
      </c>
      <c r="J46" s="45">
        <v>6</v>
      </c>
      <c r="K46" s="59">
        <v>7</v>
      </c>
      <c r="L46" s="47">
        <f>IFERROR(J46/K46," ")</f>
        <v>0.8571428571428571</v>
      </c>
      <c r="M46" s="45">
        <v>2</v>
      </c>
      <c r="N46" s="59">
        <v>5</v>
      </c>
      <c r="O46" s="47">
        <f>IFERROR(M46/N46," ")</f>
        <v>0.4</v>
      </c>
      <c r="P46" s="45">
        <v>0</v>
      </c>
      <c r="Q46" s="59">
        <v>2</v>
      </c>
      <c r="R46" s="47">
        <f>IFERROR(P46/Q46," ")</f>
        <v>0</v>
      </c>
      <c r="S46" s="45">
        <v>2</v>
      </c>
      <c r="T46" s="59">
        <v>3</v>
      </c>
      <c r="U46" s="47">
        <f>IFERROR(S46/T46," ")</f>
        <v>0.6666666666666666</v>
      </c>
      <c r="V46" s="45">
        <v>2</v>
      </c>
      <c r="W46" s="59">
        <v>2</v>
      </c>
      <c r="X46" s="47">
        <f>IFERROR(V46/W46," ")</f>
        <v>1</v>
      </c>
      <c r="Y46" s="45">
        <v>26</v>
      </c>
      <c r="Z46" s="59">
        <v>46</v>
      </c>
      <c r="AA46" s="47">
        <f>IFERROR(Y46/Z46," ")</f>
        <v>0.5652173913043478</v>
      </c>
    </row>
    <row r="47" ht="30" customHeight="1" spans="1:27" x14ac:dyDescent="0.25">
      <c r="A47" s="24"/>
      <c r="B47" s="25"/>
      <c r="C47" s="26" t="s">
        <v>48</v>
      </c>
      <c r="D47" s="27"/>
      <c r="E47" s="48"/>
      <c r="F47" s="56" t="s">
        <v>39</v>
      </c>
      <c r="G47" s="30">
        <v>19</v>
      </c>
      <c r="H47" s="61">
        <v>36</v>
      </c>
      <c r="I47" s="32">
        <f>IFERROR(G47/H47," ")</f>
        <v>0.5277777777777778</v>
      </c>
      <c r="J47" s="30">
        <v>7</v>
      </c>
      <c r="K47" s="61">
        <v>9</v>
      </c>
      <c r="L47" s="32">
        <f>IFERROR(J47/K47," ")</f>
        <v>0.7777777777777778</v>
      </c>
      <c r="M47" s="30">
        <v>2</v>
      </c>
      <c r="N47" s="61">
        <v>7</v>
      </c>
      <c r="O47" s="32">
        <f>IFERROR(M47/N47," ")</f>
        <v>0.2857142857142857</v>
      </c>
      <c r="P47" s="30">
        <v>0</v>
      </c>
      <c r="Q47" s="61">
        <v>3</v>
      </c>
      <c r="R47" s="32">
        <f>IFERROR(P47/Q47," ")</f>
        <v>0</v>
      </c>
      <c r="S47" s="30">
        <v>4</v>
      </c>
      <c r="T47" s="61">
        <v>4</v>
      </c>
      <c r="U47" s="32">
        <f>IFERROR(S47/T47," ")</f>
        <v>1</v>
      </c>
      <c r="V47" s="30">
        <v>3</v>
      </c>
      <c r="W47" s="61">
        <v>3</v>
      </c>
      <c r="X47" s="32">
        <f>IFERROR(V47/W47," ")</f>
        <v>1</v>
      </c>
      <c r="Y47" s="30">
        <v>35</v>
      </c>
      <c r="Z47" s="61">
        <v>62</v>
      </c>
      <c r="AA47" s="32">
        <f>IFERROR(Y47/Z47," ")</f>
        <v>0.5645161290322581</v>
      </c>
    </row>
    <row r="48" ht="30" customHeight="1" spans="1:27" x14ac:dyDescent="0.25">
      <c r="A48" s="24"/>
      <c r="B48" s="25"/>
      <c r="C48" s="33"/>
      <c r="D48" s="34"/>
      <c r="E48" s="49"/>
      <c r="F48" s="57" t="s">
        <v>40</v>
      </c>
      <c r="G48" s="37">
        <v>10</v>
      </c>
      <c r="H48" s="62">
        <v>18</v>
      </c>
      <c r="I48" s="39">
        <f>IFERROR(G48/H48," ")</f>
        <v>0.5555555555555556</v>
      </c>
      <c r="J48" s="37">
        <v>3</v>
      </c>
      <c r="K48" s="62">
        <v>4</v>
      </c>
      <c r="L48" s="39">
        <f>IFERROR(J48/K48," ")</f>
        <v>0.75</v>
      </c>
      <c r="M48" s="37">
        <v>2</v>
      </c>
      <c r="N48" s="62">
        <v>4</v>
      </c>
      <c r="O48" s="39">
        <f>IFERROR(M48/N48," ")</f>
        <v>0.5</v>
      </c>
      <c r="P48" s="37">
        <v>0</v>
      </c>
      <c r="Q48" s="62">
        <v>1</v>
      </c>
      <c r="R48" s="39">
        <f>IFERROR(P48/Q48," ")</f>
        <v>0</v>
      </c>
      <c r="S48" s="37">
        <v>2</v>
      </c>
      <c r="T48" s="62">
        <v>2</v>
      </c>
      <c r="U48" s="39">
        <f>IFERROR(S48/T48," ")</f>
        <v>1</v>
      </c>
      <c r="V48" s="37">
        <v>2</v>
      </c>
      <c r="W48" s="62">
        <v>2</v>
      </c>
      <c r="X48" s="39">
        <f>IFERROR(V48/W48," ")</f>
        <v>1</v>
      </c>
      <c r="Y48" s="37">
        <v>19</v>
      </c>
      <c r="Z48" s="62">
        <v>31</v>
      </c>
      <c r="AA48" s="39">
        <f>IFERROR(Y48/Z48," ")</f>
        <v>0.6129032258064516</v>
      </c>
    </row>
    <row r="49" ht="30" customHeight="1" spans="1:27" x14ac:dyDescent="0.25">
      <c r="A49" s="24"/>
      <c r="B49" s="25"/>
      <c r="C49" s="41"/>
      <c r="D49" s="42"/>
      <c r="E49" s="50"/>
      <c r="F49" s="58" t="s">
        <v>41</v>
      </c>
      <c r="G49" s="45">
        <v>14</v>
      </c>
      <c r="H49" s="59">
        <v>27</v>
      </c>
      <c r="I49" s="47">
        <f>IFERROR(G49/H49," ")</f>
        <v>0.5185185185185185</v>
      </c>
      <c r="J49" s="45">
        <v>5</v>
      </c>
      <c r="K49" s="59">
        <v>7</v>
      </c>
      <c r="L49" s="47">
        <f>IFERROR(J49/K49," ")</f>
        <v>0.7142857142857143</v>
      </c>
      <c r="M49" s="45">
        <v>2</v>
      </c>
      <c r="N49" s="59">
        <v>5</v>
      </c>
      <c r="O49" s="47">
        <f>IFERROR(M49/N49," ")</f>
        <v>0.4</v>
      </c>
      <c r="P49" s="45">
        <v>0</v>
      </c>
      <c r="Q49" s="59">
        <v>2</v>
      </c>
      <c r="R49" s="47">
        <f>IFERROR(P49/Q49," ")</f>
        <v>0</v>
      </c>
      <c r="S49" s="45">
        <v>3</v>
      </c>
      <c r="T49" s="59">
        <v>3</v>
      </c>
      <c r="U49" s="47">
        <f>IFERROR(S49/T49," ")</f>
        <v>1</v>
      </c>
      <c r="V49" s="45">
        <v>2</v>
      </c>
      <c r="W49" s="59">
        <v>2</v>
      </c>
      <c r="X49" s="47">
        <f>IFERROR(V49/W49," ")</f>
        <v>1</v>
      </c>
      <c r="Y49" s="45">
        <v>26</v>
      </c>
      <c r="Z49" s="59">
        <v>46</v>
      </c>
      <c r="AA49" s="47">
        <f>IFERROR(Y49/Z49," ")</f>
        <v>0.5652173913043478</v>
      </c>
    </row>
    <row r="50" ht="30" customHeight="1" spans="1:27" s="63" customFormat="1" x14ac:dyDescent="0.25">
      <c r="A50" s="24"/>
      <c r="B50" s="25"/>
      <c r="C50" s="26" t="s">
        <v>49</v>
      </c>
      <c r="D50" s="27"/>
      <c r="E50" s="48"/>
      <c r="F50" s="56" t="s">
        <v>39</v>
      </c>
      <c r="G50" s="30">
        <v>13</v>
      </c>
      <c r="H50" s="61">
        <v>18</v>
      </c>
      <c r="I50" s="32">
        <f>IFERROR(G50/H50," ")</f>
        <v>0.7222222222222222</v>
      </c>
      <c r="J50" s="30">
        <v>3</v>
      </c>
      <c r="K50" s="61">
        <v>4</v>
      </c>
      <c r="L50" s="32">
        <f>IFERROR(J50/K50," ")</f>
        <v>0.75</v>
      </c>
      <c r="M50" s="30">
        <v>1</v>
      </c>
      <c r="N50" s="61">
        <v>4</v>
      </c>
      <c r="O50" s="32">
        <f>IFERROR(M50/N50," ")</f>
        <v>0.25</v>
      </c>
      <c r="P50" s="30">
        <v>0</v>
      </c>
      <c r="Q50" s="61">
        <v>1</v>
      </c>
      <c r="R50" s="32">
        <f>IFERROR(P50/Q50," ")</f>
        <v>0</v>
      </c>
      <c r="S50" s="30">
        <v>2</v>
      </c>
      <c r="T50" s="61">
        <v>2</v>
      </c>
      <c r="U50" s="32">
        <f>IFERROR(S50/T50," ")</f>
        <v>1</v>
      </c>
      <c r="V50" s="30">
        <v>2</v>
      </c>
      <c r="W50" s="61">
        <v>2</v>
      </c>
      <c r="X50" s="32">
        <f>IFERROR(V50/W50," ")</f>
        <v>1</v>
      </c>
      <c r="Y50" s="30">
        <v>21</v>
      </c>
      <c r="Z50" s="61">
        <v>31</v>
      </c>
      <c r="AA50" s="32">
        <f>IFERROR(Y50/Z50," ")</f>
        <v>0.6774193548387096</v>
      </c>
    </row>
    <row r="51" ht="30" customHeight="1" spans="1:27" x14ac:dyDescent="0.25">
      <c r="A51" s="24"/>
      <c r="B51" s="25"/>
      <c r="C51" s="33"/>
      <c r="D51" s="34"/>
      <c r="E51" s="49"/>
      <c r="F51" s="57" t="s">
        <v>40</v>
      </c>
      <c r="G51" s="37">
        <v>18</v>
      </c>
      <c r="H51" s="62">
        <v>27</v>
      </c>
      <c r="I51" s="39">
        <f>IFERROR(G51/H51," ")</f>
        <v>0.6666666666666666</v>
      </c>
      <c r="J51" s="37">
        <v>6</v>
      </c>
      <c r="K51" s="62">
        <v>7</v>
      </c>
      <c r="L51" s="39">
        <f>IFERROR(J51/K51," ")</f>
        <v>0.8571428571428571</v>
      </c>
      <c r="M51" s="37">
        <v>2</v>
      </c>
      <c r="N51" s="62">
        <v>5</v>
      </c>
      <c r="O51" s="39">
        <f>IFERROR(M51/N51," ")</f>
        <v>0.4</v>
      </c>
      <c r="P51" s="37">
        <v>0</v>
      </c>
      <c r="Q51" s="62">
        <v>2</v>
      </c>
      <c r="R51" s="39">
        <f>IFERROR(P51/Q51," ")</f>
        <v>0</v>
      </c>
      <c r="S51" s="37">
        <v>2</v>
      </c>
      <c r="T51" s="62">
        <v>3</v>
      </c>
      <c r="U51" s="39">
        <f>IFERROR(S51/T51," ")</f>
        <v>0.6666666666666666</v>
      </c>
      <c r="V51" s="37">
        <v>2</v>
      </c>
      <c r="W51" s="62">
        <v>2</v>
      </c>
      <c r="X51" s="39">
        <f>IFERROR(V51/W51," ")</f>
        <v>1</v>
      </c>
      <c r="Y51" s="37">
        <v>30</v>
      </c>
      <c r="Z51" s="62">
        <v>46</v>
      </c>
      <c r="AA51" s="39">
        <f>IFERROR(Y51/Z51," ")</f>
        <v>0.6521739130434783</v>
      </c>
    </row>
    <row r="52" ht="30" customHeight="1" spans="1:27" x14ac:dyDescent="0.25">
      <c r="A52" s="24"/>
      <c r="B52" s="25"/>
      <c r="C52" s="41"/>
      <c r="D52" s="42"/>
      <c r="E52" s="50"/>
      <c r="F52" s="58" t="s">
        <v>41</v>
      </c>
      <c r="G52" s="45">
        <v>6</v>
      </c>
      <c r="H52" s="59">
        <v>9</v>
      </c>
      <c r="I52" s="47">
        <f>IFERROR(G52/H52," ")</f>
        <v>0.6666666666666666</v>
      </c>
      <c r="J52" s="45">
        <v>1</v>
      </c>
      <c r="K52" s="59">
        <v>2</v>
      </c>
      <c r="L52" s="47">
        <f>IFERROR(J52/K52," ")</f>
        <v>0.5</v>
      </c>
      <c r="M52" s="45">
        <v>1</v>
      </c>
      <c r="N52" s="59">
        <v>2</v>
      </c>
      <c r="O52" s="47">
        <f>IFERROR(M52/N52," ")</f>
        <v>0.5</v>
      </c>
      <c r="P52" s="45">
        <v>0</v>
      </c>
      <c r="Q52" s="59">
        <v>1</v>
      </c>
      <c r="R52" s="47">
        <f>IFERROR(P52/Q52," ")</f>
        <v>0</v>
      </c>
      <c r="S52" s="45">
        <v>1</v>
      </c>
      <c r="T52" s="59">
        <v>1</v>
      </c>
      <c r="U52" s="47">
        <f>IFERROR(S52/T52," ")</f>
        <v>1</v>
      </c>
      <c r="V52" s="45">
        <v>1</v>
      </c>
      <c r="W52" s="59">
        <v>1</v>
      </c>
      <c r="X52" s="47">
        <f>IFERROR(V52/W52," ")</f>
        <v>1</v>
      </c>
      <c r="Y52" s="45">
        <v>10</v>
      </c>
      <c r="Z52" s="59">
        <v>16</v>
      </c>
      <c r="AA52" s="47">
        <f>IFERROR(Y52/Z52," ")</f>
        <v>0.625</v>
      </c>
    </row>
    <row r="53" ht="30" customHeight="1" spans="1:27" x14ac:dyDescent="0.25">
      <c r="A53" s="24"/>
      <c r="B53" s="25"/>
      <c r="C53" s="26" t="s">
        <v>50</v>
      </c>
      <c r="D53" s="27"/>
      <c r="E53" s="48"/>
      <c r="F53" s="56" t="s">
        <v>39</v>
      </c>
      <c r="G53" s="30">
        <v>13</v>
      </c>
      <c r="H53" s="61">
        <v>18</v>
      </c>
      <c r="I53" s="32">
        <f>IFERROR(G53/H53," ")</f>
        <v>0.7222222222222222</v>
      </c>
      <c r="J53" s="30">
        <v>3</v>
      </c>
      <c r="K53" s="61">
        <v>4</v>
      </c>
      <c r="L53" s="32">
        <f>IFERROR(J53/K53," ")</f>
        <v>0.75</v>
      </c>
      <c r="M53" s="30">
        <v>1</v>
      </c>
      <c r="N53" s="61">
        <v>4</v>
      </c>
      <c r="O53" s="32">
        <f>IFERROR(M53/N53," ")</f>
        <v>0.25</v>
      </c>
      <c r="P53" s="30">
        <v>0</v>
      </c>
      <c r="Q53" s="61">
        <v>1</v>
      </c>
      <c r="R53" s="32">
        <f>IFERROR(P53/Q53," ")</f>
        <v>0</v>
      </c>
      <c r="S53" s="30">
        <v>2</v>
      </c>
      <c r="T53" s="61">
        <v>2</v>
      </c>
      <c r="U53" s="32">
        <f>IFERROR(S53/T53," ")</f>
        <v>1</v>
      </c>
      <c r="V53" s="30">
        <v>3</v>
      </c>
      <c r="W53" s="61">
        <v>2</v>
      </c>
      <c r="X53" s="32">
        <f>IFERROR(V53/W53," ")</f>
        <v>1.5</v>
      </c>
      <c r="Y53" s="30">
        <v>22</v>
      </c>
      <c r="Z53" s="61">
        <v>31</v>
      </c>
      <c r="AA53" s="32">
        <f>IFERROR(Y53/Z53," ")</f>
        <v>0.7096774193548387</v>
      </c>
    </row>
    <row r="54" ht="30" customHeight="1" spans="1:27" x14ac:dyDescent="0.25">
      <c r="A54" s="24"/>
      <c r="B54" s="25"/>
      <c r="C54" s="33"/>
      <c r="D54" s="34"/>
      <c r="E54" s="49"/>
      <c r="F54" s="57" t="s">
        <v>40</v>
      </c>
      <c r="G54" s="37">
        <v>14</v>
      </c>
      <c r="H54" s="62">
        <v>27</v>
      </c>
      <c r="I54" s="39">
        <f>IFERROR(G54/H54," ")</f>
        <v>0.5185185185185185</v>
      </c>
      <c r="J54" s="37">
        <v>6</v>
      </c>
      <c r="K54" s="62">
        <v>7</v>
      </c>
      <c r="L54" s="39">
        <f>IFERROR(J54/K54," ")</f>
        <v>0.8571428571428571</v>
      </c>
      <c r="M54" s="37">
        <v>2</v>
      </c>
      <c r="N54" s="62">
        <v>5</v>
      </c>
      <c r="O54" s="39">
        <f>IFERROR(M54/N54," ")</f>
        <v>0.4</v>
      </c>
      <c r="P54" s="37">
        <v>0</v>
      </c>
      <c r="Q54" s="62">
        <v>2</v>
      </c>
      <c r="R54" s="39">
        <f>IFERROR(P54/Q54," ")</f>
        <v>0</v>
      </c>
      <c r="S54" s="37">
        <v>3</v>
      </c>
      <c r="T54" s="62">
        <v>3</v>
      </c>
      <c r="U54" s="39">
        <f>IFERROR(S54/T54," ")</f>
        <v>1</v>
      </c>
      <c r="V54" s="37">
        <v>2</v>
      </c>
      <c r="W54" s="62">
        <v>2</v>
      </c>
      <c r="X54" s="39">
        <f>IFERROR(V54/W54," ")</f>
        <v>1</v>
      </c>
      <c r="Y54" s="37">
        <v>27</v>
      </c>
      <c r="Z54" s="62">
        <v>46</v>
      </c>
      <c r="AA54" s="39">
        <f>IFERROR(Y54/Z54," ")</f>
        <v>0.5869565217391305</v>
      </c>
    </row>
    <row r="55" ht="18.75" customHeight="1" spans="1:27" x14ac:dyDescent="0.25">
      <c r="A55" s="24"/>
      <c r="B55" s="64"/>
      <c r="C55" s="33"/>
      <c r="D55" s="34"/>
      <c r="E55" s="49"/>
      <c r="F55" s="60" t="s">
        <v>41</v>
      </c>
      <c r="G55" s="45">
        <v>0</v>
      </c>
      <c r="H55" s="59">
        <v>0</v>
      </c>
      <c r="I55" s="65" t="str">
        <f>IFERROR(G55/H55," ")</f>
        <v> </v>
      </c>
      <c r="J55" s="45">
        <v>0</v>
      </c>
      <c r="K55" s="59">
        <v>0</v>
      </c>
      <c r="L55" s="65" t="str">
        <f>IFERROR(J55/K55," ")</f>
        <v> </v>
      </c>
      <c r="M55" s="45">
        <v>0</v>
      </c>
      <c r="N55" s="59">
        <v>0</v>
      </c>
      <c r="O55" s="65" t="str">
        <f>IFERROR(M55/N55," ")</f>
        <v> </v>
      </c>
      <c r="P55" s="45">
        <v>0</v>
      </c>
      <c r="Q55" s="59">
        <v>0</v>
      </c>
      <c r="R55" s="65" t="str">
        <f>IFERROR(P55/Q55," ")</f>
        <v> </v>
      </c>
      <c r="S55" s="45">
        <v>0</v>
      </c>
      <c r="T55" s="59">
        <v>0</v>
      </c>
      <c r="U55" s="65" t="str">
        <f>IFERROR(S55/T55," ")</f>
        <v> </v>
      </c>
      <c r="V55" s="45">
        <v>0</v>
      </c>
      <c r="W55" s="59">
        <v>0</v>
      </c>
      <c r="X55" s="65" t="str">
        <f>IFERROR(V55/W55," ")</f>
        <v> </v>
      </c>
      <c r="Y55" s="45">
        <v>0</v>
      </c>
      <c r="Z55" s="59">
        <v>0</v>
      </c>
      <c r="AA55" s="65" t="str">
        <f>IFERROR(Y55/Z55," ")</f>
        <v> </v>
      </c>
    </row>
    <row r="56" ht="18.75" customHeight="1" spans="1:27" x14ac:dyDescent="0.25">
      <c r="A56" s="24"/>
      <c r="B56" s="66" t="s">
        <v>51</v>
      </c>
      <c r="C56" s="67"/>
      <c r="D56" s="67"/>
      <c r="E56" s="67"/>
      <c r="F56" s="68"/>
      <c r="G56" s="69">
        <f>SUM(G10:G55)</f>
        <v>3710</v>
      </c>
      <c r="H56" s="70">
        <f>SUM(H10:H55)</f>
        <v>6138</v>
      </c>
      <c r="I56" s="71">
        <f>IFERROR(G56/H56," ")</f>
        <v>0.6044314108830238</v>
      </c>
      <c r="J56" s="69">
        <f>SUM(J10:J55)</f>
        <v>1128</v>
      </c>
      <c r="K56" s="70">
        <f>SUM(K10:K55)</f>
        <v>1501</v>
      </c>
      <c r="L56" s="71">
        <f>IFERROR(J56/K56," ")</f>
        <v>0.7514990006662225</v>
      </c>
      <c r="M56" s="69">
        <f>SUM(M10:M55)</f>
        <v>417</v>
      </c>
      <c r="N56" s="70">
        <f>SUM(N10:N55)</f>
        <v>1227</v>
      </c>
      <c r="O56" s="71">
        <f>IFERROR(M56/N56," ")</f>
        <v>0.33985330073349634</v>
      </c>
      <c r="P56" s="69">
        <f>SUM(P10:P55)</f>
        <v>87</v>
      </c>
      <c r="Q56" s="70">
        <f>SUM(Q10:Q55)</f>
        <v>478</v>
      </c>
      <c r="R56" s="71">
        <f>IFERROR(P56/Q56," ")</f>
        <v>0.18200836820083682</v>
      </c>
      <c r="S56" s="69">
        <f>SUM(S10:S55)</f>
        <v>535</v>
      </c>
      <c r="T56" s="70">
        <f>SUM(T10:T55)</f>
        <v>621</v>
      </c>
      <c r="U56" s="71">
        <f>IFERROR(S56/T56," ")</f>
        <v>0.8615136876006442</v>
      </c>
      <c r="V56" s="69">
        <f>SUM(V10:V55)</f>
        <v>572</v>
      </c>
      <c r="W56" s="70">
        <f>SUM(W10:W55)</f>
        <v>545</v>
      </c>
      <c r="X56" s="71">
        <f>IFERROR(V56/W56," ")</f>
        <v>1.0495412844036698</v>
      </c>
      <c r="Y56" s="69">
        <f>SUM(Y10:Y55)</f>
        <v>6449</v>
      </c>
      <c r="Z56" s="70">
        <f>SUM(Z10:Z55)</f>
        <v>10510</v>
      </c>
      <c r="AA56" s="71">
        <f>IFERROR(Y56/Z56," ")</f>
        <v>0.6136060894386299</v>
      </c>
    </row>
    <row r="57" ht="18.75" customHeight="1" spans="6:27" x14ac:dyDescent="0.25">
      <c r="F57" s="72" t="s">
        <v>52</v>
      </c>
      <c r="G57" s="73">
        <f>IFERROR(G56/10," ")</f>
        <v>371</v>
      </c>
      <c r="H57" s="73">
        <f>IFERROR(H56/10," ")</f>
        <v>613.8</v>
      </c>
      <c r="I57" s="74">
        <f>IFERROR(G57/H57," ")</f>
        <v>0.6044314108830238</v>
      </c>
      <c r="J57" s="73">
        <f>IFERROR(J56/10," ")</f>
        <v>112.8</v>
      </c>
      <c r="K57" s="73">
        <f>IFERROR(K56/10," ")</f>
        <v>150.1</v>
      </c>
      <c r="L57" s="74">
        <f>IFERROR(J57/K57," ")</f>
        <v>0.7514990006662225</v>
      </c>
      <c r="M57" s="73">
        <f>IFERROR(M56/10," ")</f>
        <v>41.7</v>
      </c>
      <c r="N57" s="73">
        <f>IFERROR(N56/10," ")</f>
        <v>122.7</v>
      </c>
      <c r="O57" s="74">
        <f>IFERROR(M57/N57," ")</f>
        <v>0.33985330073349634</v>
      </c>
      <c r="P57" s="73">
        <f>IFERROR(P56/10," ")</f>
        <v>8.7</v>
      </c>
      <c r="Q57" s="73">
        <f>IFERROR(Q56/10," ")</f>
        <v>47.8</v>
      </c>
      <c r="R57" s="74">
        <f>IFERROR(P57/Q57," ")</f>
        <v>0.18200836820083682</v>
      </c>
      <c r="S57" s="73">
        <f>IFERROR(S56/10," ")</f>
        <v>53.5</v>
      </c>
      <c r="T57" s="73">
        <f>IFERROR(T56/10," ")</f>
        <v>62.1</v>
      </c>
      <c r="U57" s="74">
        <f>IFERROR(S57/T57," ")</f>
        <v>0.8615136876006442</v>
      </c>
      <c r="V57" s="73">
        <f>IFERROR(V56/10," ")</f>
        <v>57.2</v>
      </c>
      <c r="W57" s="73">
        <f>IFERROR(W56/10," ")</f>
        <v>54.5</v>
      </c>
      <c r="X57" s="74">
        <f>IFERROR(V57/W57," ")</f>
        <v>1.0495412844036698</v>
      </c>
      <c r="Y57" s="73">
        <f>IFERROR(Y56/10," ")</f>
        <v>644.9</v>
      </c>
      <c r="Z57" s="73">
        <f>IFERROR(Z56/10," ")</f>
        <v>1051</v>
      </c>
      <c r="AA57" s="74">
        <f>IFERROR(Y57/Z57," ")</f>
        <v>0.6136060894386299</v>
      </c>
    </row>
    <row r="58" ht="15.75" customHeight="1" spans="3:12" x14ac:dyDescent="0.25">
      <c r="C58" s="63"/>
      <c r="D58" s="63"/>
      <c r="E58" s="63"/>
      <c r="F58" s="63"/>
      <c r="I58" s="75"/>
      <c r="L58" s="75"/>
    </row>
    <row r="59" spans="9:12" x14ac:dyDescent="0.25">
      <c r="I59" s="75"/>
      <c r="L59" s="75"/>
    </row>
    <row r="60" spans="9:12" x14ac:dyDescent="0.25">
      <c r="I60" s="75"/>
      <c r="L60" s="75"/>
    </row>
    <row r="61" spans="9:12" x14ac:dyDescent="0.25">
      <c r="I61" s="75"/>
      <c r="L61" s="75"/>
    </row>
    <row r="62" spans="9:12" x14ac:dyDescent="0.25">
      <c r="I62" s="75"/>
      <c r="L62" s="75"/>
    </row>
    <row r="63" spans="9:12" x14ac:dyDescent="0.25">
      <c r="I63" s="75"/>
      <c r="L63" s="75"/>
    </row>
    <row r="64" spans="9:12" x14ac:dyDescent="0.25">
      <c r="I64" s="75"/>
      <c r="L64" s="75"/>
    </row>
    <row r="65" spans="9:12" x14ac:dyDescent="0.25">
      <c r="I65" s="75"/>
      <c r="L65" s="75"/>
    </row>
    <row r="66" spans="9:12" x14ac:dyDescent="0.25">
      <c r="I66" s="75"/>
      <c r="L66" s="75"/>
    </row>
    <row r="67" spans="9:12" x14ac:dyDescent="0.25">
      <c r="I67" s="75"/>
      <c r="L67" s="75"/>
    </row>
    <row r="68" spans="9:12" x14ac:dyDescent="0.25">
      <c r="I68" s="75"/>
      <c r="L68" s="75"/>
    </row>
    <row r="69" spans="9:12" x14ac:dyDescent="0.25">
      <c r="I69" s="75"/>
      <c r="L69" s="75"/>
    </row>
    <row r="70" spans="9:12" x14ac:dyDescent="0.25">
      <c r="I70" s="75"/>
      <c r="L70" s="75"/>
    </row>
    <row r="71" spans="9:12" x14ac:dyDescent="0.25">
      <c r="I71" s="75"/>
      <c r="L71" s="75"/>
    </row>
    <row r="72" spans="9:12" x14ac:dyDescent="0.25">
      <c r="I72" s="75"/>
      <c r="L72" s="75"/>
    </row>
    <row r="73" spans="9:12" x14ac:dyDescent="0.25">
      <c r="I73" s="75"/>
      <c r="L73" s="75"/>
    </row>
    <row r="74" spans="9:12" x14ac:dyDescent="0.25">
      <c r="I74" s="75"/>
      <c r="L74" s="75"/>
    </row>
    <row r="75" spans="9:12" x14ac:dyDescent="0.25">
      <c r="I75" s="75"/>
      <c r="L75" s="75"/>
    </row>
    <row r="76" spans="9:12" x14ac:dyDescent="0.25">
      <c r="I76" s="75"/>
      <c r="L76" s="75"/>
    </row>
    <row r="77" spans="9:12" x14ac:dyDescent="0.25">
      <c r="I77" s="75"/>
      <c r="L77" s="75"/>
    </row>
    <row r="78" spans="9:12" x14ac:dyDescent="0.25">
      <c r="I78" s="75"/>
      <c r="L78" s="75"/>
    </row>
    <row r="79" spans="9:12" x14ac:dyDescent="0.25">
      <c r="I79" s="75"/>
      <c r="L79" s="75"/>
    </row>
  </sheetData>
  <mergeCells count="32">
    <mergeCell ref="A1:I1"/>
    <mergeCell ref="A2:I2"/>
    <mergeCell ref="A3:I3"/>
    <mergeCell ref="A4:I4"/>
    <mergeCell ref="A5:I5"/>
    <mergeCell ref="A8:B9"/>
    <mergeCell ref="C8:F9"/>
    <mergeCell ref="G8:I8"/>
    <mergeCell ref="J8:L8"/>
    <mergeCell ref="M8:O8"/>
    <mergeCell ref="P8:R8"/>
    <mergeCell ref="S8:U8"/>
    <mergeCell ref="V8:X8"/>
    <mergeCell ref="Y8:AA8"/>
    <mergeCell ref="C10:E14"/>
    <mergeCell ref="A10:A56"/>
    <mergeCell ref="B10:B24"/>
    <mergeCell ref="C15:E19"/>
    <mergeCell ref="C20:E24"/>
    <mergeCell ref="C25:E26"/>
    <mergeCell ref="B25:B55"/>
    <mergeCell ref="C27:E29"/>
    <mergeCell ref="C30:E32"/>
    <mergeCell ref="C33:E35"/>
    <mergeCell ref="C36:E38"/>
    <mergeCell ref="C39:E41"/>
    <mergeCell ref="C42:E44"/>
    <mergeCell ref="C45:E46"/>
    <mergeCell ref="C47:E49"/>
    <mergeCell ref="C50:E52"/>
    <mergeCell ref="C53:E55"/>
    <mergeCell ref="B56:F56"/>
  </mergeCells>
  <conditionalFormatting sqref="I10:I56">
    <cfRule type="expression" dxfId="0" priority="1">
      <formula>AND(ISNUMBER(I10),I10&gt;1)</formula>
    </cfRule>
    <cfRule type="expression" dxfId="1" priority="2">
      <formula>AND(ISNUMBER(I10),I10&gt;=0.7,I10&lt;=1)</formula>
    </cfRule>
    <cfRule type="expression" dxfId="2" priority="3">
      <formula>AND(ISNUMBER(I10),I10&gt;=0.4,I10&lt;0.7)</formula>
    </cfRule>
    <cfRule type="expression" dxfId="3" priority="4">
      <formula>AND(ISNUMBER(I10),I10&lt;0.4)</formula>
    </cfRule>
  </conditionalFormatting>
  <conditionalFormatting sqref="L10:L56">
    <cfRule type="expression" dxfId="4" priority="1">
      <formula>AND(ISNUMBER(L10),L10&gt;1)</formula>
    </cfRule>
    <cfRule type="expression" dxfId="5" priority="2">
      <formula>AND(ISNUMBER(L10),L10&gt;=0.7,L10&lt;=1)</formula>
    </cfRule>
    <cfRule type="expression" dxfId="6" priority="3">
      <formula>AND(ISNUMBER(L10),L10&gt;=0.4,L10&lt;0.7)</formula>
    </cfRule>
    <cfRule type="expression" dxfId="7" priority="4">
      <formula>AND(ISNUMBER(L10),L10&lt;0.4)</formula>
    </cfRule>
  </conditionalFormatting>
  <conditionalFormatting sqref="O10:O56">
    <cfRule type="expression" dxfId="8" priority="1">
      <formula>AND(ISNUMBER(O10),O10&gt;1)</formula>
    </cfRule>
    <cfRule type="expression" dxfId="9" priority="2">
      <formula>AND(ISNUMBER(O10),O10&gt;=0.7,O10&lt;=1)</formula>
    </cfRule>
    <cfRule type="expression" dxfId="10" priority="3">
      <formula>AND(ISNUMBER(O10),O10&gt;=0.4,O10&lt;0.7)</formula>
    </cfRule>
    <cfRule type="expression" dxfId="11" priority="4">
      <formula>AND(ISNUMBER(O10),O10&lt;0.4)</formula>
    </cfRule>
  </conditionalFormatting>
  <conditionalFormatting sqref="R10:R56">
    <cfRule type="expression" dxfId="12" priority="1">
      <formula>AND(ISNUMBER(R10),R10&gt;1)</formula>
    </cfRule>
    <cfRule type="expression" dxfId="13" priority="2">
      <formula>AND(ISNUMBER(R10),R10&gt;=0.7,R10&lt;=1)</formula>
    </cfRule>
    <cfRule type="expression" dxfId="14" priority="3">
      <formula>AND(ISNUMBER(R10),R10&gt;=0.4,R10&lt;0.7)</formula>
    </cfRule>
    <cfRule type="expression" dxfId="15" priority="4">
      <formula>AND(ISNUMBER(R10),R10&lt;0.4)</formula>
    </cfRule>
  </conditionalFormatting>
  <conditionalFormatting sqref="U10:U56">
    <cfRule type="expression" dxfId="16" priority="1">
      <formula>AND(ISNUMBER(U10),U10&gt;1)</formula>
    </cfRule>
    <cfRule type="expression" dxfId="17" priority="2">
      <formula>AND(ISNUMBER(U10),U10&gt;=0.7,U10&lt;=1)</formula>
    </cfRule>
    <cfRule type="expression" dxfId="18" priority="3">
      <formula>AND(ISNUMBER(U10),U10&gt;=0.4,U10&lt;0.7)</formula>
    </cfRule>
    <cfRule type="expression" dxfId="19" priority="4">
      <formula>AND(ISNUMBER(U10),U10&lt;0.4)</formula>
    </cfRule>
  </conditionalFormatting>
  <conditionalFormatting sqref="X10:X56">
    <cfRule type="expression" dxfId="20" priority="1">
      <formula>AND(ISNUMBER(X10),X10&gt;1)</formula>
    </cfRule>
    <cfRule type="expression" dxfId="21" priority="2">
      <formula>AND(ISNUMBER(X10),X10&gt;=0.7,X10&lt;=1)</formula>
    </cfRule>
    <cfRule type="expression" dxfId="22" priority="3">
      <formula>AND(ISNUMBER(X10),X10&gt;=0.4,X10&lt;0.7)</formula>
    </cfRule>
    <cfRule type="expression" dxfId="23" priority="4">
      <formula>AND(ISNUMBER(X10),X10&lt;0.4)</formula>
    </cfRule>
  </conditionalFormatting>
  <conditionalFormatting sqref="AA10:AA56">
    <cfRule type="expression" dxfId="24" priority="1">
      <formula>AND(ISNUMBER(AA10),AA10&gt;1)</formula>
    </cfRule>
    <cfRule type="expression" dxfId="25" priority="2">
      <formula>AND(ISNUMBER(AA10),AA10&gt;=0.7,AA10&lt;=1)</formula>
    </cfRule>
    <cfRule type="expression" dxfId="26" priority="3">
      <formula>AND(ISNUMBER(AA10),AA10&gt;=0.4,AA10&lt;0.7)</formula>
    </cfRule>
    <cfRule type="expression" dxfId="27" priority="4">
      <formula>AND(ISNUMBER(AA10),AA10&lt;0.4)</formula>
    </cfRule>
  </conditionalFormatting>
  <printOptions horizontalCentered="1" verticalCentered="1"/>
  <pageMargins left="0" right="0" top="0" bottom="0" header="0" footer="0"/>
  <pageSetup orientation="landscape" horizontalDpi="4294967295" verticalDpi="4294967295" scale="46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 DE META-LOGRO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2026-10-17T00:09:31Z</dcterms:modified>
</cp:coreProperties>
</file>