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020"/>
  </bookViews>
  <sheets>
    <sheet sheetId="1" name="ANÁLIS DE META-LOGRO" state="visible" r:id="rId4"/>
    <sheet sheetId="2" name="OCTUBRE" state="visible" r:id="rId5"/>
    <sheet sheetId="8" name="NOVIEMBRE" state="visible" r:id="rId6"/>
    <sheet sheetId="9" name="DICIEMBRE" state="visible" r:id="rId7"/>
    <sheet sheetId="10" name="ENERO" state="visible" r:id="rId8"/>
    <sheet sheetId="11" name="FEBRERO" state="visible" r:id="rId9"/>
    <sheet sheetId="12" name="MARZO" state="visible" r:id="rId10"/>
    <sheet sheetId="14" name="ABRIL" state="visible" r:id="rId11"/>
  </sheets>
  <definedNames>
    <definedName name="_xlnm.Print_Area" localSheetId="0">'ANÁLIS DE META-LOGRO'!$A1:$K56</definedName>
    <definedName name="_xlnm.Print_Titles" localSheetId="0">'ANÁLIS DE META-LOGRO'!$B:$F</definedName>
    <definedName name="_xlnm.Print_Area" localSheetId="1">'OCTUBRE'!$A1:$L54</definedName>
    <definedName name="_xlnm.Print_Titles" localSheetId="1">'OCTUBRE'!$B:$F</definedName>
    <definedName name="_xlnm.Print_Area" localSheetId="2">'NOVIEMBRE'!$A1:$L54</definedName>
    <definedName name="_xlnm.Print_Titles" localSheetId="2">'NOVIEMBRE'!$B:$F</definedName>
    <definedName name="_xlnm.Print_Area" localSheetId="3">'DICIEMBRE'!$A1:$L54</definedName>
    <definedName name="_xlnm.Print_Titles" localSheetId="3">'DICIEMBRE'!$B:$F</definedName>
    <definedName name="_xlnm.Print_Area" localSheetId="4">'ENERO'!$A1:$L54</definedName>
    <definedName name="_xlnm.Print_Titles" localSheetId="4">'ENERO'!$B:$F</definedName>
    <definedName name="_xlnm.Print_Area" localSheetId="5">'FEBRERO'!$A1:$L54</definedName>
    <definedName name="_xlnm.Print_Titles" localSheetId="5">'FEBRERO'!$B:$F</definedName>
    <definedName name="_xlnm.Print_Area" localSheetId="6">'MARZO'!$A1:$L54</definedName>
    <definedName name="_xlnm.Print_Titles" localSheetId="6">'MARZO'!$B:$F</definedName>
    <definedName name="_xlnm.Print_Area" localSheetId="7">'ABRIL'!$A1:$L54</definedName>
    <definedName name="_xlnm.Print_Titles" localSheetId="7">'ABRIL'!$B:$F</definedName>
  </definedNames>
  <calcPr calcId="171027" fullCalcOnLoad="1"/>
</workbook>
</file>

<file path=xl/sharedStrings.xml><?xml version="1.0" encoding="utf-8"?>
<sst xmlns="http://schemas.openxmlformats.org/spreadsheetml/2006/main" count="615" uniqueCount="60">
  <si>
    <t>Subsecretaria de Prevención y Promoción de la Salud</t>
  </si>
  <si>
    <t>Centro Nacional para la Salud de la Infancia y la Adolescencia</t>
  </si>
  <si>
    <t>Programa de Vacunación Universal</t>
  </si>
  <si>
    <t>Meta-Logro de Vacuna Anti Influenza Estacional Temporada Invernal 2026-2027</t>
  </si>
  <si>
    <t>CS JOFRITO DE PRUEBA (QTSSA000000)</t>
  </si>
  <si>
    <t>Población</t>
  </si>
  <si>
    <t xml:space="preserve"> DOSIS / GRUPO POBLACIONAL</t>
  </si>
  <si>
    <t>LOGRO</t>
  </si>
  <si>
    <t>META</t>
  </si>
  <si>
    <t>%</t>
  </si>
  <si>
    <t>Barra de avance</t>
  </si>
  <si>
    <t>225 Aplicación de Antiinfluenza Estacional</t>
  </si>
  <si>
    <t>Población blanco</t>
  </si>
  <si>
    <t>Primera dosis</t>
  </si>
  <si>
    <t>6 a 11 meses</t>
  </si>
  <si>
    <t xml:space="preserve">12 a 23 meses </t>
  </si>
  <si>
    <t xml:space="preserve">24 a 35 meses </t>
  </si>
  <si>
    <t>36 a 47 meses</t>
  </si>
  <si>
    <t>48 a 59 meses</t>
  </si>
  <si>
    <t>Segunda dosis</t>
  </si>
  <si>
    <t xml:space="preserve">7 a 11 meses </t>
  </si>
  <si>
    <t xml:space="preserve">12 a 23 meses  </t>
  </si>
  <si>
    <t>24 a 35 meses</t>
  </si>
  <si>
    <t xml:space="preserve">36 a 47 meses </t>
  </si>
  <si>
    <t xml:space="preserve">48 a 59 meses </t>
  </si>
  <si>
    <t>Revacunación</t>
  </si>
  <si>
    <t>18 a 23 meses</t>
  </si>
  <si>
    <t>60  años y más</t>
  </si>
  <si>
    <t>Población de riesgo de 5 a 59 años</t>
  </si>
  <si>
    <t>Grupos de riesgo</t>
  </si>
  <si>
    <t>EMBARAZADAS</t>
  </si>
  <si>
    <t>PERSONAL DE SALUD EN UNIDADES MÉDICAS</t>
  </si>
  <si>
    <t>Personas que viven con VIH/SIDA</t>
  </si>
  <si>
    <t>5 a 9 años</t>
  </si>
  <si>
    <t>10 a 19 años</t>
  </si>
  <si>
    <t>20 a 59 años</t>
  </si>
  <si>
    <t>Diabetes mellitus</t>
  </si>
  <si>
    <t>Obesidad mórbida</t>
  </si>
  <si>
    <t>Personas con cardiopatías agudas o crónicas</t>
  </si>
  <si>
    <t>Personas con enfermedad pulmonar crónica, incluye EPOC y asma</t>
  </si>
  <si>
    <t>Personas con cáncer</t>
  </si>
  <si>
    <t>Enfermedades  cardiacas o pulmonares congénitas, u otros padecimientos crónicos que requieran consumo prolongado de salicilatos</t>
  </si>
  <si>
    <t>Personas con insuficiencia renal</t>
  </si>
  <si>
    <t xml:space="preserve">Personas con inmunosupresión adquirida por enfermedad o tratamiento, excepto VIH /SIDA </t>
  </si>
  <si>
    <t>Otros grupos</t>
  </si>
  <si>
    <t>Total de dosis aplicadas</t>
  </si>
  <si>
    <t>Frascos</t>
  </si>
  <si>
    <t>Temporada Invernal 2026-2027 · OCTUBRE</t>
  </si>
  <si>
    <t>SEMANA 1</t>
  </si>
  <si>
    <t>SEMANA 2</t>
  </si>
  <si>
    <t>SEMANA 3</t>
  </si>
  <si>
    <t>SEMANA 4</t>
  </si>
  <si>
    <t>SEMANA 5</t>
  </si>
  <si>
    <t>TOTAL</t>
  </si>
  <si>
    <t>Temporada Invernal 2026-2027 · NOVIEMBRE</t>
  </si>
  <si>
    <t>Temporada Invernal 2026-2027 · DICIEMBRE</t>
  </si>
  <si>
    <t>Temporada Invernal 2026-2027 · ENERO</t>
  </si>
  <si>
    <t>Temporada Invernal 2026-2027 · FEBRERO</t>
  </si>
  <si>
    <t>Temporada Invernal 2026-2027 · MARZO</t>
  </si>
  <si>
    <t>Temporada Invernal 2026-2027 ·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</si>
</sst>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;;;"/>
    <numFmt numFmtId="165" formatCode="#,##0_ ;[Red]-#,##0 "/>
    <numFmt numFmtId="166" formatCode="#,##0_ ;-#,##0 "/>
  </numFmts>
  <fonts count="25" x14ac:knownFonts="1">
    <font>
      <color theme="1"/>
      <family val="2"/>
      <scheme val="minor"/>
      <sz val="11"/>
      <name val="Calibri"/>
    </font>
    <font>
      <color indexed="8"/>
      <family val="2"/>
      <sz val="10"/>
      <name val="Arial"/>
    </font>
    <font>
      <b/>
      <color indexed="8"/>
      <family val="3"/>
      <sz val="16"/>
      <name val="Patria"/>
    </font>
    <font>
      <b/>
      <color indexed="8"/>
      <family val="2"/>
      <sz val="14"/>
      <name val="Arial"/>
    </font>
    <font>
      <b/>
      <color indexed="8"/>
      <family val="2"/>
      <sz val="12"/>
      <name val="Arial"/>
    </font>
    <font>
      <color indexed="8"/>
      <family val="2"/>
      <sz val="11"/>
      <name val="Arial"/>
    </font>
    <font>
      <b/>
      <color indexed="8"/>
      <family val="2"/>
      <sz val="11"/>
      <name val="Arial"/>
    </font>
    <font>
      <color indexed="8"/>
      <family val="2"/>
      <sz val="12"/>
      <name val="Arial"/>
    </font>
    <font>
      <b/>
      <color indexed="8"/>
      <sz val="12"/>
      <name val="Montserrat"/>
    </font>
    <font>
      <color theme="1"/>
      <sz val="11"/>
      <name val="Montserrat"/>
    </font>
    <font>
      <b/>
      <color theme="0"/>
      <sz val="11"/>
      <name val="Montserrat"/>
    </font>
    <font>
      <b/>
      <color theme="1"/>
      <sz val="11"/>
      <name val="Montserrat"/>
    </font>
    <font>
      <b/>
      <color indexed="8"/>
      <sz val="11"/>
      <name val="Montserrat"/>
    </font>
    <font>
      <b/>
      <sz val="11"/>
      <name val="Montserrat"/>
    </font>
    <font>
      <sz val="11"/>
      <name val="Montserrat"/>
    </font>
    <font>
      <b/>
      <color rgb="FFFF0000"/>
      <sz val="12"/>
      <name val="Montserrat"/>
    </font>
    <font>
      <b/>
      <i/>
      <color theme="1"/>
      <family val="2"/>
      <scheme val="minor"/>
      <sz val="12"/>
      <name val="Calibri"/>
    </font>
    <font>
      <color indexed="8"/>
      <sz val="10"/>
      <name val="Montserrat"/>
    </font>
    <font>
      <color indexed="8"/>
      <sz val="16"/>
      <name val="Montserrat"/>
    </font>
    <font>
      <b/>
      <color indexed="8"/>
      <sz val="14"/>
      <name val="Montserrat"/>
    </font>
    <font>
      <b/>
      <color indexed="8"/>
      <family val="3"/>
      <sz val="14"/>
      <name val="Patria"/>
    </font>
    <font>
      <b/>
      <color indexed="8"/>
      <sz val="16"/>
      <name val="Montserrat"/>
    </font>
    <font>
      <color indexed="8"/>
      <sz val="11"/>
      <name val="Montserrat"/>
    </font>
    <font>
      <color indexed="8"/>
      <sz val="12"/>
      <name val="Montserrat"/>
    </font>
    <font>
      <b/>
      <i/>
      <color theme="1"/>
      <sz val="12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633E55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3C3C3"/>
        <bgColor indexed="64"/>
      </patternFill>
    </fill>
    <fill>
      <patternFill patternType="lightUp">
        <fgColor rgb="FFFF0000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Protection="1">
      <protection hidden="1"/>
    </xf>
    <xf numFmtId="0" fontId="6" fillId="0" borderId="0" xfId="0" applyFont="1" applyAlignment="1" applyProtection="1">
      <alignment vertical="center" wrapText="1"/>
      <protection hidden="1"/>
    </xf>
    <xf numFmtId="0" fontId="7" fillId="0" borderId="0" xfId="0" applyFont="1" applyProtection="1">
      <protection hidden="1"/>
    </xf>
    <xf numFmtId="0" fontId="8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9" fillId="0" borderId="0" xfId="0" applyFont="1" applyProtection="1">
      <protection hidden="1"/>
    </xf>
    <xf numFmtId="0" fontId="10" fillId="2" borderId="1" xfId="0" applyFont="1" applyFill="1" applyBorder="1" applyAlignment="1" applyProtection="1">
      <alignment horizontal="center" vertical="center" wrapText="1"/>
      <protection hidden="1"/>
    </xf>
    <xf numFmtId="0" fontId="10" fillId="2" borderId="2" xfId="0" applyFont="1" applyFill="1" applyBorder="1" applyAlignment="1" applyProtection="1">
      <alignment horizontal="center" vertical="center" wrapText="1"/>
      <protection hidden="1"/>
    </xf>
    <xf numFmtId="0" fontId="10" fillId="2" borderId="3" xfId="0" applyFont="1" applyFill="1" applyBorder="1" applyAlignment="1" applyProtection="1">
      <alignment horizontal="center" vertical="center" wrapText="1"/>
      <protection hidden="1"/>
    </xf>
    <xf numFmtId="0" fontId="10" fillId="2" borderId="4" xfId="0" applyFont="1" applyFill="1" applyBorder="1" applyAlignment="1" applyProtection="1">
      <alignment horizontal="center" vertical="center" wrapText="1"/>
      <protection hidden="1"/>
    </xf>
    <xf numFmtId="17" fontId="10" fillId="2" borderId="4" xfId="0" applyNumberFormat="1" applyFont="1" applyFill="1" applyBorder="1" applyAlignment="1" applyProtection="1">
      <alignment horizontal="center" vertical="center" wrapText="1"/>
      <protection hidden="1"/>
    </xf>
    <xf numFmtId="16" fontId="9" fillId="0" borderId="0" xfId="0" applyNumberFormat="1" applyFont="1" applyAlignment="1" applyProtection="1">
      <alignment horizontal="center"/>
      <protection hidden="1"/>
    </xf>
    <xf numFmtId="0" fontId="11" fillId="0" borderId="4" xfId="0" applyFont="1" applyBorder="1" applyAlignment="1" applyProtection="1">
      <alignment horizontal="center" vertical="center" wrapText="1" textRotation="90"/>
      <protection hidden="1"/>
    </xf>
    <xf numFmtId="0" fontId="12" fillId="0" borderId="4" xfId="0" applyFont="1" applyBorder="1" applyAlignment="1" applyProtection="1">
      <alignment horizontal="center" vertical="center" wrapText="1" textRotation="90"/>
      <protection hidden="1"/>
    </xf>
    <xf numFmtId="0" fontId="13" fillId="0" borderId="5" xfId="0" applyFont="1" applyBorder="1" applyAlignment="1" applyProtection="1">
      <alignment horizontal="center" vertical="center" wrapText="1"/>
      <protection hidden="1"/>
    </xf>
    <xf numFmtId="0" fontId="13" fillId="0" borderId="6" xfId="0" applyFont="1" applyBorder="1" applyAlignment="1" applyProtection="1">
      <alignment horizontal="center" vertical="center" wrapText="1"/>
      <protection hidden="1"/>
    </xf>
    <xf numFmtId="0" fontId="13" fillId="0" borderId="7" xfId="0" applyFont="1" applyBorder="1" applyAlignment="1" applyProtection="1">
      <alignment horizontal="center" vertical="center" wrapText="1"/>
      <protection hidden="1"/>
    </xf>
    <xf numFmtId="0" fontId="13" fillId="0" borderId="8" xfId="0" applyFont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center" vertical="center" wrapText="1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9" fontId="13" fillId="0" borderId="9" xfId="0" applyNumberFormat="1" applyFont="1" applyBorder="1" applyAlignment="1" applyProtection="1">
      <alignment horizontal="center" vertical="center"/>
      <protection hidden="1"/>
    </xf>
    <xf numFmtId="164" fontId="0" fillId="0" borderId="11" xfId="0" applyNumberFormat="1" applyBorder="1"/>
    <xf numFmtId="0" fontId="15" fillId="4" borderId="0" xfId="0" applyFont="1" applyFill="1" applyAlignment="1" applyProtection="1">
      <alignment horizontal="center" vertical="center"/>
      <protection hidden="1"/>
    </xf>
    <xf numFmtId="1" fontId="9" fillId="0" borderId="0" xfId="0" applyNumberFormat="1" applyFont="1" applyProtection="1">
      <protection hidden="1"/>
    </xf>
    <xf numFmtId="0" fontId="13" fillId="0" borderId="12" xfId="0" applyFont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left" vertical="center" wrapText="1"/>
      <protection hidden="1"/>
    </xf>
    <xf numFmtId="0" fontId="14" fillId="3" borderId="15" xfId="0" applyFont="1" applyFill="1" applyBorder="1" applyAlignment="1" applyProtection="1">
      <alignment horizontal="center" vertical="center" wrapText="1"/>
      <protection hidden="1"/>
    </xf>
    <xf numFmtId="0" fontId="13" fillId="0" borderId="16" xfId="0" applyFont="1" applyBorder="1" applyAlignment="1" applyProtection="1">
      <alignment horizontal="center" vertical="center" wrapText="1"/>
      <protection hidden="1"/>
    </xf>
    <xf numFmtId="9" fontId="13" fillId="0" borderId="15" xfId="0" applyNumberFormat="1" applyFont="1" applyBorder="1" applyAlignment="1" applyProtection="1">
      <alignment horizontal="center" vertical="center"/>
      <protection hidden="1"/>
    </xf>
    <xf numFmtId="164" fontId="0" fillId="0" borderId="17" xfId="0" applyNumberFormat="1" applyBorder="1"/>
    <xf numFmtId="0" fontId="13" fillId="0" borderId="18" xfId="0" applyFont="1" applyBorder="1" applyAlignment="1" applyProtection="1">
      <alignment horizontal="left" vertical="center" wrapText="1"/>
      <protection hidden="1"/>
    </xf>
    <xf numFmtId="0" fontId="13" fillId="0" borderId="19" xfId="0" applyFont="1" applyBorder="1" applyAlignment="1" applyProtection="1">
      <alignment horizontal="center" vertical="center" wrapText="1"/>
      <protection hidden="1"/>
    </xf>
    <xf numFmtId="0" fontId="13" fillId="0" borderId="20" xfId="0" applyFont="1" applyBorder="1" applyAlignment="1" applyProtection="1">
      <alignment horizontal="center" vertical="center" wrapText="1"/>
      <protection hidden="1"/>
    </xf>
    <xf numFmtId="0" fontId="13" fillId="0" borderId="21" xfId="0" applyFont="1" applyBorder="1" applyAlignment="1" applyProtection="1">
      <alignment horizontal="center" vertical="center" wrapText="1"/>
      <protection hidden="1"/>
    </xf>
    <xf numFmtId="0" fontId="13" fillId="0" borderId="22" xfId="0" applyFont="1" applyBorder="1" applyAlignment="1" applyProtection="1">
      <alignment horizontal="left" vertical="center" wrapText="1"/>
      <protection hidden="1"/>
    </xf>
    <xf numFmtId="0" fontId="14" fillId="3" borderId="23" xfId="0" applyFont="1" applyFill="1" applyBorder="1" applyAlignment="1" applyProtection="1">
      <alignment horizontal="center" vertical="center" wrapText="1"/>
      <protection hidden="1"/>
    </xf>
    <xf numFmtId="0" fontId="13" fillId="0" borderId="24" xfId="0" applyFont="1" applyBorder="1" applyAlignment="1" applyProtection="1">
      <alignment horizontal="center" vertical="center" wrapText="1"/>
      <protection hidden="1"/>
    </xf>
    <xf numFmtId="9" fontId="13" fillId="0" borderId="23" xfId="0" applyNumberFormat="1" applyFont="1" applyBorder="1" applyAlignment="1" applyProtection="1">
      <alignment horizontal="center" vertical="center"/>
      <protection hidden="1"/>
    </xf>
    <xf numFmtId="0" fontId="13" fillId="0" borderId="25" xfId="0" applyFont="1" applyBorder="1" applyAlignment="1" applyProtection="1">
      <alignment horizontal="center" vertical="center" wrapText="1"/>
      <protection hidden="1"/>
    </xf>
    <xf numFmtId="0" fontId="13" fillId="0" borderId="26" xfId="0" applyFont="1" applyBorder="1" applyAlignment="1" applyProtection="1">
      <alignment horizontal="center" vertical="center" wrapText="1"/>
      <protection hidden="1"/>
    </xf>
    <xf numFmtId="0" fontId="13" fillId="0" borderId="27" xfId="0" applyFont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vertical="center" wrapText="1"/>
      <protection hidden="1"/>
    </xf>
    <xf numFmtId="0" fontId="14" fillId="3" borderId="4" xfId="0" applyFont="1" applyFill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9" fontId="13" fillId="0" borderId="4" xfId="0" applyNumberFormat="1" applyFont="1" applyBorder="1" applyAlignment="1" applyProtection="1">
      <alignment horizontal="center" vertical="center"/>
      <protection hidden="1"/>
    </xf>
    <xf numFmtId="0" fontId="13" fillId="0" borderId="19" xfId="0" applyFont="1" applyBorder="1" applyAlignment="1" applyProtection="1">
      <alignment vertical="center" wrapText="1"/>
      <protection hidden="1"/>
    </xf>
    <xf numFmtId="0" fontId="13" fillId="0" borderId="28" xfId="0" applyFont="1" applyBorder="1" applyAlignment="1" applyProtection="1">
      <alignment horizontal="left" vertical="center" wrapText="1"/>
      <protection hidden="1"/>
    </xf>
    <xf numFmtId="0" fontId="13" fillId="0" borderId="29" xfId="0" applyFont="1" applyBorder="1" applyAlignment="1" applyProtection="1">
      <alignment horizontal="left" vertical="center" wrapText="1"/>
      <protection hidden="1"/>
    </xf>
    <xf numFmtId="0" fontId="13" fillId="0" borderId="30" xfId="0" applyFont="1" applyBorder="1" applyAlignment="1" applyProtection="1">
      <alignment horizontal="left" vertical="center" wrapText="1"/>
      <protection hidden="1"/>
    </xf>
    <xf numFmtId="0" fontId="13" fillId="0" borderId="31" xfId="0" applyFont="1" applyBorder="1" applyAlignment="1" applyProtection="1">
      <alignment horizontal="center" vertical="center" wrapText="1"/>
      <protection hidden="1"/>
    </xf>
    <xf numFmtId="0" fontId="13" fillId="0" borderId="32" xfId="0" applyFont="1" applyBorder="1" applyAlignment="1" applyProtection="1">
      <alignment horizontal="left" vertical="center" wrapText="1"/>
      <protection hidden="1"/>
    </xf>
    <xf numFmtId="0" fontId="13" fillId="0" borderId="33" xfId="0" applyFont="1" applyBorder="1" applyAlignment="1" applyProtection="1">
      <alignment horizontal="center" vertical="center" wrapText="1"/>
      <protection hidden="1"/>
    </xf>
    <xf numFmtId="3" fontId="11" fillId="0" borderId="0" xfId="0" applyNumberFormat="1" applyFont="1" applyAlignment="1" applyProtection="1">
      <alignment vertical="center"/>
      <protection hidden="1"/>
    </xf>
    <xf numFmtId="0" fontId="13" fillId="0" borderId="34" xfId="0" applyFont="1" applyBorder="1" applyAlignment="1" applyProtection="1">
      <alignment horizontal="center" vertical="center" wrapText="1"/>
      <protection hidden="1"/>
    </xf>
    <xf numFmtId="165" fontId="16" fillId="0" borderId="0" xfId="0" applyNumberFormat="1" applyFont="1" applyProtection="1">
      <protection hidden="1"/>
    </xf>
    <xf numFmtId="0" fontId="12" fillId="0" borderId="35" xfId="0" applyFont="1" applyBorder="1" applyAlignment="1" applyProtection="1">
      <alignment horizontal="center" vertical="center" wrapText="1" textRotation="90"/>
      <protection hidden="1"/>
    </xf>
    <xf numFmtId="9" fontId="13" fillId="0" borderId="36" xfId="0" applyNumberFormat="1" applyFont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0" fillId="2" borderId="3" xfId="0" applyFont="1" applyFill="1" applyBorder="1" applyAlignment="1" applyProtection="1">
      <alignment horizontal="center" vertical="center"/>
      <protection hidden="1"/>
    </xf>
    <xf numFmtId="0" fontId="10" fillId="2" borderId="2" xfId="0" applyFont="1" applyFill="1" applyBorder="1" applyAlignment="1" applyProtection="1">
      <alignment horizontal="center" vertical="center"/>
      <protection hidden="1"/>
    </xf>
    <xf numFmtId="166" fontId="10" fillId="2" borderId="4" xfId="0" applyNumberFormat="1" applyFont="1" applyFill="1" applyBorder="1" applyAlignment="1" applyProtection="1">
      <alignment horizontal="center" vertical="center"/>
      <protection hidden="1"/>
    </xf>
    <xf numFmtId="166" fontId="10" fillId="2" borderId="3" xfId="0" applyNumberFormat="1" applyFont="1" applyFill="1" applyBorder="1" applyAlignment="1" applyProtection="1">
      <alignment horizontal="center" vertical="center"/>
      <protection hidden="1"/>
    </xf>
    <xf numFmtId="9" fontId="10" fillId="2" borderId="1" xfId="0" applyNumberFormat="1" applyFont="1" applyFill="1" applyBorder="1" applyAlignment="1" applyProtection="1">
      <alignment horizontal="center" vertical="center"/>
      <protection hidden="1"/>
    </xf>
    <xf numFmtId="164" fontId="0" fillId="0" borderId="37" xfId="0" applyNumberFormat="1" applyBorder="1"/>
    <xf numFmtId="0" fontId="13" fillId="5" borderId="1" xfId="0" applyFont="1" applyFill="1" applyBorder="1" applyAlignment="1" applyProtection="1">
      <alignment horizontal="right"/>
      <protection hidden="1"/>
    </xf>
    <xf numFmtId="0" fontId="13" fillId="5" borderId="4" xfId="0" applyFont="1" applyFill="1" applyBorder="1" applyAlignment="1" applyProtection="1">
      <alignment horizontal="center" vertical="center"/>
      <protection hidden="1"/>
    </xf>
    <xf numFmtId="9" fontId="13" fillId="5" borderId="4" xfId="0" applyNumberFormat="1" applyFont="1" applyFill="1" applyBorder="1" applyAlignment="1" applyProtection="1">
      <alignment horizontal="center" vertical="center"/>
      <protection hidden="1"/>
    </xf>
    <xf numFmtId="3" fontId="0" fillId="0" borderId="0" xfId="0" applyNumberFormat="1" applyProtection="1">
      <protection hidden="1"/>
    </xf>
    <xf numFmtId="0" fontId="9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19" fillId="0" borderId="0" xfId="0" applyFont="1" applyProtection="1"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20" fillId="0" borderId="0" xfId="0" applyFont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23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4" xfId="0" applyFont="1" applyFill="1" applyBorder="1" applyAlignment="1" applyProtection="1">
      <alignment horizontal="center" vertical="center" wrapText="1"/>
      <protection locked="0"/>
    </xf>
    <xf numFmtId="17" fontId="10" fillId="2" borderId="4" xfId="0" applyNumberFormat="1" applyFont="1" applyFill="1" applyBorder="1" applyAlignment="1" applyProtection="1">
      <alignment horizontal="center" vertical="center" wrapText="1"/>
      <protection locked="0"/>
    </xf>
    <xf numFmtId="16" fontId="9" fillId="0" borderId="0" xfId="0" applyNumberFormat="1" applyFont="1" applyAlignment="1" applyProtection="1">
      <alignment horizontal="center"/>
      <protection locked="0"/>
    </xf>
    <xf numFmtId="16" fontId="9" fillId="0" borderId="0" xfId="0" applyNumberFormat="1" applyFont="1" applyProtection="1">
      <protection locked="0"/>
    </xf>
    <xf numFmtId="0" fontId="11" fillId="0" borderId="4" xfId="0" applyFont="1" applyBorder="1" applyAlignment="1" applyProtection="1">
      <alignment horizontal="center" vertical="center" wrapText="1" textRotation="90"/>
      <protection locked="0"/>
    </xf>
    <xf numFmtId="0" fontId="12" fillId="0" borderId="4" xfId="0" applyFont="1" applyBorder="1" applyAlignment="1" applyProtection="1">
      <alignment horizontal="center" vertical="center" wrapText="1" textRotation="90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166" fontId="13" fillId="6" borderId="9" xfId="0" applyNumberFormat="1" applyFont="1" applyFill="1" applyBorder="1" applyAlignment="1" applyProtection="1">
      <alignment horizontal="center"/>
      <protection hidden="1"/>
    </xf>
    <xf numFmtId="3" fontId="9" fillId="0" borderId="0" xfId="0" applyNumberFormat="1" applyFont="1" applyProtection="1">
      <protection locked="0"/>
    </xf>
    <xf numFmtId="1" fontId="9" fillId="0" borderId="0" xfId="0" applyNumberFormat="1" applyFont="1" applyProtection="1"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13" fillId="0" borderId="14" xfId="0" applyFont="1" applyBorder="1" applyAlignment="1" applyProtection="1">
      <alignment horizontal="left" vertical="center" wrapText="1"/>
      <protection locked="0"/>
    </xf>
    <xf numFmtId="0" fontId="14" fillId="0" borderId="38" xfId="0" applyFont="1" applyBorder="1" applyAlignment="1" applyProtection="1">
      <alignment horizontal="center" vertical="center" wrapText="1"/>
      <protection locked="0"/>
    </xf>
    <xf numFmtId="0" fontId="14" fillId="0" borderId="15" xfId="0" applyFont="1" applyBorder="1" applyAlignment="1" applyProtection="1">
      <alignment horizontal="center" vertical="center" wrapText="1"/>
      <protection locked="0"/>
    </xf>
    <xf numFmtId="166" fontId="13" fillId="6" borderId="15" xfId="0" applyNumberFormat="1" applyFont="1" applyFill="1" applyBorder="1" applyAlignment="1" applyProtection="1">
      <alignment horizontal="center"/>
      <protection hidden="1"/>
    </xf>
    <xf numFmtId="0" fontId="13" fillId="0" borderId="18" xfId="0" applyFont="1" applyBorder="1" applyAlignment="1" applyProtection="1">
      <alignment horizontal="left" vertical="center" wrapText="1"/>
      <protection locked="0"/>
    </xf>
    <xf numFmtId="0" fontId="13" fillId="0" borderId="19" xfId="0" applyFont="1" applyBorder="1" applyAlignment="1" applyProtection="1">
      <alignment horizontal="center" vertical="center" wrapText="1"/>
      <protection locked="0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22" xfId="0" applyFont="1" applyBorder="1" applyAlignment="1" applyProtection="1">
      <alignment horizontal="left" vertical="center" wrapText="1"/>
      <protection locked="0"/>
    </xf>
    <xf numFmtId="0" fontId="14" fillId="0" borderId="23" xfId="0" applyFont="1" applyBorder="1" applyAlignment="1" applyProtection="1">
      <alignment horizontal="center" vertical="center" wrapText="1"/>
      <protection locked="0"/>
    </xf>
    <xf numFmtId="166" fontId="13" fillId="6" borderId="23" xfId="0" applyNumberFormat="1" applyFont="1" applyFill="1" applyBorder="1" applyAlignment="1" applyProtection="1">
      <alignment horizontal="center"/>
      <protection hidden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38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4" fillId="7" borderId="23" xfId="0" applyFont="1" applyFill="1" applyBorder="1" applyAlignment="1">
      <alignment horizontal="center" vertical="center" wrapText="1"/>
    </xf>
    <xf numFmtId="0" fontId="13" fillId="0" borderId="25" xfId="0" applyFont="1" applyBorder="1" applyAlignment="1" applyProtection="1">
      <alignment horizontal="center" vertical="center" wrapText="1"/>
      <protection locked="0"/>
    </xf>
    <xf numFmtId="0" fontId="13" fillId="0" borderId="26" xfId="0" applyFont="1" applyBorder="1" applyAlignment="1" applyProtection="1">
      <alignment horizontal="center" vertical="center" wrapText="1"/>
      <protection locked="0"/>
    </xf>
    <xf numFmtId="0" fontId="13" fillId="0" borderId="27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166" fontId="13" fillId="6" borderId="4" xfId="0" applyNumberFormat="1" applyFont="1" applyFill="1" applyBorder="1" applyAlignment="1" applyProtection="1">
      <alignment horizontal="center"/>
      <protection hidden="1"/>
    </xf>
    <xf numFmtId="0" fontId="13" fillId="0" borderId="19" xfId="0" applyFont="1" applyBorder="1" applyAlignment="1" applyProtection="1">
      <alignment vertical="center" wrapText="1"/>
      <protection locked="0"/>
    </xf>
    <xf numFmtId="0" fontId="14" fillId="0" borderId="39" xfId="0" applyFont="1" applyBorder="1" applyAlignment="1" applyProtection="1">
      <alignment horizontal="center" vertical="center" wrapText="1"/>
      <protection locked="0"/>
    </xf>
    <xf numFmtId="0" fontId="13" fillId="0" borderId="28" xfId="0" applyFont="1" applyBorder="1" applyAlignment="1" applyProtection="1">
      <alignment horizontal="left" vertical="center" wrapText="1"/>
      <protection locked="0"/>
    </xf>
    <xf numFmtId="0" fontId="13" fillId="0" borderId="29" xfId="0" applyFont="1" applyBorder="1" applyAlignment="1" applyProtection="1">
      <alignment horizontal="left" vertical="center" wrapText="1"/>
      <protection locked="0"/>
    </xf>
    <xf numFmtId="0" fontId="13" fillId="0" borderId="30" xfId="0" applyFont="1" applyBorder="1" applyAlignment="1" applyProtection="1">
      <alignment horizontal="left" vertical="center" wrapText="1"/>
      <protection locked="0"/>
    </xf>
    <xf numFmtId="0" fontId="14" fillId="0" borderId="36" xfId="0" applyFont="1" applyBorder="1" applyAlignment="1" applyProtection="1">
      <alignment horizontal="center" vertical="center" wrapText="1"/>
      <protection locked="0"/>
    </xf>
    <xf numFmtId="0" fontId="13" fillId="0" borderId="32" xfId="0" applyFont="1" applyBorder="1" applyAlignment="1" applyProtection="1">
      <alignment horizontal="left" vertical="center" wrapText="1"/>
      <protection locked="0"/>
    </xf>
    <xf numFmtId="3" fontId="11" fillId="0" borderId="0" xfId="0" applyNumberFormat="1" applyFont="1" applyAlignment="1" applyProtection="1">
      <alignment vertical="center"/>
      <protection locked="0"/>
    </xf>
    <xf numFmtId="165" fontId="24" fillId="0" borderId="0" xfId="0" applyNumberFormat="1" applyFont="1" applyProtection="1">
      <protection locked="0"/>
    </xf>
    <xf numFmtId="0" fontId="12" fillId="0" borderId="35" xfId="0" applyFont="1" applyBorder="1" applyAlignment="1" applyProtection="1">
      <alignment horizontal="center" vertical="center" wrapText="1" textRotation="90"/>
      <protection locked="0"/>
    </xf>
    <xf numFmtId="0" fontId="14" fillId="7" borderId="36" xfId="0" applyFont="1" applyFill="1" applyBorder="1" applyAlignment="1">
      <alignment horizontal="center" vertical="center" wrapText="1"/>
    </xf>
    <xf numFmtId="166" fontId="13" fillId="6" borderId="36" xfId="0" applyNumberFormat="1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4">
    <dxf>
      <font>
        <color theme="0"/>
        <strike/>
      </font>
      <fill>
        <patternFill>
          <bgColor rgb="FFFF0000"/>
        </patternFill>
      </fill>
    </dxf>
    <dxf>
      <font>
        <color theme="9" tint="-0.499984740745262"/>
      </font>
      <fill>
        <patternFill>
          <bgColor theme="9" tint="0.7999816888943144"/>
        </patternFill>
      </fill>
    </dxf>
    <dxf>
      <font>
        <color rgb="FFB48900"/>
      </font>
      <fill>
        <patternFill>
          <bgColor rgb="FFFFFFB3"/>
        </patternFill>
      </fill>
    </dxf>
    <dxf>
      <font>
        <color rgb="FFC00000"/>
      </font>
      <fill>
        <patternFill>
          <bgColor theme="5" tint="0.79998168889431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1650998</xdr:colOff>
      <xdr:row>4</xdr:row>
      <xdr:rowOff>296330</xdr:rowOff>
    </xdr:from>
    <xdr:to>
      <xdr:col>8</xdr:col>
      <xdr:colOff>21165</xdr:colOff>
      <xdr:row>6</xdr:row>
      <xdr:rowOff>146940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539751</xdr:colOff>
      <xdr:row>5</xdr:row>
      <xdr:rowOff>31748</xdr:rowOff>
    </xdr:from>
    <xdr:to>
      <xdr:col>5</xdr:col>
      <xdr:colOff>1307692</xdr:colOff>
      <xdr:row>6</xdr:row>
      <xdr:rowOff>179898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2241"/>
  </sheetPr>
  <dimension ref="A1:S78"/>
  <sheetViews>
    <sheetView workbookViewId="0" showGridLines="0" zoomScale="90" zoomScaleNormal="90">
      <selection activeCell="H9" sqref="H9"/>
    </sheetView>
  </sheetViews>
  <sheetFormatPr defaultRowHeight="15" outlineLevelRow="0" outlineLevelCol="0" x14ac:dyDescent="0.25" defaultColWidth="11.42578125"/>
  <cols>
    <col min="1" max="1" width="10.42578125" style="1" customWidth="1"/>
    <col min="2" max="2" width="17.7109375" style="1" customWidth="1"/>
    <col min="3" max="3" width="10.7109375" style="1" customWidth="1"/>
    <col min="4" max="4" width="13.42578125" style="1" customWidth="1"/>
    <col min="5" max="5" width="25.140625" style="1" customWidth="1"/>
    <col min="6" max="6" width="26.140625" style="1" customWidth="1"/>
    <col min="7" max="7" width="18.85546875" style="1" customWidth="1"/>
    <col min="8" max="8" width="17.7109375" style="1" customWidth="1"/>
    <col min="9" max="9" width="20.7109375" style="1" customWidth="1"/>
    <col min="10" max="10" width="1.5703125" style="1" customWidth="1"/>
    <col min="11" max="11" width="24.42578125" style="1" customWidth="1"/>
    <col min="12" max="12" width="27.28515625" style="1" customWidth="1"/>
    <col min="13" max="13" width="12.42578125" style="1" customWidth="1"/>
    <col min="14" max="14" width="13.7109375" style="1" customWidth="1"/>
    <col min="15" max="16384" width="11.42578125" style="1" customWidth="1"/>
  </cols>
  <sheetData>
    <row r="1" ht="27.75" customHeight="1" spans="1:11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  <c r="K1" s="4"/>
    </row>
    <row r="2" ht="23.25" customHeight="1" spans="1:11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5"/>
      <c r="K2" s="5"/>
    </row>
    <row r="3" ht="23.25" customHeight="1" spans="1:11" s="2" customFormat="1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5"/>
      <c r="K3" s="5"/>
    </row>
    <row r="4" ht="23.25" customHeight="1" spans="1:11" s="2" customFormat="1" x14ac:dyDescent="0.25">
      <c r="A4" s="7" t="s">
        <v>3</v>
      </c>
      <c r="B4" s="7"/>
      <c r="C4" s="7"/>
      <c r="D4" s="7"/>
      <c r="E4" s="7"/>
      <c r="F4" s="7"/>
      <c r="G4" s="7"/>
      <c r="H4" s="7"/>
      <c r="I4" s="7"/>
      <c r="J4" s="5"/>
      <c r="K4" s="5"/>
    </row>
    <row r="5" ht="23.25" customHeight="1" spans="1:11" s="2" customFormat="1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9"/>
      <c r="K5" s="9"/>
    </row>
    <row r="6" ht="57.75" customHeight="1" spans="1:11" s="10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1"/>
    </row>
    <row r="7" ht="23.25" customHeight="1" spans="1:11" s="12" customFormat="1" x14ac:dyDescent="0.25">
      <c r="A7" s="13"/>
      <c r="B7" s="13"/>
      <c r="C7" s="13"/>
      <c r="D7" s="13"/>
      <c r="E7" s="13"/>
      <c r="F7" s="13"/>
      <c r="G7" s="13"/>
      <c r="H7" s="13"/>
      <c r="I7" s="13"/>
      <c r="K7" s="14"/>
    </row>
    <row r="8" ht="30" customHeight="1" spans="1:11" s="15" customFormat="1" x14ac:dyDescent="0.25">
      <c r="A8" s="16" t="s">
        <v>5</v>
      </c>
      <c r="B8" s="17"/>
      <c r="C8" s="16" t="s">
        <v>6</v>
      </c>
      <c r="D8" s="18"/>
      <c r="E8" s="18"/>
      <c r="F8" s="17"/>
      <c r="G8" s="19" t="s">
        <v>7</v>
      </c>
      <c r="H8" s="17" t="s">
        <v>8</v>
      </c>
      <c r="I8" s="20" t="s">
        <v>9</v>
      </c>
      <c r="J8" s="21"/>
      <c r="K8" s="19" t="s">
        <v>10</v>
      </c>
    </row>
    <row r="9" ht="30" customHeight="1" spans="1:14" s="15" customFormat="1" x14ac:dyDescent="0.25">
      <c r="A9" s="22" t="s">
        <v>11</v>
      </c>
      <c r="B9" s="23" t="s">
        <v>12</v>
      </c>
      <c r="C9" s="24" t="s">
        <v>13</v>
      </c>
      <c r="D9" s="25"/>
      <c r="E9" s="26"/>
      <c r="F9" s="27" t="s">
        <v>14</v>
      </c>
      <c r="G9" s="28">
        <f>SUM(OCTUBRE:ABRIL!L8)</f>
        <v>31</v>
      </c>
      <c r="H9" s="29">
        <v>40</v>
      </c>
      <c r="I9" s="30" t="str">
        <f>IFERROR(G9/H9," ")</f>
        <v> </v>
      </c>
      <c r="K9" s="31">
        <f>IFERROR(G9/H9,0)</f>
        <v>0</v>
      </c>
      <c r="L9" s="32" t="str">
        <f t="shared" ref="L9:L54" si="0">IF(I9=" "," ",IF(I9&gt;100%,"🚫Meta rebasada🚫"," "))</f>
        <v> </v>
      </c>
      <c r="M9" s="33"/>
      <c r="N9" s="33"/>
    </row>
    <row r="10" ht="30" customHeight="1" spans="1:14" s="15" customFormat="1" x14ac:dyDescent="0.25">
      <c r="A10" s="22"/>
      <c r="B10" s="23"/>
      <c r="C10" s="34"/>
      <c r="D10" s="35"/>
      <c r="E10" s="36"/>
      <c r="F10" s="37" t="s">
        <v>15</v>
      </c>
      <c r="G10" s="38">
        <f>SUM(OCTUBRE:ABRIL!L9)</f>
        <v>49</v>
      </c>
      <c r="H10" s="39">
        <v>60</v>
      </c>
      <c r="I10" s="40" t="str">
        <f t="shared" ref="I10:I54" si="1">IFERROR(G10/H10," ")</f>
        <v> </v>
      </c>
      <c r="K10" s="41">
        <f t="shared" ref="K10:K55" si="2">IFERROR(G10/H10,0)</f>
        <v>0</v>
      </c>
      <c r="L10" s="32" t="str">
        <f t="shared" si="0"/>
        <v> </v>
      </c>
      <c r="M10" s="33"/>
      <c r="N10" s="33"/>
    </row>
    <row r="11" ht="30" customHeight="1" spans="1:14" s="15" customFormat="1" x14ac:dyDescent="0.25">
      <c r="A11" s="22"/>
      <c r="B11" s="23"/>
      <c r="C11" s="34"/>
      <c r="D11" s="35"/>
      <c r="E11" s="36"/>
      <c r="F11" s="37" t="s">
        <v>16</v>
      </c>
      <c r="G11" s="38">
        <f>SUM(OCTUBRE:ABRIL!L10)</f>
        <v>43</v>
      </c>
      <c r="H11" s="39">
        <v>50</v>
      </c>
      <c r="I11" s="40" t="str">
        <f t="shared" si="1"/>
        <v> </v>
      </c>
      <c r="K11" s="41">
        <f t="shared" si="2"/>
        <v>0</v>
      </c>
      <c r="L11" s="32" t="str">
        <f t="shared" si="0"/>
        <v> </v>
      </c>
      <c r="M11" s="33"/>
      <c r="N11" s="33"/>
    </row>
    <row r="12" ht="30" customHeight="1" spans="1:14" s="15" customFormat="1" x14ac:dyDescent="0.25">
      <c r="A12" s="22"/>
      <c r="B12" s="23"/>
      <c r="C12" s="34"/>
      <c r="D12" s="35"/>
      <c r="E12" s="36"/>
      <c r="F12" s="42" t="s">
        <v>17</v>
      </c>
      <c r="G12" s="38">
        <f>SUM(OCTUBRE:ABRIL!L11)</f>
        <v>36</v>
      </c>
      <c r="H12" s="39">
        <v>45</v>
      </c>
      <c r="I12" s="40" t="str">
        <f t="shared" si="1"/>
        <v> </v>
      </c>
      <c r="K12" s="41">
        <f t="shared" si="2"/>
        <v>0</v>
      </c>
      <c r="L12" s="32" t="str">
        <f t="shared" si="0"/>
        <v> </v>
      </c>
      <c r="M12" s="33"/>
      <c r="N12" s="33"/>
    </row>
    <row r="13" ht="30" customHeight="1" spans="1:14" s="15" customFormat="1" x14ac:dyDescent="0.25">
      <c r="A13" s="22"/>
      <c r="B13" s="23"/>
      <c r="C13" s="43"/>
      <c r="D13" s="44"/>
      <c r="E13" s="45"/>
      <c r="F13" s="46" t="s">
        <v>18</v>
      </c>
      <c r="G13" s="47">
        <f>SUM(OCTUBRE:ABRIL!L12)</f>
        <v>27</v>
      </c>
      <c r="H13" s="48">
        <v>35</v>
      </c>
      <c r="I13" s="49" t="str">
        <f t="shared" si="1"/>
        <v> </v>
      </c>
      <c r="K13" s="41">
        <f t="shared" si="2"/>
        <v>0</v>
      </c>
      <c r="L13" s="32" t="str">
        <f t="shared" si="0"/>
        <v> </v>
      </c>
      <c r="M13" s="33"/>
      <c r="N13" s="33"/>
    </row>
    <row r="14" ht="30" customHeight="1" spans="1:14" s="15" customFormat="1" x14ac:dyDescent="0.25">
      <c r="A14" s="22"/>
      <c r="B14" s="23"/>
      <c r="C14" s="24" t="s">
        <v>19</v>
      </c>
      <c r="D14" s="25"/>
      <c r="E14" s="26"/>
      <c r="F14" s="27" t="s">
        <v>20</v>
      </c>
      <c r="G14" s="28">
        <f>SUM(OCTUBRE:ABRIL!L13)</f>
        <v>17</v>
      </c>
      <c r="H14" s="29">
        <v>30</v>
      </c>
      <c r="I14" s="30" t="str">
        <f t="shared" si="1"/>
        <v> </v>
      </c>
      <c r="K14" s="41">
        <f t="shared" si="2"/>
        <v>0</v>
      </c>
      <c r="L14" s="32" t="str">
        <f t="shared" si="0"/>
        <v> </v>
      </c>
      <c r="M14" s="33"/>
      <c r="N14" s="33"/>
    </row>
    <row r="15" ht="30" customHeight="1" spans="1:14" s="15" customFormat="1" x14ac:dyDescent="0.25">
      <c r="A15" s="22"/>
      <c r="B15" s="23"/>
      <c r="C15" s="34"/>
      <c r="D15" s="35"/>
      <c r="E15" s="36"/>
      <c r="F15" s="37" t="s">
        <v>21</v>
      </c>
      <c r="G15" s="38">
        <f>SUM(OCTUBRE:ABRIL!L14)</f>
        <v>17</v>
      </c>
      <c r="H15" s="39">
        <v>25</v>
      </c>
      <c r="I15" s="40" t="str">
        <f t="shared" si="1"/>
        <v> </v>
      </c>
      <c r="K15" s="41">
        <f t="shared" si="2"/>
        <v>0</v>
      </c>
      <c r="L15" s="32" t="str">
        <f t="shared" si="0"/>
        <v> </v>
      </c>
      <c r="M15" s="33"/>
      <c r="N15" s="33"/>
    </row>
    <row r="16" ht="30" customHeight="1" spans="1:14" s="15" customFormat="1" x14ac:dyDescent="0.25">
      <c r="A16" s="22"/>
      <c r="B16" s="23"/>
      <c r="C16" s="34"/>
      <c r="D16" s="35"/>
      <c r="E16" s="36"/>
      <c r="F16" s="37" t="s">
        <v>22</v>
      </c>
      <c r="G16" s="38">
        <f>SUM(OCTUBRE:ABRIL!L15)</f>
        <v>18</v>
      </c>
      <c r="H16" s="39">
        <v>20</v>
      </c>
      <c r="I16" s="40" t="str">
        <f t="shared" si="1"/>
        <v> </v>
      </c>
      <c r="K16" s="41">
        <f t="shared" si="2"/>
        <v>0</v>
      </c>
      <c r="L16" s="32" t="str">
        <f t="shared" si="0"/>
        <v> </v>
      </c>
      <c r="M16" s="33"/>
      <c r="N16" s="33"/>
    </row>
    <row r="17" ht="30" customHeight="1" spans="1:14" s="15" customFormat="1" x14ac:dyDescent="0.25">
      <c r="A17" s="22"/>
      <c r="B17" s="23"/>
      <c r="C17" s="34"/>
      <c r="D17" s="35"/>
      <c r="E17" s="36"/>
      <c r="F17" s="42" t="s">
        <v>23</v>
      </c>
      <c r="G17" s="38">
        <f>SUM(OCTUBRE:ABRIL!L16)</f>
        <v>18</v>
      </c>
      <c r="H17" s="39">
        <v>18</v>
      </c>
      <c r="I17" s="40" t="str">
        <f t="shared" si="1"/>
        <v> </v>
      </c>
      <c r="K17" s="41">
        <f t="shared" si="2"/>
        <v>0</v>
      </c>
      <c r="L17" s="32" t="str">
        <f t="shared" si="0"/>
        <v> </v>
      </c>
      <c r="M17" s="33"/>
      <c r="N17" s="33"/>
    </row>
    <row r="18" ht="30" customHeight="1" spans="1:14" s="15" customFormat="1" x14ac:dyDescent="0.25">
      <c r="A18" s="22"/>
      <c r="B18" s="23"/>
      <c r="C18" s="43"/>
      <c r="D18" s="44"/>
      <c r="E18" s="45"/>
      <c r="F18" s="46" t="s">
        <v>24</v>
      </c>
      <c r="G18" s="47">
        <f>SUM(OCTUBRE:ABRIL!L17)</f>
        <v>12</v>
      </c>
      <c r="H18" s="48">
        <v>15</v>
      </c>
      <c r="I18" s="49" t="str">
        <f t="shared" si="1"/>
        <v> </v>
      </c>
      <c r="K18" s="41">
        <f t="shared" si="2"/>
        <v>0</v>
      </c>
      <c r="L18" s="32" t="str">
        <f t="shared" si="0"/>
        <v> </v>
      </c>
      <c r="M18" s="33"/>
      <c r="N18" s="33"/>
    </row>
    <row r="19" ht="30" customHeight="1" spans="1:14" s="15" customFormat="1" x14ac:dyDescent="0.25">
      <c r="A19" s="22"/>
      <c r="B19" s="23"/>
      <c r="C19" s="24" t="s">
        <v>25</v>
      </c>
      <c r="D19" s="25"/>
      <c r="E19" s="50"/>
      <c r="F19" s="27" t="s">
        <v>26</v>
      </c>
      <c r="G19" s="28">
        <f>SUM(OCTUBRE:ABRIL!L18)</f>
        <v>16</v>
      </c>
      <c r="H19" s="29">
        <v>22</v>
      </c>
      <c r="I19" s="30" t="str">
        <f t="shared" si="1"/>
        <v> </v>
      </c>
      <c r="K19" s="41">
        <f t="shared" si="2"/>
        <v>0</v>
      </c>
      <c r="L19" s="32" t="str">
        <f t="shared" si="0"/>
        <v> </v>
      </c>
      <c r="M19" s="33"/>
      <c r="N19" s="33"/>
    </row>
    <row r="20" ht="30" customHeight="1" spans="1:14" s="15" customFormat="1" x14ac:dyDescent="0.25">
      <c r="A20" s="22"/>
      <c r="B20" s="23"/>
      <c r="C20" s="34"/>
      <c r="D20" s="35"/>
      <c r="E20" s="51"/>
      <c r="F20" s="37" t="s">
        <v>22</v>
      </c>
      <c r="G20" s="38">
        <f>SUM(OCTUBRE:ABRIL!L19)</f>
        <v>14</v>
      </c>
      <c r="H20" s="39">
        <v>20</v>
      </c>
      <c r="I20" s="40" t="str">
        <f t="shared" si="1"/>
        <v> </v>
      </c>
      <c r="K20" s="41">
        <f t="shared" si="2"/>
        <v>0</v>
      </c>
      <c r="L20" s="32" t="str">
        <f t="shared" si="0"/>
        <v> </v>
      </c>
      <c r="M20" s="33"/>
      <c r="N20" s="33"/>
    </row>
    <row r="21" ht="30" customHeight="1" spans="1:14" s="15" customFormat="1" x14ac:dyDescent="0.25">
      <c r="A21" s="22"/>
      <c r="B21" s="23"/>
      <c r="C21" s="34"/>
      <c r="D21" s="35"/>
      <c r="E21" s="51"/>
      <c r="F21" s="37" t="s">
        <v>17</v>
      </c>
      <c r="G21" s="38">
        <f>SUM(OCTUBRE:ABRIL!L20)</f>
        <v>12</v>
      </c>
      <c r="H21" s="39">
        <v>16</v>
      </c>
      <c r="I21" s="40" t="str">
        <f t="shared" si="1"/>
        <v> </v>
      </c>
      <c r="K21" s="41">
        <f t="shared" si="2"/>
        <v>0</v>
      </c>
      <c r="L21" s="32" t="str">
        <f t="shared" si="0"/>
        <v> </v>
      </c>
      <c r="M21" s="33"/>
      <c r="N21" s="33"/>
    </row>
    <row r="22" ht="30" customHeight="1" spans="1:14" s="15" customFormat="1" x14ac:dyDescent="0.25">
      <c r="A22" s="22"/>
      <c r="B22" s="23"/>
      <c r="C22" s="34"/>
      <c r="D22" s="35"/>
      <c r="E22" s="51"/>
      <c r="F22" s="42" t="s">
        <v>18</v>
      </c>
      <c r="G22" s="38">
        <f>SUM(OCTUBRE:ABRIL!L21)</f>
        <v>10</v>
      </c>
      <c r="H22" s="39">
        <v>14</v>
      </c>
      <c r="I22" s="40" t="str">
        <f t="shared" si="1"/>
        <v> </v>
      </c>
      <c r="K22" s="41">
        <f t="shared" si="2"/>
        <v>0</v>
      </c>
      <c r="L22" s="32" t="str">
        <f t="shared" si="0"/>
        <v> </v>
      </c>
      <c r="M22" s="33"/>
      <c r="N22" s="33"/>
    </row>
    <row r="23" ht="30" customHeight="1" spans="1:14" s="15" customFormat="1" x14ac:dyDescent="0.25">
      <c r="A23" s="22"/>
      <c r="B23" s="23"/>
      <c r="C23" s="43"/>
      <c r="D23" s="44"/>
      <c r="E23" s="52"/>
      <c r="F23" s="46" t="s">
        <v>27</v>
      </c>
      <c r="G23" s="47">
        <f>SUM(OCTUBRE:ABRIL!L22)</f>
        <v>50</v>
      </c>
      <c r="H23" s="48">
        <v>60</v>
      </c>
      <c r="I23" s="49" t="str">
        <f t="shared" si="1"/>
        <v> </v>
      </c>
      <c r="K23" s="41">
        <f t="shared" si="2"/>
        <v>0</v>
      </c>
      <c r="L23" s="32" t="str">
        <f t="shared" si="0"/>
        <v> </v>
      </c>
      <c r="M23" s="33"/>
      <c r="N23" s="33"/>
    </row>
    <row r="24" ht="30" customHeight="1" spans="1:14" s="15" customFormat="1" x14ac:dyDescent="0.25">
      <c r="A24" s="22"/>
      <c r="B24" s="23" t="s">
        <v>28</v>
      </c>
      <c r="C24" s="24" t="s">
        <v>29</v>
      </c>
      <c r="D24" s="25"/>
      <c r="E24" s="50"/>
      <c r="F24" s="53" t="s">
        <v>30</v>
      </c>
      <c r="G24" s="54">
        <f>SUM(OCTUBRE:ABRIL!L23)</f>
        <v>9</v>
      </c>
      <c r="H24" s="55">
        <v>12</v>
      </c>
      <c r="I24" s="56" t="str">
        <f t="shared" si="1"/>
        <v> </v>
      </c>
      <c r="K24" s="41">
        <f t="shared" si="2"/>
        <v>0</v>
      </c>
      <c r="L24" s="32" t="str">
        <f t="shared" si="0"/>
        <v> </v>
      </c>
      <c r="M24" s="33"/>
      <c r="N24" s="33"/>
    </row>
    <row r="25" ht="51" customHeight="1" spans="1:14" s="15" customFormat="1" x14ac:dyDescent="0.25">
      <c r="A25" s="22"/>
      <c r="B25" s="23"/>
      <c r="C25" s="43"/>
      <c r="D25" s="44"/>
      <c r="E25" s="52"/>
      <c r="F25" s="57" t="s">
        <v>31</v>
      </c>
      <c r="G25" s="54">
        <f>SUM(OCTUBRE:ABRIL!L24)</f>
        <v>70</v>
      </c>
      <c r="H25" s="55">
        <v>80</v>
      </c>
      <c r="I25" s="56" t="str">
        <f t="shared" si="1"/>
        <v> </v>
      </c>
      <c r="K25" s="41">
        <f t="shared" si="2"/>
        <v>0</v>
      </c>
      <c r="L25" s="32" t="str">
        <f t="shared" si="0"/>
        <v> </v>
      </c>
      <c r="M25" s="33"/>
      <c r="N25" s="33"/>
    </row>
    <row r="26" ht="30" customHeight="1" spans="1:14" s="15" customFormat="1" x14ac:dyDescent="0.25">
      <c r="A26" s="22"/>
      <c r="B26" s="23"/>
      <c r="C26" s="24" t="s">
        <v>32</v>
      </c>
      <c r="D26" s="25"/>
      <c r="E26" s="50"/>
      <c r="F26" s="58" t="s">
        <v>33</v>
      </c>
      <c r="G26" s="28">
        <f>SUM(OCTUBRE:ABRIL!L25)</f>
        <v>4</v>
      </c>
      <c r="H26" s="29">
        <v>6</v>
      </c>
      <c r="I26" s="30" t="str">
        <f t="shared" si="1"/>
        <v> </v>
      </c>
      <c r="K26" s="41">
        <f t="shared" si="2"/>
        <v>0</v>
      </c>
      <c r="L26" s="32" t="str">
        <f t="shared" si="0"/>
        <v> </v>
      </c>
      <c r="M26" s="33"/>
      <c r="N26" s="33"/>
    </row>
    <row r="27" ht="30" customHeight="1" spans="1:14" s="15" customFormat="1" x14ac:dyDescent="0.25">
      <c r="A27" s="22"/>
      <c r="B27" s="23"/>
      <c r="C27" s="34"/>
      <c r="D27" s="35"/>
      <c r="E27" s="51"/>
      <c r="F27" s="59" t="s">
        <v>34</v>
      </c>
      <c r="G27" s="38">
        <f>SUM(OCTUBRE:ABRIL!L26)</f>
        <v>11</v>
      </c>
      <c r="H27" s="39">
        <v>8</v>
      </c>
      <c r="I27" s="40" t="str">
        <f t="shared" si="1"/>
        <v> </v>
      </c>
      <c r="K27" s="41">
        <f t="shared" si="2"/>
        <v>0</v>
      </c>
      <c r="L27" s="32" t="str">
        <f t="shared" si="0"/>
        <v> </v>
      </c>
      <c r="M27" s="33"/>
      <c r="N27" s="33"/>
    </row>
    <row r="28" ht="30" customHeight="1" spans="1:14" s="15" customFormat="1" x14ac:dyDescent="0.25">
      <c r="A28" s="22"/>
      <c r="B28" s="23"/>
      <c r="C28" s="43"/>
      <c r="D28" s="44"/>
      <c r="E28" s="52"/>
      <c r="F28" s="60" t="s">
        <v>35</v>
      </c>
      <c r="G28" s="47">
        <f>SUM(OCTUBRE:ABRIL!L27)</f>
        <v>11</v>
      </c>
      <c r="H28" s="48">
        <v>10</v>
      </c>
      <c r="I28" s="49" t="str">
        <f t="shared" si="1"/>
        <v> </v>
      </c>
      <c r="K28" s="41">
        <f t="shared" si="2"/>
        <v>0</v>
      </c>
      <c r="L28" s="32" t="str">
        <f t="shared" si="0"/>
        <v> </v>
      </c>
      <c r="M28" s="33"/>
      <c r="N28" s="33"/>
    </row>
    <row r="29" ht="30" customHeight="1" spans="1:14" s="15" customFormat="1" x14ac:dyDescent="0.25">
      <c r="A29" s="22"/>
      <c r="B29" s="23"/>
      <c r="C29" s="24" t="s">
        <v>36</v>
      </c>
      <c r="D29" s="25"/>
      <c r="E29" s="50"/>
      <c r="F29" s="58" t="s">
        <v>33</v>
      </c>
      <c r="G29" s="28">
        <f>SUM(OCTUBRE:ABRIL!L28)</f>
        <v>1</v>
      </c>
      <c r="H29" s="29">
        <v>5</v>
      </c>
      <c r="I29" s="30" t="str">
        <f t="shared" si="1"/>
        <v> </v>
      </c>
      <c r="K29" s="41">
        <f t="shared" si="2"/>
        <v>0</v>
      </c>
      <c r="L29" s="32" t="str">
        <f t="shared" si="0"/>
        <v> </v>
      </c>
      <c r="M29" s="33"/>
      <c r="N29" s="33"/>
    </row>
    <row r="30" ht="30" customHeight="1" spans="1:14" s="15" customFormat="1" x14ac:dyDescent="0.25">
      <c r="A30" s="22"/>
      <c r="B30" s="23"/>
      <c r="C30" s="34"/>
      <c r="D30" s="35"/>
      <c r="E30" s="51"/>
      <c r="F30" s="59" t="s">
        <v>34</v>
      </c>
      <c r="G30" s="38">
        <f>SUM(OCTUBRE:ABRIL!L29)</f>
        <v>4</v>
      </c>
      <c r="H30" s="39">
        <v>7</v>
      </c>
      <c r="I30" s="40" t="str">
        <f t="shared" si="1"/>
        <v> </v>
      </c>
      <c r="K30" s="41">
        <f t="shared" si="2"/>
        <v>0</v>
      </c>
      <c r="L30" s="32" t="str">
        <f t="shared" si="0"/>
        <v> </v>
      </c>
      <c r="M30" s="33"/>
      <c r="N30" s="33"/>
    </row>
    <row r="31" ht="30" customHeight="1" spans="1:14" s="15" customFormat="1" x14ac:dyDescent="0.25">
      <c r="A31" s="22"/>
      <c r="B31" s="23"/>
      <c r="C31" s="43"/>
      <c r="D31" s="44"/>
      <c r="E31" s="52"/>
      <c r="F31" s="60" t="s">
        <v>35</v>
      </c>
      <c r="G31" s="47">
        <f>SUM(OCTUBRE:ABRIL!L30)</f>
        <v>8</v>
      </c>
      <c r="H31" s="48">
        <v>9</v>
      </c>
      <c r="I31" s="49" t="str">
        <f t="shared" si="1"/>
        <v> </v>
      </c>
      <c r="K31" s="41">
        <f t="shared" si="2"/>
        <v>0</v>
      </c>
      <c r="L31" s="32" t="str">
        <f t="shared" si="0"/>
        <v> </v>
      </c>
      <c r="M31" s="33"/>
      <c r="N31" s="33"/>
    </row>
    <row r="32" ht="30" customHeight="1" spans="1:14" s="15" customFormat="1" x14ac:dyDescent="0.25">
      <c r="A32" s="22"/>
      <c r="B32" s="23"/>
      <c r="C32" s="24" t="s">
        <v>37</v>
      </c>
      <c r="D32" s="25"/>
      <c r="E32" s="50"/>
      <c r="F32" s="58" t="s">
        <v>33</v>
      </c>
      <c r="G32" s="28">
        <f>SUM(OCTUBRE:ABRIL!L31)</f>
        <v>0</v>
      </c>
      <c r="H32" s="29">
        <v>4</v>
      </c>
      <c r="I32" s="30" t="str">
        <f t="shared" si="1"/>
        <v> </v>
      </c>
      <c r="K32" s="41">
        <f t="shared" si="2"/>
        <v>0</v>
      </c>
      <c r="L32" s="32" t="str">
        <f t="shared" si="0"/>
        <v> </v>
      </c>
      <c r="M32" s="33"/>
      <c r="N32" s="33"/>
    </row>
    <row r="33" ht="30" customHeight="1" spans="1:14" s="15" customFormat="1" x14ac:dyDescent="0.25">
      <c r="A33" s="22"/>
      <c r="B33" s="23"/>
      <c r="C33" s="34"/>
      <c r="D33" s="35"/>
      <c r="E33" s="51"/>
      <c r="F33" s="59" t="s">
        <v>34</v>
      </c>
      <c r="G33" s="38">
        <f>SUM(OCTUBRE:ABRIL!L32)</f>
        <v>0</v>
      </c>
      <c r="H33" s="39">
        <v>5</v>
      </c>
      <c r="I33" s="40" t="str">
        <f t="shared" si="1"/>
        <v> </v>
      </c>
      <c r="K33" s="41">
        <f t="shared" si="2"/>
        <v>0</v>
      </c>
      <c r="L33" s="32" t="str">
        <f t="shared" si="0"/>
        <v> </v>
      </c>
      <c r="M33" s="33"/>
      <c r="N33" s="33"/>
    </row>
    <row r="34" ht="30" customHeight="1" spans="1:14" s="15" customFormat="1" x14ac:dyDescent="0.25">
      <c r="A34" s="22"/>
      <c r="B34" s="23"/>
      <c r="C34" s="43"/>
      <c r="D34" s="44"/>
      <c r="E34" s="52"/>
      <c r="F34" s="60" t="s">
        <v>35</v>
      </c>
      <c r="G34" s="47">
        <f>SUM(OCTUBRE:ABRIL!L33)</f>
        <v>2</v>
      </c>
      <c r="H34" s="48">
        <v>6</v>
      </c>
      <c r="I34" s="49" t="str">
        <f t="shared" si="1"/>
        <v> </v>
      </c>
      <c r="K34" s="41">
        <f t="shared" si="2"/>
        <v>0</v>
      </c>
      <c r="L34" s="32" t="str">
        <f t="shared" si="0"/>
        <v> </v>
      </c>
      <c r="M34" s="33"/>
      <c r="N34" s="33"/>
    </row>
    <row r="35" ht="30" customHeight="1" spans="1:14" s="15" customFormat="1" x14ac:dyDescent="0.25">
      <c r="A35" s="22"/>
      <c r="B35" s="23"/>
      <c r="C35" s="24" t="s">
        <v>38</v>
      </c>
      <c r="D35" s="25"/>
      <c r="E35" s="50"/>
      <c r="F35" s="58" t="s">
        <v>33</v>
      </c>
      <c r="G35" s="28">
        <f>SUM(OCTUBRE:ABRIL!L34)</f>
        <v>0</v>
      </c>
      <c r="H35" s="29">
        <v>3</v>
      </c>
      <c r="I35" s="30" t="str">
        <f t="shared" si="1"/>
        <v> </v>
      </c>
      <c r="K35" s="41">
        <f t="shared" si="2"/>
        <v>0</v>
      </c>
      <c r="L35" s="32" t="str">
        <f t="shared" si="0"/>
        <v> </v>
      </c>
      <c r="M35" s="33"/>
      <c r="N35" s="33"/>
    </row>
    <row r="36" ht="30" customHeight="1" spans="1:14" s="15" customFormat="1" x14ac:dyDescent="0.25">
      <c r="A36" s="22"/>
      <c r="B36" s="23"/>
      <c r="C36" s="34"/>
      <c r="D36" s="35"/>
      <c r="E36" s="51"/>
      <c r="F36" s="59" t="s">
        <v>34</v>
      </c>
      <c r="G36" s="38">
        <f>SUM(OCTUBRE:ABRIL!L35)</f>
        <v>0</v>
      </c>
      <c r="H36" s="39">
        <v>4</v>
      </c>
      <c r="I36" s="40" t="str">
        <f t="shared" si="1"/>
        <v> </v>
      </c>
      <c r="K36" s="41">
        <f t="shared" si="2"/>
        <v>0</v>
      </c>
      <c r="L36" s="32" t="str">
        <f t="shared" si="0"/>
        <v> </v>
      </c>
      <c r="M36" s="33"/>
      <c r="N36" s="33"/>
    </row>
    <row r="37" ht="30" customHeight="1" spans="1:14" s="15" customFormat="1" x14ac:dyDescent="0.25">
      <c r="A37" s="22"/>
      <c r="B37" s="23"/>
      <c r="C37" s="43"/>
      <c r="D37" s="44"/>
      <c r="E37" s="52"/>
      <c r="F37" s="60" t="s">
        <v>35</v>
      </c>
      <c r="G37" s="47">
        <f>SUM(OCTUBRE:ABRIL!L36)</f>
        <v>1</v>
      </c>
      <c r="H37" s="48">
        <v>5</v>
      </c>
      <c r="I37" s="49" t="str">
        <f t="shared" si="1"/>
        <v> </v>
      </c>
      <c r="K37" s="41">
        <f t="shared" si="2"/>
        <v>0</v>
      </c>
      <c r="L37" s="32" t="str">
        <f t="shared" si="0"/>
        <v> </v>
      </c>
      <c r="M37" s="33"/>
      <c r="N37" s="33"/>
    </row>
    <row r="38" ht="30" customHeight="1" spans="1:14" s="15" customFormat="1" x14ac:dyDescent="0.25">
      <c r="A38" s="22"/>
      <c r="B38" s="23"/>
      <c r="C38" s="24" t="s">
        <v>39</v>
      </c>
      <c r="D38" s="25"/>
      <c r="E38" s="50"/>
      <c r="F38" s="58" t="s">
        <v>33</v>
      </c>
      <c r="G38" s="28">
        <f>SUM(OCTUBRE:ABRIL!L37)</f>
        <v>6</v>
      </c>
      <c r="H38" s="29">
        <v>6</v>
      </c>
      <c r="I38" s="30" t="str">
        <f t="shared" si="1"/>
        <v> </v>
      </c>
      <c r="K38" s="41">
        <f t="shared" si="2"/>
        <v>0</v>
      </c>
      <c r="L38" s="32" t="str">
        <f t="shared" si="0"/>
        <v> </v>
      </c>
      <c r="M38" s="33"/>
      <c r="N38" s="33"/>
    </row>
    <row r="39" ht="30" customHeight="1" spans="1:14" s="15" customFormat="1" x14ac:dyDescent="0.25">
      <c r="A39" s="22"/>
      <c r="B39" s="23"/>
      <c r="C39" s="34"/>
      <c r="D39" s="35"/>
      <c r="E39" s="51"/>
      <c r="F39" s="59" t="s">
        <v>34</v>
      </c>
      <c r="G39" s="38">
        <f>SUM(OCTUBRE:ABRIL!L38)</f>
        <v>0</v>
      </c>
      <c r="H39" s="39">
        <v>3</v>
      </c>
      <c r="I39" s="40" t="str">
        <f t="shared" si="1"/>
        <v> </v>
      </c>
      <c r="K39" s="41">
        <f t="shared" si="2"/>
        <v>0</v>
      </c>
      <c r="L39" s="32" t="str">
        <f t="shared" si="0"/>
        <v> </v>
      </c>
      <c r="M39" s="33"/>
      <c r="N39" s="33"/>
    </row>
    <row r="40" ht="30" customHeight="1" spans="1:14" s="15" customFormat="1" x14ac:dyDescent="0.25">
      <c r="A40" s="22"/>
      <c r="B40" s="23"/>
      <c r="C40" s="43"/>
      <c r="D40" s="44"/>
      <c r="E40" s="52"/>
      <c r="F40" s="60" t="s">
        <v>35</v>
      </c>
      <c r="G40" s="47">
        <f>SUM(OCTUBRE:ABRIL!L39)</f>
        <v>0</v>
      </c>
      <c r="H40" s="48">
        <v>4</v>
      </c>
      <c r="I40" s="49" t="str">
        <f t="shared" si="1"/>
        <v> </v>
      </c>
      <c r="K40" s="41">
        <f t="shared" si="2"/>
        <v>0</v>
      </c>
      <c r="L40" s="32" t="str">
        <f t="shared" si="0"/>
        <v> </v>
      </c>
      <c r="M40" s="33"/>
      <c r="N40" s="33"/>
    </row>
    <row r="41" ht="30" customHeight="1" spans="1:14" s="15" customFormat="1" x14ac:dyDescent="0.25">
      <c r="A41" s="22"/>
      <c r="B41" s="23"/>
      <c r="C41" s="24" t="s">
        <v>40</v>
      </c>
      <c r="D41" s="25"/>
      <c r="E41" s="50"/>
      <c r="F41" s="58" t="s">
        <v>33</v>
      </c>
      <c r="G41" s="28">
        <f>SUM(OCTUBRE:ABRIL!L40)</f>
        <v>0</v>
      </c>
      <c r="H41" s="29">
        <v>5</v>
      </c>
      <c r="I41" s="30" t="str">
        <f t="shared" si="1"/>
        <v> </v>
      </c>
      <c r="K41" s="41">
        <f t="shared" si="2"/>
        <v>0</v>
      </c>
      <c r="L41" s="32" t="str">
        <f t="shared" si="0"/>
        <v> </v>
      </c>
      <c r="M41" s="33"/>
      <c r="N41" s="33"/>
    </row>
    <row r="42" ht="30" customHeight="1" spans="1:14" s="15" customFormat="1" x14ac:dyDescent="0.25">
      <c r="A42" s="22"/>
      <c r="B42" s="23"/>
      <c r="C42" s="34"/>
      <c r="D42" s="35"/>
      <c r="E42" s="51"/>
      <c r="F42" s="59" t="s">
        <v>34</v>
      </c>
      <c r="G42" s="38">
        <f>SUM(OCTUBRE:ABRIL!L41)</f>
        <v>0</v>
      </c>
      <c r="H42" s="39">
        <v>2</v>
      </c>
      <c r="I42" s="40" t="str">
        <f t="shared" si="1"/>
        <v> </v>
      </c>
      <c r="K42" s="41">
        <f t="shared" si="2"/>
        <v>0</v>
      </c>
      <c r="L42" s="32" t="str">
        <f t="shared" si="0"/>
        <v> </v>
      </c>
      <c r="M42" s="33"/>
      <c r="N42" s="33"/>
    </row>
    <row r="43" ht="30" customHeight="1" spans="1:14" s="15" customFormat="1" x14ac:dyDescent="0.25">
      <c r="A43" s="22"/>
      <c r="B43" s="23"/>
      <c r="C43" s="43"/>
      <c r="D43" s="44"/>
      <c r="E43" s="52"/>
      <c r="F43" s="60" t="s">
        <v>35</v>
      </c>
      <c r="G43" s="47">
        <f>SUM(OCTUBRE:ABRIL!L42)</f>
        <v>0</v>
      </c>
      <c r="H43" s="61">
        <v>3</v>
      </c>
      <c r="I43" s="49" t="str">
        <f t="shared" si="1"/>
        <v> </v>
      </c>
      <c r="K43" s="41">
        <f t="shared" si="2"/>
        <v>0</v>
      </c>
      <c r="L43" s="32" t="str">
        <f t="shared" si="0"/>
        <v> </v>
      </c>
      <c r="M43" s="33"/>
      <c r="N43" s="33"/>
    </row>
    <row r="44" ht="45" customHeight="1" spans="1:14" s="15" customFormat="1" x14ac:dyDescent="0.25">
      <c r="A44" s="22"/>
      <c r="B44" s="23"/>
      <c r="C44" s="24" t="s">
        <v>41</v>
      </c>
      <c r="D44" s="25"/>
      <c r="E44" s="50"/>
      <c r="F44" s="62" t="s">
        <v>33</v>
      </c>
      <c r="G44" s="28">
        <f>SUM(OCTUBRE:ABRIL!L43)</f>
        <v>0</v>
      </c>
      <c r="H44" s="63">
        <v>2</v>
      </c>
      <c r="I44" s="40" t="str">
        <f t="shared" si="1"/>
        <v> </v>
      </c>
      <c r="K44" s="41">
        <f t="shared" si="2"/>
        <v>0</v>
      </c>
      <c r="L44" s="32" t="str">
        <f t="shared" si="0"/>
        <v> </v>
      </c>
      <c r="M44" s="33"/>
      <c r="N44" s="33"/>
    </row>
    <row r="45" ht="45" customHeight="1" spans="1:13" s="15" customFormat="1" x14ac:dyDescent="0.25">
      <c r="A45" s="22"/>
      <c r="B45" s="23"/>
      <c r="C45" s="34"/>
      <c r="D45" s="35"/>
      <c r="E45" s="51"/>
      <c r="F45" s="60" t="s">
        <v>34</v>
      </c>
      <c r="G45" s="47">
        <f>SUM(OCTUBRE:ABRIL!L44)</f>
        <v>0</v>
      </c>
      <c r="H45" s="61">
        <v>3</v>
      </c>
      <c r="I45" s="49" t="str">
        <f t="shared" si="1"/>
        <v> </v>
      </c>
      <c r="K45" s="41">
        <f t="shared" si="2"/>
        <v>0</v>
      </c>
      <c r="L45" s="32" t="str">
        <f t="shared" si="0"/>
        <v> </v>
      </c>
      <c r="M45" s="64"/>
    </row>
    <row r="46" ht="30" customHeight="1" spans="1:12" x14ac:dyDescent="0.25">
      <c r="A46" s="22"/>
      <c r="B46" s="23"/>
      <c r="C46" s="24" t="s">
        <v>42</v>
      </c>
      <c r="D46" s="25"/>
      <c r="E46" s="50"/>
      <c r="F46" s="58" t="s">
        <v>33</v>
      </c>
      <c r="G46" s="28">
        <f>SUM(OCTUBRE:ABRIL!L45)</f>
        <v>0</v>
      </c>
      <c r="H46" s="63">
        <v>4</v>
      </c>
      <c r="I46" s="30" t="str">
        <f t="shared" si="1"/>
        <v> </v>
      </c>
      <c r="K46" s="41">
        <f t="shared" si="2"/>
        <v>0</v>
      </c>
      <c r="L46" s="32" t="str">
        <f t="shared" si="0"/>
        <v> </v>
      </c>
    </row>
    <row r="47" ht="30" customHeight="1" spans="1:12" x14ac:dyDescent="0.25">
      <c r="A47" s="22"/>
      <c r="B47" s="23"/>
      <c r="C47" s="34"/>
      <c r="D47" s="35"/>
      <c r="E47" s="51"/>
      <c r="F47" s="59" t="s">
        <v>34</v>
      </c>
      <c r="G47" s="38">
        <f>SUM(OCTUBRE:ABRIL!L46)</f>
        <v>0</v>
      </c>
      <c r="H47" s="65">
        <v>2</v>
      </c>
      <c r="I47" s="40" t="str">
        <f t="shared" si="1"/>
        <v> </v>
      </c>
      <c r="K47" s="41">
        <f t="shared" si="2"/>
        <v>0</v>
      </c>
      <c r="L47" s="32" t="str">
        <f t="shared" si="0"/>
        <v> </v>
      </c>
    </row>
    <row r="48" ht="30" customHeight="1" spans="1:12" x14ac:dyDescent="0.25">
      <c r="A48" s="22"/>
      <c r="B48" s="23"/>
      <c r="C48" s="43"/>
      <c r="D48" s="44"/>
      <c r="E48" s="52"/>
      <c r="F48" s="60" t="s">
        <v>35</v>
      </c>
      <c r="G48" s="47">
        <f>SUM(OCTUBRE:ABRIL!L47)</f>
        <v>0</v>
      </c>
      <c r="H48" s="61">
        <v>3</v>
      </c>
      <c r="I48" s="49" t="str">
        <f t="shared" si="1"/>
        <v> </v>
      </c>
      <c r="K48" s="41">
        <f t="shared" si="2"/>
        <v>0</v>
      </c>
      <c r="L48" s="32" t="str">
        <f t="shared" si="0"/>
        <v> </v>
      </c>
    </row>
    <row r="49" ht="30" customHeight="1" spans="1:19" s="66" customFormat="1" x14ac:dyDescent="0.25">
      <c r="A49" s="22"/>
      <c r="B49" s="23"/>
      <c r="C49" s="24" t="s">
        <v>43</v>
      </c>
      <c r="D49" s="25"/>
      <c r="E49" s="50"/>
      <c r="F49" s="58" t="s">
        <v>33</v>
      </c>
      <c r="G49" s="28">
        <f>SUM(OCTUBRE:ABRIL!L48)</f>
        <v>0</v>
      </c>
      <c r="H49" s="63">
        <v>2</v>
      </c>
      <c r="I49" s="30" t="str">
        <f t="shared" si="1"/>
        <v> </v>
      </c>
      <c r="K49" s="41">
        <f t="shared" si="2"/>
        <v>0</v>
      </c>
      <c r="L49" s="32" t="str">
        <f t="shared" si="0"/>
        <v> </v>
      </c>
      <c r="M49" s="66"/>
      <c r="N49" s="66"/>
      <c r="O49" s="66"/>
      <c r="P49" s="66"/>
      <c r="Q49" s="66"/>
      <c r="R49" s="66"/>
      <c r="S49" s="66"/>
    </row>
    <row r="50" ht="30" customHeight="1" spans="1:12" x14ac:dyDescent="0.25">
      <c r="A50" s="22"/>
      <c r="B50" s="23"/>
      <c r="C50" s="34"/>
      <c r="D50" s="35"/>
      <c r="E50" s="51"/>
      <c r="F50" s="59" t="s">
        <v>34</v>
      </c>
      <c r="G50" s="38">
        <f>SUM(OCTUBRE:ABRIL!L49)</f>
        <v>0</v>
      </c>
      <c r="H50" s="65">
        <v>3</v>
      </c>
      <c r="I50" s="40" t="str">
        <f t="shared" si="1"/>
        <v> </v>
      </c>
      <c r="K50" s="41">
        <f t="shared" si="2"/>
        <v>0</v>
      </c>
      <c r="L50" s="32" t="str">
        <f t="shared" si="0"/>
        <v> </v>
      </c>
    </row>
    <row r="51" ht="30" customHeight="1" spans="1:12" x14ac:dyDescent="0.25">
      <c r="A51" s="22"/>
      <c r="B51" s="23"/>
      <c r="C51" s="43"/>
      <c r="D51" s="44"/>
      <c r="E51" s="52"/>
      <c r="F51" s="60" t="s">
        <v>35</v>
      </c>
      <c r="G51" s="47">
        <f>SUM(OCTUBRE:ABRIL!L50)</f>
        <v>0</v>
      </c>
      <c r="H51" s="61">
        <v>1</v>
      </c>
      <c r="I51" s="49" t="str">
        <f t="shared" si="1"/>
        <v> </v>
      </c>
      <c r="K51" s="41">
        <f t="shared" si="2"/>
        <v>0</v>
      </c>
      <c r="L51" s="32" t="str">
        <f t="shared" si="0"/>
        <v> </v>
      </c>
    </row>
    <row r="52" ht="30" customHeight="1" spans="1:12" x14ac:dyDescent="0.25">
      <c r="A52" s="22"/>
      <c r="B52" s="23"/>
      <c r="C52" s="24" t="s">
        <v>44</v>
      </c>
      <c r="D52" s="25"/>
      <c r="E52" s="50"/>
      <c r="F52" s="58" t="s">
        <v>33</v>
      </c>
      <c r="G52" s="28">
        <f>SUM(OCTUBRE:ABRIL!L51)</f>
        <v>0</v>
      </c>
      <c r="H52" s="63">
        <v>2</v>
      </c>
      <c r="I52" s="30" t="str">
        <f t="shared" si="1"/>
        <v> </v>
      </c>
      <c r="K52" s="41">
        <f t="shared" si="2"/>
        <v>0</v>
      </c>
      <c r="L52" s="32" t="str">
        <f t="shared" si="0"/>
        <v> </v>
      </c>
    </row>
    <row r="53" ht="30" customHeight="1" spans="1:12" x14ac:dyDescent="0.25">
      <c r="A53" s="22"/>
      <c r="B53" s="23"/>
      <c r="C53" s="34"/>
      <c r="D53" s="35"/>
      <c r="E53" s="51"/>
      <c r="F53" s="59" t="s">
        <v>34</v>
      </c>
      <c r="G53" s="38">
        <f>SUM(OCTUBRE:ABRIL!L52)</f>
        <v>0</v>
      </c>
      <c r="H53" s="65">
        <v>3</v>
      </c>
      <c r="I53" s="40" t="str">
        <f t="shared" si="1"/>
        <v> </v>
      </c>
      <c r="K53" s="41">
        <f t="shared" si="2"/>
        <v>0</v>
      </c>
      <c r="L53" s="32" t="str">
        <f t="shared" si="0"/>
        <v> </v>
      </c>
    </row>
    <row r="54" ht="19.5" customHeight="1" spans="1:12" x14ac:dyDescent="0.25">
      <c r="A54" s="22"/>
      <c r="B54" s="67"/>
      <c r="C54" s="34"/>
      <c r="D54" s="35"/>
      <c r="E54" s="51"/>
      <c r="F54" s="62" t="s">
        <v>35</v>
      </c>
      <c r="G54" s="47">
        <f>SUM(OCTUBRE:ABRIL!L53)</f>
        <v>0</v>
      </c>
      <c r="H54" s="61">
        <v>0</v>
      </c>
      <c r="I54" s="68" t="str">
        <f t="shared" si="1"/>
        <v> </v>
      </c>
      <c r="K54" s="41">
        <f t="shared" si="2"/>
        <v>0</v>
      </c>
      <c r="L54" s="32" t="str">
        <f t="shared" si="0"/>
        <v> </v>
      </c>
    </row>
    <row r="55" ht="18.75" customHeight="1" spans="1:11" x14ac:dyDescent="0.25">
      <c r="A55" s="22"/>
      <c r="B55" s="69" t="s">
        <v>45</v>
      </c>
      <c r="C55" s="70"/>
      <c r="D55" s="70"/>
      <c r="E55" s="70"/>
      <c r="F55" s="71"/>
      <c r="G55" s="72">
        <f>SUM(OCTUBRE:ABRIL!L54)</f>
        <v>0</v>
      </c>
      <c r="H55" s="73">
        <f>SUM(H9:H54)</f>
        <v>0</v>
      </c>
      <c r="I55" s="74" t="str">
        <f>IFERROR(G55/H55," ")</f>
        <v> </v>
      </c>
      <c r="K55" s="75">
        <f t="shared" si="2"/>
        <v>0</v>
      </c>
    </row>
    <row r="56" ht="18.75" customHeight="1" spans="6:9" x14ac:dyDescent="0.25">
      <c r="F56" s="76" t="s">
        <v>46</v>
      </c>
      <c r="G56" s="77">
        <f>IFERROR(G55/10," ")</f>
        <v>0</v>
      </c>
      <c r="H56" s="77">
        <f>IFERROR(H55/10," ")</f>
        <v>0</v>
      </c>
      <c r="I56" s="78" t="str">
        <f t="shared" ref="I56" si="3">IFERROR(H56/G56," ")</f>
        <v> </v>
      </c>
    </row>
    <row r="57" ht="15.75" customHeight="1" spans="3:9" x14ac:dyDescent="0.25">
      <c r="C57" s="66"/>
      <c r="D57" s="66"/>
      <c r="E57" s="66"/>
      <c r="F57" s="66"/>
      <c r="I57" s="79"/>
    </row>
    <row r="58" spans="9:9" x14ac:dyDescent="0.25">
      <c r="I58" s="79"/>
    </row>
    <row r="59" spans="9:9" x14ac:dyDescent="0.25">
      <c r="I59" s="79"/>
    </row>
    <row r="60" spans="9:9" x14ac:dyDescent="0.25">
      <c r="I60" s="79"/>
    </row>
    <row r="61" spans="9:9" x14ac:dyDescent="0.25">
      <c r="I61" s="79"/>
    </row>
    <row r="62" spans="9:9" x14ac:dyDescent="0.25">
      <c r="I62" s="79"/>
    </row>
    <row r="63" spans="9:9" x14ac:dyDescent="0.25">
      <c r="I63" s="79"/>
    </row>
    <row r="64" spans="9:9" x14ac:dyDescent="0.25">
      <c r="I64" s="79"/>
    </row>
    <row r="65" spans="9:9" x14ac:dyDescent="0.25">
      <c r="I65" s="79"/>
    </row>
    <row r="66" spans="9:9" x14ac:dyDescent="0.25">
      <c r="I66" s="79"/>
    </row>
    <row r="67" spans="9:9" x14ac:dyDescent="0.25">
      <c r="I67" s="79"/>
    </row>
    <row r="68" spans="9:9" x14ac:dyDescent="0.25">
      <c r="I68" s="79"/>
    </row>
    <row r="69" spans="9:9" x14ac:dyDescent="0.25">
      <c r="I69" s="79"/>
    </row>
    <row r="70" spans="9:9" x14ac:dyDescent="0.25">
      <c r="I70" s="79"/>
    </row>
    <row r="71" spans="9:9" x14ac:dyDescent="0.25">
      <c r="I71" s="79"/>
    </row>
    <row r="72" spans="9:9" x14ac:dyDescent="0.25">
      <c r="I72" s="79"/>
    </row>
    <row r="73" spans="9:9" x14ac:dyDescent="0.25">
      <c r="I73" s="79"/>
    </row>
    <row r="74" spans="9:9" x14ac:dyDescent="0.25">
      <c r="I74" s="79"/>
    </row>
    <row r="75" spans="9:9" x14ac:dyDescent="0.25">
      <c r="I75" s="79"/>
    </row>
    <row r="76" spans="9:9" x14ac:dyDescent="0.25">
      <c r="I76" s="79"/>
    </row>
    <row r="77" spans="9:9" x14ac:dyDescent="0.25">
      <c r="I77" s="79"/>
    </row>
    <row r="78" spans="9:9" x14ac:dyDescent="0.25">
      <c r="I78" s="79"/>
    </row>
  </sheetData>
  <mergeCells count="25">
    <mergeCell ref="A1:I1"/>
    <mergeCell ref="A2:I2"/>
    <mergeCell ref="A3:I3"/>
    <mergeCell ref="A4:I4"/>
    <mergeCell ref="A5:I5"/>
    <mergeCell ref="A8:B8"/>
    <mergeCell ref="C8:F8"/>
    <mergeCell ref="C9:E13"/>
    <mergeCell ref="A9:A55"/>
    <mergeCell ref="B9:B23"/>
    <mergeCell ref="C14:E18"/>
    <mergeCell ref="C19:E23"/>
    <mergeCell ref="C24:E25"/>
    <mergeCell ref="B24:B54"/>
    <mergeCell ref="C26:E28"/>
    <mergeCell ref="C29:E31"/>
    <mergeCell ref="C32:E34"/>
    <mergeCell ref="C35:E37"/>
    <mergeCell ref="C38:E40"/>
    <mergeCell ref="C41:E43"/>
    <mergeCell ref="C44:E45"/>
    <mergeCell ref="C46:E48"/>
    <mergeCell ref="C49:E51"/>
    <mergeCell ref="C52:E54"/>
    <mergeCell ref="B55:F55"/>
  </mergeCells>
  <conditionalFormatting sqref="G9:G54">
    <cfRule type="expression" dxfId="0" priority="17">
      <formula>G9&gt;F9</formula>
    </cfRule>
  </conditionalFormatting>
  <conditionalFormatting sqref="I9:I54">
    <cfRule type="cellIs" dxfId="1" priority="13" operator="between">
      <formula>70%</formula>
      <formula>100%</formula>
    </cfRule>
    <cfRule type="cellIs" dxfId="2" priority="14" operator="between">
      <formula>40%</formula>
      <formula>69%</formula>
    </cfRule>
    <cfRule type="cellIs" dxfId="3" priority="15" operator="between">
      <formula>0%</formula>
      <formula>39%</formula>
    </cfRule>
  </conditionalFormatting>
  <conditionalFormatting sqref="K9:K55">
    <cfRule type="dataBar" priority="1">
      <dataBar>
        <cfvo type="min"/>
        <cfvo type="num" val="1"/>
        <color rgb="FF9F2241"/>
      </dataBar>
      <extLst>
        <ext xmlns:x14="http://schemas.microsoft.com/office/spreadsheetml/2009/9/main" uri="{B025F937-C7B1-47D3-B67F-A62EFF666E3E}">
          <x14:id>{C65FDA92-DFB7-46F1-B889-CC4149CD09AE}</x14:id>
        </ext>
      </extLst>
    </cfRule>
  </conditionalFormatting>
  <printOptions horizontalCentered="1" verticalCentered="1"/>
  <pageMargins left="0" right="0" top="0" bottom="0" header="0" footer="0"/>
  <pageSetup orientation="portrait" horizontalDpi="4294967295" verticalDpi="4294967295" scale="46" fitToWidth="1" fitToHeight="0" firstPageNumber="1" useFirstPageNumber="1" copies="1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5FDA92-DFB7-46F1-B889-CC4149CD09AE}">
            <x14:dataBar minLength="0" maxLength="100" gradient="0">
              <x14:cfvo type="min"/>
              <x14:cfvo type="num">
                <xm:f>1</xm:f>
              </x14:cfvo>
              <x14:negativeFillColor rgb="FFFF0000"/>
              <x14:axisColor rgb="FF000000"/>
            </x14:dataBar>
          </x14:cfRule>
          <xm:sqref>K9:K55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9C9"/>
  </sheetPr>
  <dimension ref="A1:V77"/>
  <sheetViews>
    <sheetView workbookViewId="0" showGridLines="0" zoomScale="90" zoomScaleNormal="90">
      <selection activeCell="G8" sqref="G8"/>
    </sheetView>
  </sheetViews>
  <sheetFormatPr defaultRowHeight="18" outlineLevelRow="0" outlineLevelCol="0" x14ac:dyDescent="0.35" defaultColWidth="11.42578125" customHeight="1"/>
  <cols>
    <col min="1" max="1" width="10.42578125" style="80" customWidth="1"/>
    <col min="2" max="2" width="17.7109375" style="80" customWidth="1"/>
    <col min="3" max="3" width="10.7109375" style="80" customWidth="1"/>
    <col min="4" max="4" width="13.42578125" style="80" customWidth="1"/>
    <col min="5" max="5" width="25.140625" style="80" customWidth="1"/>
    <col min="6" max="6" width="26.140625" style="80" customWidth="1"/>
    <col min="7" max="10" width="19" style="80" customWidth="1"/>
    <col min="11" max="11" width="17.7109375" style="80" customWidth="1"/>
    <col min="12" max="12" width="20.7109375" style="80" customWidth="1"/>
    <col min="13" max="13" width="14" style="80" customWidth="1"/>
    <col min="14" max="14" width="12.28515625" style="80" customWidth="1"/>
    <col min="15" max="15" width="14" style="80" customWidth="1"/>
    <col min="16" max="16" width="12.42578125" style="80" customWidth="1"/>
    <col min="17" max="17" width="13.7109375" style="80" customWidth="1"/>
    <col min="18" max="16384" width="11.42578125" style="80" customWidth="1"/>
  </cols>
  <sheetData>
    <row r="1" ht="27.75" customHeight="1" spans="1:14" s="81" customFormat="1" x14ac:dyDescent="0.25">
      <c r="A1" s="82"/>
      <c r="B1" s="82"/>
      <c r="C1" s="83" t="s">
        <v>0</v>
      </c>
      <c r="D1" s="83"/>
      <c r="E1" s="83"/>
      <c r="F1" s="83"/>
      <c r="G1" s="83"/>
      <c r="H1" s="83"/>
      <c r="I1" s="83"/>
      <c r="J1" s="83"/>
      <c r="K1" s="83"/>
      <c r="L1" s="83"/>
      <c r="M1" s="84"/>
      <c r="N1" s="84"/>
    </row>
    <row r="2" ht="23.25" customHeight="1" spans="1:14" s="81" customFormat="1" x14ac:dyDescent="0.25">
      <c r="A2" s="82"/>
      <c r="B2" s="82"/>
      <c r="C2" s="83" t="s">
        <v>1</v>
      </c>
      <c r="D2" s="83"/>
      <c r="E2" s="83"/>
      <c r="F2" s="83"/>
      <c r="G2" s="83"/>
      <c r="H2" s="83"/>
      <c r="I2" s="83"/>
      <c r="J2" s="83"/>
      <c r="K2" s="83"/>
      <c r="L2" s="83"/>
      <c r="M2" s="85"/>
      <c r="N2" s="85"/>
    </row>
    <row r="3" ht="23.25" customHeight="1" spans="1:14" s="81" customFormat="1" x14ac:dyDescent="0.25">
      <c r="A3" s="82"/>
      <c r="B3" s="82"/>
      <c r="C3" s="86" t="s">
        <v>2</v>
      </c>
      <c r="D3" s="86"/>
      <c r="E3" s="86"/>
      <c r="F3" s="86"/>
      <c r="G3" s="86"/>
      <c r="H3" s="86"/>
      <c r="I3" s="86"/>
      <c r="J3" s="86"/>
      <c r="K3" s="86"/>
      <c r="L3" s="86"/>
      <c r="M3" s="85"/>
      <c r="N3" s="85"/>
    </row>
    <row r="4" ht="23.25" customHeight="1" spans="1:14" s="81" customFormat="1" x14ac:dyDescent="0.25">
      <c r="A4" s="87"/>
      <c r="B4" s="87"/>
      <c r="C4" s="88" t="str">
        <f>'ANÁLIS DE META-LOGRO'!A5</f>
        <v>Meta-Logro de Vacuna Anti Influenza Estacional Temporada Invernal 2025-2026 por Unidad de Salud</v>
      </c>
      <c r="D4" s="88"/>
      <c r="E4" s="88"/>
      <c r="F4" s="88"/>
      <c r="G4" s="88"/>
      <c r="H4" s="88"/>
      <c r="I4" s="88"/>
      <c r="J4" s="88"/>
      <c r="K4" s="88"/>
      <c r="L4" s="88"/>
      <c r="M4" s="89"/>
      <c r="N4" s="89"/>
    </row>
    <row r="5" ht="21" customHeight="1" spans="1:13" s="90" customFormat="1" x14ac:dyDescent="0.25">
      <c r="A5" s="80"/>
      <c r="B5" s="80"/>
      <c r="C5" s="88" t="s">
        <v>47</v>
      </c>
      <c r="D5" s="88"/>
      <c r="E5" s="88"/>
      <c r="F5" s="88"/>
      <c r="G5" s="88"/>
      <c r="H5" s="88"/>
      <c r="I5" s="88"/>
      <c r="J5" s="88"/>
      <c r="K5" s="88"/>
      <c r="L5" s="88"/>
      <c r="M5" s="91"/>
    </row>
    <row r="6" ht="23.25" customHeight="1" spans="1:14" s="92" customFormat="1" x14ac:dyDescent="0.25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N6" s="93"/>
    </row>
    <row r="7" ht="30" customHeight="1" spans="1:14" x14ac:dyDescent="0.25">
      <c r="A7" s="94" t="s">
        <v>5</v>
      </c>
      <c r="B7" s="95"/>
      <c r="C7" s="94" t="s">
        <v>6</v>
      </c>
      <c r="D7" s="96"/>
      <c r="E7" s="96"/>
      <c r="F7" s="96"/>
      <c r="G7" s="97" t="s">
        <v>48</v>
      </c>
      <c r="H7" s="97" t="s">
        <v>49</v>
      </c>
      <c r="I7" s="97" t="s">
        <v>50</v>
      </c>
      <c r="J7" s="97" t="s">
        <v>51</v>
      </c>
      <c r="K7" s="97" t="s">
        <v>52</v>
      </c>
      <c r="L7" s="98" t="s">
        <v>53</v>
      </c>
      <c r="M7" s="99"/>
      <c r="N7" s="100"/>
    </row>
    <row r="8" ht="30" customHeight="1" spans="1:17" x14ac:dyDescent="0.25">
      <c r="A8" s="101" t="s">
        <v>11</v>
      </c>
      <c r="B8" s="102" t="s">
        <v>12</v>
      </c>
      <c r="C8" s="103" t="s">
        <v>13</v>
      </c>
      <c r="D8" s="104"/>
      <c r="E8" s="105"/>
      <c r="F8" s="106" t="s">
        <v>14</v>
      </c>
      <c r="G8" s="107">
        <v>1</v>
      </c>
      <c r="H8" s="107">
        <v>3</v>
      </c>
      <c r="I8" s="107">
        <v>3</v>
      </c>
      <c r="J8" s="107">
        <v>2</v>
      </c>
      <c r="K8" s="107">
        <v>3</v>
      </c>
      <c r="L8" s="108">
        <f>SUM(G8:K8)</f>
        <v>0</v>
      </c>
      <c r="O8" s="109"/>
      <c r="P8" s="110"/>
      <c r="Q8" s="110"/>
    </row>
    <row r="9" ht="30" customHeight="1" spans="1:17" x14ac:dyDescent="0.25">
      <c r="A9" s="101"/>
      <c r="B9" s="102"/>
      <c r="C9" s="111"/>
      <c r="D9" s="112"/>
      <c r="E9" s="113"/>
      <c r="F9" s="114" t="s">
        <v>15</v>
      </c>
      <c r="G9" s="115">
        <v>6</v>
      </c>
      <c r="H9" s="116">
        <v>3</v>
      </c>
      <c r="I9" s="116">
        <v>5</v>
      </c>
      <c r="J9" s="116">
        <v>6</v>
      </c>
      <c r="K9" s="116">
        <v>4</v>
      </c>
      <c r="L9" s="117">
        <f t="shared" ref="L9:L53" si="0">SUM(G9:K9)</f>
        <v>0</v>
      </c>
      <c r="O9" s="109"/>
      <c r="P9" s="110"/>
      <c r="Q9" s="110"/>
    </row>
    <row r="10" ht="30" customHeight="1" spans="1:17" x14ac:dyDescent="0.25">
      <c r="A10" s="101"/>
      <c r="B10" s="102"/>
      <c r="C10" s="111"/>
      <c r="D10" s="112"/>
      <c r="E10" s="113"/>
      <c r="F10" s="114" t="s">
        <v>16</v>
      </c>
      <c r="G10" s="115">
        <v>3</v>
      </c>
      <c r="H10" s="116">
        <v>5</v>
      </c>
      <c r="I10" s="116">
        <v>2</v>
      </c>
      <c r="J10" s="116">
        <v>2</v>
      </c>
      <c r="K10" s="116">
        <v>4</v>
      </c>
      <c r="L10" s="117">
        <f t="shared" si="0"/>
        <v>0</v>
      </c>
      <c r="O10" s="109"/>
      <c r="P10" s="110"/>
      <c r="Q10" s="110"/>
    </row>
    <row r="11" ht="30" customHeight="1" spans="1:17" x14ac:dyDescent="0.25">
      <c r="A11" s="101"/>
      <c r="B11" s="102"/>
      <c r="C11" s="111"/>
      <c r="D11" s="112"/>
      <c r="E11" s="113"/>
      <c r="F11" s="118" t="s">
        <v>17</v>
      </c>
      <c r="G11" s="116">
        <v>2</v>
      </c>
      <c r="H11" s="116">
        <v>2</v>
      </c>
      <c r="I11" s="116">
        <v>4</v>
      </c>
      <c r="J11" s="116">
        <v>4</v>
      </c>
      <c r="K11" s="116">
        <v>3</v>
      </c>
      <c r="L11" s="117">
        <f t="shared" si="0"/>
        <v>0</v>
      </c>
      <c r="O11" s="109"/>
      <c r="P11" s="110"/>
      <c r="Q11" s="110"/>
    </row>
    <row r="12" ht="30" customHeight="1" spans="1:17" x14ac:dyDescent="0.25">
      <c r="A12" s="101"/>
      <c r="B12" s="102"/>
      <c r="C12" s="119"/>
      <c r="D12" s="120"/>
      <c r="E12" s="121"/>
      <c r="F12" s="122" t="s">
        <v>18</v>
      </c>
      <c r="G12" s="123">
        <v>3</v>
      </c>
      <c r="H12" s="123">
        <v>2</v>
      </c>
      <c r="I12" s="123">
        <v>3</v>
      </c>
      <c r="J12" s="123">
        <v>3</v>
      </c>
      <c r="K12" s="123">
        <v>3</v>
      </c>
      <c r="L12" s="124">
        <f t="shared" si="0"/>
        <v>0</v>
      </c>
      <c r="O12" s="109"/>
      <c r="P12" s="110"/>
      <c r="Q12" s="110"/>
    </row>
    <row r="13" ht="30" customHeight="1" spans="1:17" x14ac:dyDescent="0.25">
      <c r="A13" s="101"/>
      <c r="B13" s="102"/>
      <c r="C13" s="103" t="s">
        <v>19</v>
      </c>
      <c r="D13" s="104"/>
      <c r="E13" s="105"/>
      <c r="F13" s="106" t="s">
        <v>20</v>
      </c>
      <c r="G13" s="125">
        <v>2</v>
      </c>
      <c r="H13" s="125">
        <v>2</v>
      </c>
      <c r="I13" s="125">
        <v>3</v>
      </c>
      <c r="J13" s="125">
        <v>1</v>
      </c>
      <c r="K13" s="125">
        <v>1</v>
      </c>
      <c r="L13" s="108">
        <f t="shared" si="0"/>
        <v>0</v>
      </c>
      <c r="O13" s="109"/>
      <c r="P13" s="110"/>
      <c r="Q13" s="110"/>
    </row>
    <row r="14" ht="30" customHeight="1" spans="1:17" x14ac:dyDescent="0.25">
      <c r="A14" s="101"/>
      <c r="B14" s="102"/>
      <c r="C14" s="111"/>
      <c r="D14" s="112"/>
      <c r="E14" s="113"/>
      <c r="F14" s="114" t="s">
        <v>21</v>
      </c>
      <c r="G14" s="126">
        <v>1</v>
      </c>
      <c r="H14" s="127">
        <v>2</v>
      </c>
      <c r="I14" s="127">
        <v>2</v>
      </c>
      <c r="J14" s="127">
        <v>2</v>
      </c>
      <c r="K14" s="127">
        <v>1</v>
      </c>
      <c r="L14" s="117">
        <f t="shared" si="0"/>
        <v>0</v>
      </c>
      <c r="O14" s="109"/>
      <c r="P14" s="110"/>
      <c r="Q14" s="110"/>
    </row>
    <row r="15" ht="30" customHeight="1" spans="1:17" x14ac:dyDescent="0.25">
      <c r="A15" s="101"/>
      <c r="B15" s="102"/>
      <c r="C15" s="111"/>
      <c r="D15" s="112"/>
      <c r="E15" s="113"/>
      <c r="F15" s="114" t="s">
        <v>22</v>
      </c>
      <c r="G15" s="126">
        <v>2</v>
      </c>
      <c r="H15" s="127">
        <v>2</v>
      </c>
      <c r="I15" s="127">
        <v>2</v>
      </c>
      <c r="J15" s="127">
        <v>2</v>
      </c>
      <c r="K15" s="127">
        <v>1</v>
      </c>
      <c r="L15" s="117">
        <f t="shared" si="0"/>
        <v>0</v>
      </c>
      <c r="O15" s="109"/>
      <c r="P15" s="110"/>
      <c r="Q15" s="110"/>
    </row>
    <row r="16" ht="30" customHeight="1" spans="1:17" x14ac:dyDescent="0.25">
      <c r="A16" s="101"/>
      <c r="B16" s="102"/>
      <c r="C16" s="111"/>
      <c r="D16" s="112"/>
      <c r="E16" s="113"/>
      <c r="F16" s="118" t="s">
        <v>23</v>
      </c>
      <c r="G16" s="127">
        <v>2</v>
      </c>
      <c r="H16" s="127">
        <v>1</v>
      </c>
      <c r="I16" s="127">
        <v>2</v>
      </c>
      <c r="J16" s="127">
        <v>2</v>
      </c>
      <c r="K16" s="127">
        <v>1</v>
      </c>
      <c r="L16" s="117">
        <f t="shared" si="0"/>
        <v>0</v>
      </c>
      <c r="O16" s="109"/>
      <c r="P16" s="110"/>
      <c r="Q16" s="110"/>
    </row>
    <row r="17" ht="30" customHeight="1" spans="1:17" x14ac:dyDescent="0.25">
      <c r="A17" s="101"/>
      <c r="B17" s="102"/>
      <c r="C17" s="119"/>
      <c r="D17" s="120"/>
      <c r="E17" s="121"/>
      <c r="F17" s="122" t="s">
        <v>24</v>
      </c>
      <c r="G17" s="128">
        <v>1</v>
      </c>
      <c r="H17" s="128">
        <v>1</v>
      </c>
      <c r="I17" s="128">
        <v>1</v>
      </c>
      <c r="J17" s="128">
        <v>2</v>
      </c>
      <c r="K17" s="128">
        <v>1</v>
      </c>
      <c r="L17" s="124">
        <f t="shared" si="0"/>
        <v>0</v>
      </c>
      <c r="O17" s="109"/>
      <c r="P17" s="110"/>
      <c r="Q17" s="110"/>
    </row>
    <row r="18" ht="30" customHeight="1" spans="1:17" x14ac:dyDescent="0.25">
      <c r="A18" s="101"/>
      <c r="B18" s="102"/>
      <c r="C18" s="103" t="s">
        <v>25</v>
      </c>
      <c r="D18" s="104"/>
      <c r="E18" s="129"/>
      <c r="F18" s="106" t="s">
        <v>26</v>
      </c>
      <c r="G18" s="107">
        <v>2</v>
      </c>
      <c r="H18" s="107">
        <v>1</v>
      </c>
      <c r="I18" s="107">
        <v>1</v>
      </c>
      <c r="J18" s="107">
        <v>2</v>
      </c>
      <c r="K18" s="107">
        <v>1</v>
      </c>
      <c r="L18" s="108">
        <f t="shared" si="0"/>
        <v>0</v>
      </c>
      <c r="O18" s="109"/>
      <c r="P18" s="110"/>
      <c r="Q18" s="110"/>
    </row>
    <row r="19" ht="30" customHeight="1" spans="1:17" x14ac:dyDescent="0.25">
      <c r="A19" s="101"/>
      <c r="B19" s="102"/>
      <c r="C19" s="111"/>
      <c r="D19" s="112"/>
      <c r="E19" s="130"/>
      <c r="F19" s="114" t="s">
        <v>22</v>
      </c>
      <c r="G19" s="115">
        <v>2</v>
      </c>
      <c r="H19" s="116">
        <v>1</v>
      </c>
      <c r="I19" s="116">
        <v>1</v>
      </c>
      <c r="J19" s="116">
        <v>1</v>
      </c>
      <c r="K19" s="116">
        <v>1</v>
      </c>
      <c r="L19" s="117">
        <f t="shared" si="0"/>
        <v>0</v>
      </c>
      <c r="O19" s="109"/>
      <c r="P19" s="110"/>
      <c r="Q19" s="110"/>
    </row>
    <row r="20" ht="30" customHeight="1" spans="1:17" x14ac:dyDescent="0.25">
      <c r="A20" s="101"/>
      <c r="B20" s="102"/>
      <c r="C20" s="111"/>
      <c r="D20" s="112"/>
      <c r="E20" s="130"/>
      <c r="F20" s="114" t="s">
        <v>17</v>
      </c>
      <c r="G20" s="115">
        <v>1</v>
      </c>
      <c r="H20" s="116">
        <v>1</v>
      </c>
      <c r="I20" s="116">
        <v>1</v>
      </c>
      <c r="J20" s="116">
        <v>1</v>
      </c>
      <c r="K20" s="116">
        <v>1</v>
      </c>
      <c r="L20" s="117">
        <f t="shared" si="0"/>
        <v>0</v>
      </c>
      <c r="O20" s="109"/>
      <c r="P20" s="110"/>
      <c r="Q20" s="110"/>
    </row>
    <row r="21" ht="30" customHeight="1" spans="1:17" x14ac:dyDescent="0.25">
      <c r="A21" s="101"/>
      <c r="B21" s="102"/>
      <c r="C21" s="111"/>
      <c r="D21" s="112"/>
      <c r="E21" s="130"/>
      <c r="F21" s="118" t="s">
        <v>18</v>
      </c>
      <c r="G21" s="116">
        <v>1</v>
      </c>
      <c r="H21" s="116">
        <v>1</v>
      </c>
      <c r="I21" s="116"/>
      <c r="J21" s="116">
        <v>1</v>
      </c>
      <c r="K21" s="116">
        <v>1</v>
      </c>
      <c r="L21" s="117">
        <f t="shared" si="0"/>
        <v>0</v>
      </c>
      <c r="O21" s="109"/>
      <c r="P21" s="110"/>
      <c r="Q21" s="110"/>
    </row>
    <row r="22" ht="30" customHeight="1" spans="1:17" x14ac:dyDescent="0.25">
      <c r="A22" s="101"/>
      <c r="B22" s="102"/>
      <c r="C22" s="119"/>
      <c r="D22" s="120"/>
      <c r="E22" s="131"/>
      <c r="F22" s="122" t="s">
        <v>27</v>
      </c>
      <c r="G22" s="123">
        <v>4</v>
      </c>
      <c r="H22" s="123">
        <v>3</v>
      </c>
      <c r="I22" s="123">
        <v>5</v>
      </c>
      <c r="J22" s="123">
        <v>6</v>
      </c>
      <c r="K22" s="123">
        <v>2</v>
      </c>
      <c r="L22" s="124">
        <f t="shared" si="0"/>
        <v>0</v>
      </c>
      <c r="O22" s="109"/>
      <c r="P22" s="110"/>
      <c r="Q22" s="110"/>
    </row>
    <row r="23" ht="30" customHeight="1" spans="1:17" x14ac:dyDescent="0.25">
      <c r="A23" s="101"/>
      <c r="B23" s="102" t="s">
        <v>28</v>
      </c>
      <c r="C23" s="103" t="s">
        <v>29</v>
      </c>
      <c r="D23" s="104"/>
      <c r="E23" s="129"/>
      <c r="F23" s="132" t="s">
        <v>30</v>
      </c>
      <c r="G23" s="133">
        <v>1</v>
      </c>
      <c r="H23" s="133">
        <v>1</v>
      </c>
      <c r="I23" s="133">
        <v>1</v>
      </c>
      <c r="J23" s="133">
        <v>1</v>
      </c>
      <c r="K23" s="133">
        <v>1</v>
      </c>
      <c r="L23" s="134">
        <f t="shared" si="0"/>
        <v>0</v>
      </c>
      <c r="P23" s="110"/>
      <c r="Q23" s="110"/>
    </row>
    <row r="24" ht="51" customHeight="1" spans="1:17" x14ac:dyDescent="0.25">
      <c r="A24" s="101"/>
      <c r="B24" s="102"/>
      <c r="C24" s="119"/>
      <c r="D24" s="120"/>
      <c r="E24" s="131"/>
      <c r="F24" s="135" t="s">
        <v>31</v>
      </c>
      <c r="G24" s="136">
        <v>7</v>
      </c>
      <c r="H24" s="133">
        <v>6</v>
      </c>
      <c r="I24" s="133">
        <v>7</v>
      </c>
      <c r="J24" s="133">
        <v>4</v>
      </c>
      <c r="K24" s="133">
        <v>7</v>
      </c>
      <c r="L24" s="134">
        <f t="shared" si="0"/>
        <v>0</v>
      </c>
      <c r="P24" s="110"/>
      <c r="Q24" s="110"/>
    </row>
    <row r="25" ht="30" customHeight="1" spans="1:17" x14ac:dyDescent="0.25">
      <c r="A25" s="101"/>
      <c r="B25" s="102"/>
      <c r="C25" s="103" t="s">
        <v>32</v>
      </c>
      <c r="D25" s="104"/>
      <c r="E25" s="129"/>
      <c r="F25" s="137" t="s">
        <v>33</v>
      </c>
      <c r="G25" s="107"/>
      <c r="H25" s="107"/>
      <c r="I25" s="107"/>
      <c r="J25" s="107"/>
      <c r="K25" s="107">
        <v>1</v>
      </c>
      <c r="L25" s="108">
        <f t="shared" si="0"/>
        <v>0</v>
      </c>
      <c r="P25" s="110"/>
      <c r="Q25" s="110"/>
    </row>
    <row r="26" ht="30" customHeight="1" spans="1:17" x14ac:dyDescent="0.25">
      <c r="A26" s="101"/>
      <c r="B26" s="102"/>
      <c r="C26" s="111"/>
      <c r="D26" s="112"/>
      <c r="E26" s="130"/>
      <c r="F26" s="138" t="s">
        <v>34</v>
      </c>
      <c r="G26" s="115">
        <v>1</v>
      </c>
      <c r="H26" s="116">
        <v>1</v>
      </c>
      <c r="I26" s="116">
        <v>1</v>
      </c>
      <c r="J26" s="116">
        <v>1</v>
      </c>
      <c r="K26" s="116">
        <v>1</v>
      </c>
      <c r="L26" s="117">
        <f t="shared" si="0"/>
        <v>0</v>
      </c>
      <c r="P26" s="110"/>
      <c r="Q26" s="110"/>
    </row>
    <row r="27" ht="30" customHeight="1" spans="1:17" x14ac:dyDescent="0.25">
      <c r="A27" s="101"/>
      <c r="B27" s="102"/>
      <c r="C27" s="119"/>
      <c r="D27" s="120"/>
      <c r="E27" s="131"/>
      <c r="F27" s="139" t="s">
        <v>35</v>
      </c>
      <c r="G27" s="140">
        <v>1</v>
      </c>
      <c r="H27" s="123">
        <v>1</v>
      </c>
      <c r="I27" s="123">
        <v>1</v>
      </c>
      <c r="J27" s="123">
        <v>1</v>
      </c>
      <c r="K27" s="123">
        <v>1</v>
      </c>
      <c r="L27" s="124">
        <f t="shared" si="0"/>
        <v>0</v>
      </c>
      <c r="P27" s="110"/>
      <c r="Q27" s="110"/>
    </row>
    <row r="28" ht="30" customHeight="1" spans="1:17" x14ac:dyDescent="0.25">
      <c r="A28" s="101"/>
      <c r="B28" s="102"/>
      <c r="C28" s="103" t="s">
        <v>36</v>
      </c>
      <c r="D28" s="104"/>
      <c r="E28" s="129"/>
      <c r="F28" s="137" t="s">
        <v>33</v>
      </c>
      <c r="G28" s="107"/>
      <c r="H28" s="107"/>
      <c r="I28" s="107"/>
      <c r="J28" s="107"/>
      <c r="K28" s="107">
        <v>1</v>
      </c>
      <c r="L28" s="108">
        <f t="shared" si="0"/>
        <v>0</v>
      </c>
      <c r="P28" s="110"/>
      <c r="Q28" s="110"/>
    </row>
    <row r="29" ht="30" customHeight="1" spans="1:17" x14ac:dyDescent="0.25">
      <c r="A29" s="101"/>
      <c r="B29" s="102"/>
      <c r="C29" s="111"/>
      <c r="D29" s="112"/>
      <c r="E29" s="130"/>
      <c r="F29" s="138" t="s">
        <v>34</v>
      </c>
      <c r="G29" s="115">
        <v>1</v>
      </c>
      <c r="H29" s="116">
        <v>1</v>
      </c>
      <c r="I29" s="116"/>
      <c r="J29" s="116">
        <v>1</v>
      </c>
      <c r="K29" s="116"/>
      <c r="L29" s="117">
        <f t="shared" si="0"/>
        <v>0</v>
      </c>
      <c r="P29" s="110"/>
      <c r="Q29" s="110"/>
    </row>
    <row r="30" ht="30" customHeight="1" spans="1:17" x14ac:dyDescent="0.25">
      <c r="A30" s="101"/>
      <c r="B30" s="102"/>
      <c r="C30" s="119"/>
      <c r="D30" s="120"/>
      <c r="E30" s="131"/>
      <c r="F30" s="139" t="s">
        <v>35</v>
      </c>
      <c r="G30" s="140"/>
      <c r="H30" s="123">
        <v>1</v>
      </c>
      <c r="I30" s="123">
        <v>1</v>
      </c>
      <c r="J30" s="123">
        <v>1</v>
      </c>
      <c r="K30" s="123">
        <v>1</v>
      </c>
      <c r="L30" s="124">
        <f t="shared" si="0"/>
        <v>0</v>
      </c>
      <c r="P30" s="110"/>
      <c r="Q30" s="110"/>
    </row>
    <row r="31" ht="30" customHeight="1" spans="1:17" x14ac:dyDescent="0.25">
      <c r="A31" s="101"/>
      <c r="B31" s="102"/>
      <c r="C31" s="103" t="s">
        <v>37</v>
      </c>
      <c r="D31" s="104"/>
      <c r="E31" s="129"/>
      <c r="F31" s="137" t="s">
        <v>33</v>
      </c>
      <c r="G31" s="107"/>
      <c r="H31" s="107"/>
      <c r="I31" s="107"/>
      <c r="J31" s="107"/>
      <c r="K31" s="107"/>
      <c r="L31" s="108">
        <f t="shared" si="0"/>
        <v>0</v>
      </c>
      <c r="P31" s="110"/>
      <c r="Q31" s="110"/>
    </row>
    <row r="32" ht="30" customHeight="1" spans="1:17" x14ac:dyDescent="0.25">
      <c r="A32" s="101"/>
      <c r="B32" s="102"/>
      <c r="C32" s="111"/>
      <c r="D32" s="112"/>
      <c r="E32" s="130"/>
      <c r="F32" s="138" t="s">
        <v>34</v>
      </c>
      <c r="G32" s="115"/>
      <c r="H32" s="116"/>
      <c r="I32" s="116"/>
      <c r="J32" s="116"/>
      <c r="K32" s="116"/>
      <c r="L32" s="117">
        <f t="shared" si="0"/>
        <v>0</v>
      </c>
      <c r="P32" s="110"/>
      <c r="Q32" s="110"/>
    </row>
    <row r="33" ht="30" customHeight="1" spans="1:17" x14ac:dyDescent="0.25">
      <c r="A33" s="101"/>
      <c r="B33" s="102"/>
      <c r="C33" s="119"/>
      <c r="D33" s="120"/>
      <c r="E33" s="131"/>
      <c r="F33" s="139" t="s">
        <v>35</v>
      </c>
      <c r="G33" s="140"/>
      <c r="H33" s="123"/>
      <c r="I33" s="123"/>
      <c r="J33" s="123"/>
      <c r="K33" s="123">
        <v>1</v>
      </c>
      <c r="L33" s="124">
        <f t="shared" si="0"/>
        <v>0</v>
      </c>
      <c r="P33" s="110"/>
      <c r="Q33" s="110"/>
    </row>
    <row r="34" ht="30" customHeight="1" spans="1:17" x14ac:dyDescent="0.25">
      <c r="A34" s="101"/>
      <c r="B34" s="102"/>
      <c r="C34" s="103" t="s">
        <v>38</v>
      </c>
      <c r="D34" s="104"/>
      <c r="E34" s="129"/>
      <c r="F34" s="137" t="s">
        <v>33</v>
      </c>
      <c r="G34" s="107"/>
      <c r="H34" s="107"/>
      <c r="I34" s="107"/>
      <c r="J34" s="107"/>
      <c r="K34" s="107"/>
      <c r="L34" s="108">
        <f t="shared" si="0"/>
        <v>0</v>
      </c>
      <c r="P34" s="110"/>
      <c r="Q34" s="110"/>
    </row>
    <row r="35" ht="30" customHeight="1" spans="1:17" x14ac:dyDescent="0.25">
      <c r="A35" s="101"/>
      <c r="B35" s="102"/>
      <c r="C35" s="111"/>
      <c r="D35" s="112"/>
      <c r="E35" s="130"/>
      <c r="F35" s="138" t="s">
        <v>34</v>
      </c>
      <c r="G35" s="115"/>
      <c r="H35" s="116"/>
      <c r="I35" s="116"/>
      <c r="J35" s="116"/>
      <c r="K35" s="116"/>
      <c r="L35" s="117">
        <f t="shared" si="0"/>
        <v>0</v>
      </c>
      <c r="P35" s="110"/>
      <c r="Q35" s="110"/>
    </row>
    <row r="36" ht="30" customHeight="1" spans="1:17" x14ac:dyDescent="0.25">
      <c r="A36" s="101"/>
      <c r="B36" s="102"/>
      <c r="C36" s="119"/>
      <c r="D36" s="120"/>
      <c r="E36" s="131"/>
      <c r="F36" s="139" t="s">
        <v>35</v>
      </c>
      <c r="G36" s="140"/>
      <c r="H36" s="123"/>
      <c r="I36" s="123"/>
      <c r="J36" s="123">
        <v>1</v>
      </c>
      <c r="K36" s="123"/>
      <c r="L36" s="124">
        <f t="shared" si="0"/>
        <v>0</v>
      </c>
      <c r="O36" s="110"/>
      <c r="P36" s="110"/>
      <c r="Q36" s="110"/>
    </row>
    <row r="37" ht="30" customHeight="1" spans="1:17" x14ac:dyDescent="0.25">
      <c r="A37" s="101"/>
      <c r="B37" s="102"/>
      <c r="C37" s="103" t="s">
        <v>39</v>
      </c>
      <c r="D37" s="104"/>
      <c r="E37" s="129"/>
      <c r="F37" s="137" t="s">
        <v>33</v>
      </c>
      <c r="G37" s="107">
        <v>1</v>
      </c>
      <c r="H37" s="107"/>
      <c r="I37" s="107">
        <v>1</v>
      </c>
      <c r="J37" s="107">
        <v>1</v>
      </c>
      <c r="K37" s="107"/>
      <c r="L37" s="108">
        <f t="shared" si="0"/>
        <v>0</v>
      </c>
      <c r="P37" s="110"/>
      <c r="Q37" s="110"/>
    </row>
    <row r="38" ht="30" customHeight="1" spans="1:17" x14ac:dyDescent="0.25">
      <c r="A38" s="101"/>
      <c r="B38" s="102"/>
      <c r="C38" s="111"/>
      <c r="D38" s="112"/>
      <c r="E38" s="130"/>
      <c r="F38" s="138" t="s">
        <v>34</v>
      </c>
      <c r="G38" s="115"/>
      <c r="H38" s="116"/>
      <c r="I38" s="116"/>
      <c r="J38" s="116"/>
      <c r="K38" s="116"/>
      <c r="L38" s="117">
        <f t="shared" si="0"/>
        <v>0</v>
      </c>
      <c r="P38" s="110"/>
      <c r="Q38" s="110"/>
    </row>
    <row r="39" ht="30" customHeight="1" spans="1:17" x14ac:dyDescent="0.25">
      <c r="A39" s="101"/>
      <c r="B39" s="102"/>
      <c r="C39" s="119"/>
      <c r="D39" s="120"/>
      <c r="E39" s="131"/>
      <c r="F39" s="139" t="s">
        <v>35</v>
      </c>
      <c r="G39" s="140"/>
      <c r="H39" s="123"/>
      <c r="I39" s="123"/>
      <c r="J39" s="123"/>
      <c r="K39" s="123"/>
      <c r="L39" s="124">
        <f t="shared" si="0"/>
        <v>0</v>
      </c>
      <c r="P39" s="110"/>
      <c r="Q39" s="110"/>
    </row>
    <row r="40" ht="30" customHeight="1" spans="1:17" x14ac:dyDescent="0.25">
      <c r="A40" s="101"/>
      <c r="B40" s="102"/>
      <c r="C40" s="103" t="s">
        <v>40</v>
      </c>
      <c r="D40" s="104"/>
      <c r="E40" s="129"/>
      <c r="F40" s="137" t="s">
        <v>33</v>
      </c>
      <c r="G40" s="107"/>
      <c r="H40" s="107"/>
      <c r="I40" s="107"/>
      <c r="J40" s="107"/>
      <c r="K40" s="107"/>
      <c r="L40" s="108">
        <f t="shared" si="0"/>
        <v>0</v>
      </c>
      <c r="P40" s="110"/>
      <c r="Q40" s="110"/>
    </row>
    <row r="41" ht="30" customHeight="1" spans="1:17" x14ac:dyDescent="0.25">
      <c r="A41" s="101"/>
      <c r="B41" s="102"/>
      <c r="C41" s="111"/>
      <c r="D41" s="112"/>
      <c r="E41" s="130"/>
      <c r="F41" s="138" t="s">
        <v>34</v>
      </c>
      <c r="G41" s="116"/>
      <c r="H41" s="116"/>
      <c r="I41" s="116"/>
      <c r="J41" s="116"/>
      <c r="K41" s="116"/>
      <c r="L41" s="117">
        <f t="shared" si="0"/>
        <v>0</v>
      </c>
      <c r="P41" s="110"/>
      <c r="Q41" s="110"/>
    </row>
    <row r="42" ht="30" customHeight="1" spans="1:17" x14ac:dyDescent="0.25">
      <c r="A42" s="101"/>
      <c r="B42" s="102"/>
      <c r="C42" s="119"/>
      <c r="D42" s="120"/>
      <c r="E42" s="131"/>
      <c r="F42" s="139" t="s">
        <v>35</v>
      </c>
      <c r="G42" s="123"/>
      <c r="H42" s="123"/>
      <c r="I42" s="123"/>
      <c r="J42" s="123"/>
      <c r="K42" s="123"/>
      <c r="L42" s="124">
        <f t="shared" si="0"/>
        <v>0</v>
      </c>
      <c r="P42" s="110"/>
      <c r="Q42" s="110"/>
    </row>
    <row r="43" ht="45" customHeight="1" spans="1:17" x14ac:dyDescent="0.25">
      <c r="A43" s="101"/>
      <c r="B43" s="102"/>
      <c r="C43" s="103" t="s">
        <v>41</v>
      </c>
      <c r="D43" s="104"/>
      <c r="E43" s="129"/>
      <c r="F43" s="141" t="s">
        <v>33</v>
      </c>
      <c r="G43" s="107"/>
      <c r="H43" s="107"/>
      <c r="I43" s="107"/>
      <c r="J43" s="107"/>
      <c r="K43" s="107"/>
      <c r="L43" s="117">
        <f t="shared" si="0"/>
        <v>0</v>
      </c>
      <c r="P43" s="110"/>
      <c r="Q43" s="110"/>
    </row>
    <row r="44" ht="45" customHeight="1" spans="1:16" x14ac:dyDescent="0.25">
      <c r="A44" s="101"/>
      <c r="B44" s="102"/>
      <c r="C44" s="111"/>
      <c r="D44" s="112"/>
      <c r="E44" s="130"/>
      <c r="F44" s="139" t="s">
        <v>34</v>
      </c>
      <c r="G44" s="123"/>
      <c r="H44" s="123"/>
      <c r="I44" s="123"/>
      <c r="J44" s="123"/>
      <c r="K44" s="123"/>
      <c r="L44" s="124">
        <f t="shared" si="0"/>
        <v>0</v>
      </c>
      <c r="M44" s="142"/>
      <c r="N44" s="142"/>
      <c r="O44" s="142"/>
      <c r="P44" s="142"/>
    </row>
    <row r="45" ht="30" customHeight="1" spans="1:12" x14ac:dyDescent="0.25">
      <c r="A45" s="101"/>
      <c r="B45" s="102"/>
      <c r="C45" s="103" t="s">
        <v>42</v>
      </c>
      <c r="D45" s="104"/>
      <c r="E45" s="129"/>
      <c r="F45" s="137" t="s">
        <v>33</v>
      </c>
      <c r="G45" s="107"/>
      <c r="H45" s="107"/>
      <c r="I45" s="107"/>
      <c r="J45" s="107"/>
      <c r="K45" s="107"/>
      <c r="L45" s="108">
        <f t="shared" si="0"/>
        <v>0</v>
      </c>
    </row>
    <row r="46" ht="30" customHeight="1" spans="1:12" x14ac:dyDescent="0.25">
      <c r="A46" s="101"/>
      <c r="B46" s="102"/>
      <c r="C46" s="111"/>
      <c r="D46" s="112"/>
      <c r="E46" s="130"/>
      <c r="F46" s="138" t="s">
        <v>34</v>
      </c>
      <c r="G46" s="115"/>
      <c r="H46" s="116"/>
      <c r="I46" s="116"/>
      <c r="J46" s="116"/>
      <c r="K46" s="116"/>
      <c r="L46" s="117">
        <f t="shared" si="0"/>
        <v>0</v>
      </c>
    </row>
    <row r="47" ht="30" customHeight="1" spans="1:12" x14ac:dyDescent="0.25">
      <c r="A47" s="101"/>
      <c r="B47" s="102"/>
      <c r="C47" s="119"/>
      <c r="D47" s="120"/>
      <c r="E47" s="131"/>
      <c r="F47" s="139" t="s">
        <v>35</v>
      </c>
      <c r="G47" s="140"/>
      <c r="H47" s="123"/>
      <c r="I47" s="123"/>
      <c r="J47" s="123"/>
      <c r="K47" s="123"/>
      <c r="L47" s="124">
        <f t="shared" si="0"/>
        <v>0</v>
      </c>
    </row>
    <row r="48" ht="30" customHeight="1" spans="1:22" s="143" customFormat="1" x14ac:dyDescent="0.25">
      <c r="A48" s="101"/>
      <c r="B48" s="102"/>
      <c r="C48" s="103" t="s">
        <v>43</v>
      </c>
      <c r="D48" s="104"/>
      <c r="E48" s="129"/>
      <c r="F48" s="137" t="s">
        <v>33</v>
      </c>
      <c r="G48" s="107"/>
      <c r="H48" s="107"/>
      <c r="I48" s="107"/>
      <c r="J48" s="107"/>
      <c r="K48" s="107"/>
      <c r="L48" s="108">
        <f t="shared" si="0"/>
        <v>0</v>
      </c>
      <c r="M48" s="143"/>
      <c r="N48" s="143"/>
      <c r="O48" s="143"/>
      <c r="P48" s="143"/>
      <c r="Q48" s="143"/>
      <c r="R48" s="143"/>
      <c r="S48" s="143"/>
      <c r="T48" s="143"/>
      <c r="U48" s="143"/>
      <c r="V48" s="143"/>
    </row>
    <row r="49" ht="30" customHeight="1" spans="1:12" x14ac:dyDescent="0.25">
      <c r="A49" s="101"/>
      <c r="B49" s="102"/>
      <c r="C49" s="111"/>
      <c r="D49" s="112"/>
      <c r="E49" s="130"/>
      <c r="F49" s="138" t="s">
        <v>34</v>
      </c>
      <c r="G49" s="115"/>
      <c r="H49" s="116"/>
      <c r="I49" s="116"/>
      <c r="J49" s="116"/>
      <c r="K49" s="116"/>
      <c r="L49" s="117">
        <f t="shared" si="0"/>
        <v>0</v>
      </c>
    </row>
    <row r="50" ht="30" customHeight="1" spans="1:12" x14ac:dyDescent="0.25">
      <c r="A50" s="101"/>
      <c r="B50" s="102"/>
      <c r="C50" s="119"/>
      <c r="D50" s="120"/>
      <c r="E50" s="131"/>
      <c r="F50" s="139" t="s">
        <v>35</v>
      </c>
      <c r="G50" s="140"/>
      <c r="H50" s="123"/>
      <c r="I50" s="123"/>
      <c r="J50" s="123"/>
      <c r="K50" s="123"/>
      <c r="L50" s="124">
        <f t="shared" si="0"/>
        <v>0</v>
      </c>
    </row>
    <row r="51" ht="30" customHeight="1" spans="1:12" x14ac:dyDescent="0.25">
      <c r="A51" s="101"/>
      <c r="B51" s="102"/>
      <c r="C51" s="103" t="s">
        <v>44</v>
      </c>
      <c r="D51" s="104"/>
      <c r="E51" s="129"/>
      <c r="F51" s="137" t="s">
        <v>33</v>
      </c>
      <c r="G51" s="125"/>
      <c r="H51" s="125"/>
      <c r="I51" s="125"/>
      <c r="J51" s="125"/>
      <c r="K51" s="125"/>
      <c r="L51" s="108">
        <f t="shared" si="0"/>
        <v>0</v>
      </c>
    </row>
    <row r="52" ht="30" customHeight="1" spans="1:12" x14ac:dyDescent="0.25">
      <c r="A52" s="101"/>
      <c r="B52" s="102"/>
      <c r="C52" s="111"/>
      <c r="D52" s="112"/>
      <c r="E52" s="130"/>
      <c r="F52" s="138" t="s">
        <v>34</v>
      </c>
      <c r="G52" s="126"/>
      <c r="H52" s="127"/>
      <c r="I52" s="127"/>
      <c r="J52" s="127"/>
      <c r="K52" s="127"/>
      <c r="L52" s="117">
        <f t="shared" si="0"/>
        <v>0</v>
      </c>
    </row>
    <row r="53" ht="18.75" customHeight="1" spans="1:12" x14ac:dyDescent="0.25">
      <c r="A53" s="101"/>
      <c r="B53" s="144"/>
      <c r="C53" s="111"/>
      <c r="D53" s="112"/>
      <c r="E53" s="130"/>
      <c r="F53" s="141" t="s">
        <v>35</v>
      </c>
      <c r="G53" s="145"/>
      <c r="H53" s="145"/>
      <c r="I53" s="145"/>
      <c r="J53" s="145"/>
      <c r="K53" s="145"/>
      <c r="L53" s="146">
        <f t="shared" si="0"/>
        <v>0</v>
      </c>
    </row>
    <row r="54" ht="18.75" customHeight="1" spans="1:12" x14ac:dyDescent="0.25">
      <c r="A54" s="101"/>
      <c r="B54" s="69" t="s">
        <v>45</v>
      </c>
      <c r="C54" s="70"/>
      <c r="D54" s="70"/>
      <c r="E54" s="70"/>
      <c r="F54" s="70"/>
      <c r="G54" s="72">
        <f t="shared" ref="G54:K54" si="1">SUM(G8:G53)</f>
        <v>0</v>
      </c>
      <c r="H54" s="72">
        <f t="shared" si="1"/>
        <v>0</v>
      </c>
      <c r="I54" s="72">
        <f t="shared" si="1"/>
        <v>0</v>
      </c>
      <c r="J54" s="72">
        <f t="shared" si="1"/>
        <v>0</v>
      </c>
      <c r="K54" s="72">
        <f t="shared" si="1"/>
        <v>0</v>
      </c>
      <c r="L54" s="72">
        <f>SUM(L8:L53)</f>
        <v>0</v>
      </c>
    </row>
    <row r="55" ht="18.75" customHeight="1" spans="2:12" x14ac:dyDescent="0.25">
      <c r="B55" s="15"/>
      <c r="C55" s="15"/>
      <c r="D55" s="15"/>
      <c r="E55" s="15"/>
      <c r="F55" s="76" t="s">
        <v>46</v>
      </c>
      <c r="G55" s="77">
        <f>IFERROR(G54/10," ")</f>
        <v>0</v>
      </c>
      <c r="H55" s="77">
        <f t="shared" ref="H55:L55" si="2">IFERROR(H54/10," ")</f>
        <v>0</v>
      </c>
      <c r="I55" s="77">
        <f t="shared" si="2"/>
        <v>0</v>
      </c>
      <c r="J55" s="77">
        <f t="shared" si="2"/>
        <v>0</v>
      </c>
      <c r="K55" s="77">
        <f t="shared" si="2"/>
        <v>0</v>
      </c>
      <c r="L55" s="77">
        <f t="shared" si="2"/>
        <v>0</v>
      </c>
    </row>
    <row r="56" ht="18.75" customHeight="1" spans="3:12" x14ac:dyDescent="0.25">
      <c r="C56" s="143"/>
      <c r="D56" s="143"/>
      <c r="E56" s="143"/>
      <c r="F56" s="143"/>
      <c r="G56" s="143"/>
      <c r="L56" s="109"/>
    </row>
    <row r="57" spans="12:12" x14ac:dyDescent="0.25">
      <c r="L57" s="109"/>
    </row>
    <row r="58" spans="12:12" x14ac:dyDescent="0.25">
      <c r="L58" s="109"/>
    </row>
    <row r="59" spans="12:12" x14ac:dyDescent="0.25">
      <c r="L59" s="109"/>
    </row>
    <row r="60" spans="12:12" x14ac:dyDescent="0.25">
      <c r="L60" s="109"/>
    </row>
    <row r="61" spans="12:12" x14ac:dyDescent="0.25">
      <c r="L61" s="109"/>
    </row>
    <row r="62" spans="12:12" x14ac:dyDescent="0.25">
      <c r="L62" s="109"/>
    </row>
    <row r="63" spans="12:12" x14ac:dyDescent="0.25">
      <c r="L63" s="109"/>
    </row>
    <row r="64" spans="12:12" x14ac:dyDescent="0.25">
      <c r="L64" s="109"/>
    </row>
    <row r="65" spans="12:12" x14ac:dyDescent="0.25">
      <c r="L65" s="109"/>
    </row>
    <row r="66" spans="12:12" x14ac:dyDescent="0.25">
      <c r="L66" s="109"/>
    </row>
    <row r="67" spans="12:12" x14ac:dyDescent="0.25">
      <c r="L67" s="109"/>
    </row>
    <row r="68" spans="12:12" x14ac:dyDescent="0.25">
      <c r="L68" s="109"/>
    </row>
    <row r="69" spans="12:12" x14ac:dyDescent="0.25">
      <c r="L69" s="109"/>
    </row>
    <row r="70" spans="12:12" x14ac:dyDescent="0.25">
      <c r="L70" s="109"/>
    </row>
    <row r="71" spans="12:12" x14ac:dyDescent="0.25">
      <c r="L71" s="109"/>
    </row>
    <row r="72" spans="12:12" x14ac:dyDescent="0.25">
      <c r="L72" s="109"/>
    </row>
    <row r="73" spans="12:12" x14ac:dyDescent="0.25">
      <c r="L73" s="109"/>
    </row>
    <row r="74" spans="12:12" x14ac:dyDescent="0.25">
      <c r="L74" s="109"/>
    </row>
    <row r="75" spans="12:12" x14ac:dyDescent="0.25">
      <c r="L75" s="109"/>
    </row>
    <row r="76" spans="12:12" x14ac:dyDescent="0.25">
      <c r="L76" s="109"/>
    </row>
    <row r="77" spans="12:12" x14ac:dyDescent="0.25">
      <c r="L77" s="109"/>
    </row>
  </sheetData>
  <mergeCells count="25">
    <mergeCell ref="C1:L1"/>
    <mergeCell ref="C2:L2"/>
    <mergeCell ref="C3:L3"/>
    <mergeCell ref="C4:L4"/>
    <mergeCell ref="C5:L5"/>
    <mergeCell ref="A7:B7"/>
    <mergeCell ref="C7:F7"/>
    <mergeCell ref="C8:E12"/>
    <mergeCell ref="A8:A54"/>
    <mergeCell ref="B8:B22"/>
    <mergeCell ref="C13:E17"/>
    <mergeCell ref="C18:E22"/>
    <mergeCell ref="C23:E24"/>
    <mergeCell ref="B23:B53"/>
    <mergeCell ref="C25:E27"/>
    <mergeCell ref="C28:E30"/>
    <mergeCell ref="C31:E33"/>
    <mergeCell ref="C34:E36"/>
    <mergeCell ref="C37:E39"/>
    <mergeCell ref="C40:E42"/>
    <mergeCell ref="C43:E44"/>
    <mergeCell ref="C45:E47"/>
    <mergeCell ref="C48:E50"/>
    <mergeCell ref="C51:E53"/>
    <mergeCell ref="B54:F54"/>
  </mergeCells>
  <printOptions horizontalCentered="1" verticalCentered="1"/>
  <pageMargins left="0" right="0" top="0" bottom="0" header="0" footer="0"/>
  <pageSetup orientation="portrait" horizontalDpi="4294967295" verticalDpi="4294967295" scale="48" fitToWidth="1" fitToHeight="0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9C9"/>
  </sheetPr>
  <dimension ref="A1:V77"/>
  <sheetViews>
    <sheetView workbookViewId="0" showGridLines="0" zoomScale="90" zoomScaleNormal="90">
      <selection activeCell="G8" sqref="G8"/>
    </sheetView>
  </sheetViews>
  <sheetFormatPr defaultRowHeight="18" outlineLevelRow="0" outlineLevelCol="0" x14ac:dyDescent="0.35" defaultColWidth="11.42578125" customHeight="1"/>
  <cols>
    <col min="1" max="1" width="10.42578125" style="80" customWidth="1"/>
    <col min="2" max="2" width="17.7109375" style="80" customWidth="1"/>
    <col min="3" max="3" width="10.7109375" style="80" customWidth="1"/>
    <col min="4" max="4" width="13.42578125" style="80" customWidth="1"/>
    <col min="5" max="5" width="25.140625" style="80" customWidth="1"/>
    <col min="6" max="6" width="26.140625" style="80" customWidth="1"/>
    <col min="7" max="10" width="19" style="80" customWidth="1"/>
    <col min="11" max="11" width="17.7109375" style="80" customWidth="1"/>
    <col min="12" max="12" width="20.7109375" style="80" customWidth="1"/>
    <col min="13" max="13" width="14" style="80" customWidth="1"/>
    <col min="14" max="14" width="12.28515625" style="80" customWidth="1"/>
    <col min="15" max="15" width="14" style="80" customWidth="1"/>
    <col min="16" max="16" width="12.42578125" style="80" customWidth="1"/>
    <col min="17" max="17" width="13.7109375" style="80" customWidth="1"/>
    <col min="18" max="16384" width="11.42578125" style="80" customWidth="1"/>
  </cols>
  <sheetData>
    <row r="1" ht="27.75" customHeight="1" spans="1:14" s="81" customFormat="1" x14ac:dyDescent="0.25">
      <c r="A1" s="82"/>
      <c r="B1" s="82"/>
      <c r="C1" s="83" t="s">
        <v>0</v>
      </c>
      <c r="D1" s="83"/>
      <c r="E1" s="83"/>
      <c r="F1" s="83"/>
      <c r="G1" s="83"/>
      <c r="H1" s="83"/>
      <c r="I1" s="83"/>
      <c r="J1" s="83"/>
      <c r="K1" s="83"/>
      <c r="L1" s="83"/>
      <c r="M1" s="84"/>
      <c r="N1" s="84"/>
    </row>
    <row r="2" ht="23.25" customHeight="1" spans="1:14" s="81" customFormat="1" x14ac:dyDescent="0.25">
      <c r="A2" s="82"/>
      <c r="B2" s="82"/>
      <c r="C2" s="83" t="s">
        <v>1</v>
      </c>
      <c r="D2" s="83"/>
      <c r="E2" s="83"/>
      <c r="F2" s="83"/>
      <c r="G2" s="83"/>
      <c r="H2" s="83"/>
      <c r="I2" s="83"/>
      <c r="J2" s="83"/>
      <c r="K2" s="83"/>
      <c r="L2" s="83"/>
      <c r="M2" s="85"/>
      <c r="N2" s="85"/>
    </row>
    <row r="3" ht="23.25" customHeight="1" spans="1:14" s="81" customFormat="1" x14ac:dyDescent="0.25">
      <c r="A3" s="82"/>
      <c r="B3" s="82"/>
      <c r="C3" s="86" t="s">
        <v>2</v>
      </c>
      <c r="D3" s="86"/>
      <c r="E3" s="86"/>
      <c r="F3" s="86"/>
      <c r="G3" s="86"/>
      <c r="H3" s="86"/>
      <c r="I3" s="86"/>
      <c r="J3" s="86"/>
      <c r="K3" s="86"/>
      <c r="L3" s="86"/>
      <c r="M3" s="85"/>
      <c r="N3" s="85"/>
    </row>
    <row r="4" ht="23.25" customHeight="1" spans="1:14" s="81" customFormat="1" x14ac:dyDescent="0.25">
      <c r="A4" s="87"/>
      <c r="B4" s="87"/>
      <c r="C4" s="88" t="str">
        <f>'ANÁLIS DE META-LOGRO'!A5</f>
        <v>Meta-Logro de Vacuna Anti Influenza Estacional Temporada Invernal 2025-2026 por Unidad de Salud</v>
      </c>
      <c r="D4" s="88"/>
      <c r="E4" s="88"/>
      <c r="F4" s="88"/>
      <c r="G4" s="88"/>
      <c r="H4" s="88"/>
      <c r="I4" s="88"/>
      <c r="J4" s="88"/>
      <c r="K4" s="88"/>
      <c r="L4" s="88"/>
      <c r="M4" s="89"/>
      <c r="N4" s="89"/>
    </row>
    <row r="5" ht="21" customHeight="1" spans="1:13" s="90" customFormat="1" x14ac:dyDescent="0.25">
      <c r="A5" s="80"/>
      <c r="B5" s="80"/>
      <c r="C5" s="88" t="s">
        <v>54</v>
      </c>
      <c r="D5" s="88"/>
      <c r="E5" s="88"/>
      <c r="F5" s="88"/>
      <c r="G5" s="88"/>
      <c r="H5" s="88"/>
      <c r="I5" s="88"/>
      <c r="J5" s="88"/>
      <c r="K5" s="88"/>
      <c r="L5" s="88"/>
      <c r="M5" s="91"/>
    </row>
    <row r="6" ht="23.25" customHeight="1" spans="1:14" s="92" customFormat="1" x14ac:dyDescent="0.25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N6" s="93"/>
    </row>
    <row r="7" ht="30" customHeight="1" spans="1:14" x14ac:dyDescent="0.25">
      <c r="A7" s="94" t="s">
        <v>5</v>
      </c>
      <c r="B7" s="95"/>
      <c r="C7" s="94" t="s">
        <v>6</v>
      </c>
      <c r="D7" s="96"/>
      <c r="E7" s="96"/>
      <c r="F7" s="96"/>
      <c r="G7" s="97" t="s">
        <v>48</v>
      </c>
      <c r="H7" s="97" t="s">
        <v>49</v>
      </c>
      <c r="I7" s="97" t="s">
        <v>50</v>
      </c>
      <c r="J7" s="97" t="s">
        <v>51</v>
      </c>
      <c r="K7" s="97" t="s">
        <v>52</v>
      </c>
      <c r="L7" s="98" t="s">
        <v>53</v>
      </c>
      <c r="M7" s="99"/>
      <c r="N7" s="100"/>
    </row>
    <row r="8" ht="30" customHeight="1" spans="1:17" x14ac:dyDescent="0.25">
      <c r="A8" s="101" t="s">
        <v>11</v>
      </c>
      <c r="B8" s="102" t="s">
        <v>12</v>
      </c>
      <c r="C8" s="103" t="s">
        <v>13</v>
      </c>
      <c r="D8" s="104"/>
      <c r="E8" s="105"/>
      <c r="F8" s="106" t="s">
        <v>14</v>
      </c>
      <c r="G8" s="107">
        <v>2</v>
      </c>
      <c r="H8" s="107">
        <v>3</v>
      </c>
      <c r="I8" s="107">
        <v>2</v>
      </c>
      <c r="J8" s="107">
        <v>3</v>
      </c>
      <c r="K8" s="107"/>
      <c r="L8" s="108">
        <f>SUM(G8:K8)</f>
        <v>0</v>
      </c>
      <c r="O8" s="109"/>
      <c r="P8" s="110"/>
      <c r="Q8" s="110"/>
    </row>
    <row r="9" ht="30" customHeight="1" spans="1:17" x14ac:dyDescent="0.25">
      <c r="A9" s="101"/>
      <c r="B9" s="102"/>
      <c r="C9" s="111"/>
      <c r="D9" s="112"/>
      <c r="E9" s="113"/>
      <c r="F9" s="114" t="s">
        <v>15</v>
      </c>
      <c r="G9" s="115">
        <v>3</v>
      </c>
      <c r="H9" s="116">
        <v>4</v>
      </c>
      <c r="I9" s="116">
        <v>3</v>
      </c>
      <c r="J9" s="116">
        <v>6</v>
      </c>
      <c r="K9" s="116"/>
      <c r="L9" s="117">
        <f t="shared" ref="L9:L53" si="0">SUM(G9:K9)</f>
        <v>0</v>
      </c>
      <c r="O9" s="109"/>
      <c r="P9" s="110"/>
      <c r="Q9" s="110"/>
    </row>
    <row r="10" ht="30" customHeight="1" spans="1:17" x14ac:dyDescent="0.25">
      <c r="A10" s="101"/>
      <c r="B10" s="102"/>
      <c r="C10" s="111"/>
      <c r="D10" s="112"/>
      <c r="E10" s="113"/>
      <c r="F10" s="114" t="s">
        <v>16</v>
      </c>
      <c r="G10" s="115">
        <v>5</v>
      </c>
      <c r="H10" s="116">
        <v>5</v>
      </c>
      <c r="I10" s="116">
        <v>5</v>
      </c>
      <c r="J10" s="116">
        <v>5</v>
      </c>
      <c r="K10" s="116"/>
      <c r="L10" s="117">
        <f t="shared" si="0"/>
        <v>0</v>
      </c>
      <c r="O10" s="109"/>
      <c r="P10" s="110"/>
      <c r="Q10" s="110"/>
    </row>
    <row r="11" ht="30" customHeight="1" spans="1:17" x14ac:dyDescent="0.25">
      <c r="A11" s="101"/>
      <c r="B11" s="102"/>
      <c r="C11" s="111"/>
      <c r="D11" s="112"/>
      <c r="E11" s="113"/>
      <c r="F11" s="118" t="s">
        <v>17</v>
      </c>
      <c r="G11" s="116">
        <v>5</v>
      </c>
      <c r="H11" s="116">
        <v>5</v>
      </c>
      <c r="I11" s="116">
        <v>4</v>
      </c>
      <c r="J11" s="116">
        <v>2</v>
      </c>
      <c r="K11" s="116"/>
      <c r="L11" s="117">
        <f t="shared" si="0"/>
        <v>0</v>
      </c>
      <c r="O11" s="109"/>
      <c r="P11" s="110"/>
      <c r="Q11" s="110"/>
    </row>
    <row r="12" ht="30" customHeight="1" spans="1:17" x14ac:dyDescent="0.25">
      <c r="A12" s="101"/>
      <c r="B12" s="102"/>
      <c r="C12" s="119"/>
      <c r="D12" s="120"/>
      <c r="E12" s="121"/>
      <c r="F12" s="122" t="s">
        <v>18</v>
      </c>
      <c r="G12" s="123">
        <v>2</v>
      </c>
      <c r="H12" s="123">
        <v>2</v>
      </c>
      <c r="I12" s="123">
        <v>2</v>
      </c>
      <c r="J12" s="123">
        <v>3</v>
      </c>
      <c r="K12" s="123"/>
      <c r="L12" s="124">
        <f t="shared" si="0"/>
        <v>0</v>
      </c>
      <c r="O12" s="109"/>
      <c r="P12" s="110"/>
      <c r="Q12" s="110"/>
    </row>
    <row r="13" ht="30" customHeight="1" spans="1:17" x14ac:dyDescent="0.25">
      <c r="A13" s="101"/>
      <c r="B13" s="102"/>
      <c r="C13" s="103" t="s">
        <v>19</v>
      </c>
      <c r="D13" s="104"/>
      <c r="E13" s="105"/>
      <c r="F13" s="106" t="s">
        <v>20</v>
      </c>
      <c r="G13" s="107">
        <v>3</v>
      </c>
      <c r="H13" s="107">
        <v>1</v>
      </c>
      <c r="I13" s="107">
        <v>1</v>
      </c>
      <c r="J13" s="107">
        <v>1</v>
      </c>
      <c r="K13" s="107"/>
      <c r="L13" s="108">
        <f t="shared" si="0"/>
        <v>0</v>
      </c>
      <c r="O13" s="109"/>
      <c r="P13" s="110"/>
      <c r="Q13" s="110"/>
    </row>
    <row r="14" ht="30" customHeight="1" spans="1:17" x14ac:dyDescent="0.25">
      <c r="A14" s="101"/>
      <c r="B14" s="102"/>
      <c r="C14" s="111"/>
      <c r="D14" s="112"/>
      <c r="E14" s="113"/>
      <c r="F14" s="114" t="s">
        <v>21</v>
      </c>
      <c r="G14" s="115">
        <v>2</v>
      </c>
      <c r="H14" s="116">
        <v>1</v>
      </c>
      <c r="I14" s="116">
        <v>2</v>
      </c>
      <c r="J14" s="116">
        <v>1</v>
      </c>
      <c r="K14" s="116"/>
      <c r="L14" s="117">
        <f t="shared" si="0"/>
        <v>0</v>
      </c>
      <c r="O14" s="109"/>
      <c r="P14" s="110"/>
      <c r="Q14" s="110"/>
    </row>
    <row r="15" ht="30" customHeight="1" spans="1:17" x14ac:dyDescent="0.25">
      <c r="A15" s="101"/>
      <c r="B15" s="102"/>
      <c r="C15" s="111"/>
      <c r="D15" s="112"/>
      <c r="E15" s="113"/>
      <c r="F15" s="114" t="s">
        <v>22</v>
      </c>
      <c r="G15" s="115">
        <v>1</v>
      </c>
      <c r="H15" s="116">
        <v>2</v>
      </c>
      <c r="I15" s="116">
        <v>1</v>
      </c>
      <c r="J15" s="116">
        <v>2</v>
      </c>
      <c r="K15" s="116"/>
      <c r="L15" s="117">
        <f t="shared" si="0"/>
        <v>0</v>
      </c>
      <c r="O15" s="109"/>
      <c r="P15" s="110"/>
      <c r="Q15" s="110"/>
    </row>
    <row r="16" ht="30" customHeight="1" spans="1:17" x14ac:dyDescent="0.25">
      <c r="A16" s="101"/>
      <c r="B16" s="102"/>
      <c r="C16" s="111"/>
      <c r="D16" s="112"/>
      <c r="E16" s="113"/>
      <c r="F16" s="118" t="s">
        <v>23</v>
      </c>
      <c r="G16" s="116">
        <v>1</v>
      </c>
      <c r="H16" s="116">
        <v>2</v>
      </c>
      <c r="I16" s="116">
        <v>2</v>
      </c>
      <c r="J16" s="116">
        <v>2</v>
      </c>
      <c r="K16" s="116"/>
      <c r="L16" s="117">
        <f t="shared" si="0"/>
        <v>0</v>
      </c>
      <c r="O16" s="109"/>
      <c r="P16" s="110"/>
      <c r="Q16" s="110"/>
    </row>
    <row r="17" ht="30" customHeight="1" spans="1:17" x14ac:dyDescent="0.25">
      <c r="A17" s="101"/>
      <c r="B17" s="102"/>
      <c r="C17" s="119"/>
      <c r="D17" s="120"/>
      <c r="E17" s="121"/>
      <c r="F17" s="122" t="s">
        <v>24</v>
      </c>
      <c r="G17" s="123">
        <v>1</v>
      </c>
      <c r="H17" s="123">
        <v>1</v>
      </c>
      <c r="I17" s="123">
        <v>1</v>
      </c>
      <c r="J17" s="123">
        <v>1</v>
      </c>
      <c r="K17" s="123"/>
      <c r="L17" s="124">
        <f t="shared" si="0"/>
        <v>0</v>
      </c>
      <c r="O17" s="109"/>
      <c r="P17" s="110"/>
      <c r="Q17" s="110"/>
    </row>
    <row r="18" ht="30" customHeight="1" spans="1:17" x14ac:dyDescent="0.25">
      <c r="A18" s="101"/>
      <c r="B18" s="102"/>
      <c r="C18" s="103" t="s">
        <v>25</v>
      </c>
      <c r="D18" s="104"/>
      <c r="E18" s="129"/>
      <c r="F18" s="106" t="s">
        <v>26</v>
      </c>
      <c r="G18" s="107">
        <v>1</v>
      </c>
      <c r="H18" s="107">
        <v>2</v>
      </c>
      <c r="I18" s="107">
        <v>2</v>
      </c>
      <c r="J18" s="107">
        <v>1</v>
      </c>
      <c r="K18" s="107"/>
      <c r="L18" s="108">
        <f t="shared" si="0"/>
        <v>0</v>
      </c>
      <c r="O18" s="109"/>
      <c r="P18" s="110"/>
      <c r="Q18" s="110"/>
    </row>
    <row r="19" ht="30" customHeight="1" spans="1:17" x14ac:dyDescent="0.25">
      <c r="A19" s="101"/>
      <c r="B19" s="102"/>
      <c r="C19" s="111"/>
      <c r="D19" s="112"/>
      <c r="E19" s="130"/>
      <c r="F19" s="114" t="s">
        <v>22</v>
      </c>
      <c r="G19" s="115">
        <v>1</v>
      </c>
      <c r="H19" s="116">
        <v>2</v>
      </c>
      <c r="I19" s="116">
        <v>1</v>
      </c>
      <c r="J19" s="116">
        <v>1</v>
      </c>
      <c r="K19" s="116"/>
      <c r="L19" s="117">
        <f t="shared" si="0"/>
        <v>0</v>
      </c>
      <c r="O19" s="109"/>
      <c r="P19" s="110"/>
      <c r="Q19" s="110"/>
    </row>
    <row r="20" ht="30" customHeight="1" spans="1:17" x14ac:dyDescent="0.25">
      <c r="A20" s="101"/>
      <c r="B20" s="102"/>
      <c r="C20" s="111"/>
      <c r="D20" s="112"/>
      <c r="E20" s="130"/>
      <c r="F20" s="114" t="s">
        <v>17</v>
      </c>
      <c r="G20" s="115">
        <v>1</v>
      </c>
      <c r="H20" s="116">
        <v>1</v>
      </c>
      <c r="I20" s="116">
        <v>1</v>
      </c>
      <c r="J20" s="116">
        <v>2</v>
      </c>
      <c r="K20" s="116"/>
      <c r="L20" s="117">
        <f t="shared" si="0"/>
        <v>0</v>
      </c>
      <c r="O20" s="109"/>
      <c r="P20" s="110"/>
      <c r="Q20" s="110"/>
    </row>
    <row r="21" ht="30" customHeight="1" spans="1:17" x14ac:dyDescent="0.25">
      <c r="A21" s="101"/>
      <c r="B21" s="102"/>
      <c r="C21" s="111"/>
      <c r="D21" s="112"/>
      <c r="E21" s="130"/>
      <c r="F21" s="118" t="s">
        <v>18</v>
      </c>
      <c r="G21" s="116">
        <v>1</v>
      </c>
      <c r="H21" s="116">
        <v>1</v>
      </c>
      <c r="I21" s="116">
        <v>1</v>
      </c>
      <c r="J21" s="116">
        <v>1</v>
      </c>
      <c r="K21" s="116"/>
      <c r="L21" s="117">
        <f t="shared" si="0"/>
        <v>0</v>
      </c>
      <c r="O21" s="109"/>
      <c r="P21" s="110"/>
      <c r="Q21" s="110"/>
    </row>
    <row r="22" ht="30" customHeight="1" spans="1:17" x14ac:dyDescent="0.25">
      <c r="A22" s="101"/>
      <c r="B22" s="102"/>
      <c r="C22" s="119"/>
      <c r="D22" s="120"/>
      <c r="E22" s="131"/>
      <c r="F22" s="122" t="s">
        <v>27</v>
      </c>
      <c r="G22" s="123">
        <v>4</v>
      </c>
      <c r="H22" s="123">
        <v>5</v>
      </c>
      <c r="I22" s="123">
        <v>6</v>
      </c>
      <c r="J22" s="123">
        <v>6</v>
      </c>
      <c r="K22" s="123"/>
      <c r="L22" s="124">
        <f t="shared" si="0"/>
        <v>0</v>
      </c>
      <c r="O22" s="109"/>
      <c r="P22" s="110"/>
      <c r="Q22" s="110"/>
    </row>
    <row r="23" ht="30" customHeight="1" spans="1:17" x14ac:dyDescent="0.25">
      <c r="A23" s="101"/>
      <c r="B23" s="102" t="s">
        <v>28</v>
      </c>
      <c r="C23" s="103" t="s">
        <v>29</v>
      </c>
      <c r="D23" s="104"/>
      <c r="E23" s="129"/>
      <c r="F23" s="132" t="s">
        <v>30</v>
      </c>
      <c r="G23" s="133">
        <v>1</v>
      </c>
      <c r="H23" s="133">
        <v>1</v>
      </c>
      <c r="I23" s="133">
        <v>1</v>
      </c>
      <c r="J23" s="133">
        <v>1</v>
      </c>
      <c r="K23" s="133"/>
      <c r="L23" s="134">
        <f t="shared" si="0"/>
        <v>0</v>
      </c>
      <c r="P23" s="110"/>
      <c r="Q23" s="110"/>
    </row>
    <row r="24" ht="51" customHeight="1" spans="1:17" x14ac:dyDescent="0.25">
      <c r="A24" s="101"/>
      <c r="B24" s="102"/>
      <c r="C24" s="119"/>
      <c r="D24" s="120"/>
      <c r="E24" s="131"/>
      <c r="F24" s="135" t="s">
        <v>31</v>
      </c>
      <c r="G24" s="136">
        <v>8</v>
      </c>
      <c r="H24" s="133">
        <v>8</v>
      </c>
      <c r="I24" s="133">
        <v>6</v>
      </c>
      <c r="J24" s="133">
        <v>4</v>
      </c>
      <c r="K24" s="133"/>
      <c r="L24" s="134">
        <f t="shared" si="0"/>
        <v>0</v>
      </c>
      <c r="P24" s="110"/>
      <c r="Q24" s="110"/>
    </row>
    <row r="25" ht="30" customHeight="1" spans="1:17" x14ac:dyDescent="0.25">
      <c r="A25" s="101"/>
      <c r="B25" s="102"/>
      <c r="C25" s="103" t="s">
        <v>32</v>
      </c>
      <c r="D25" s="104"/>
      <c r="E25" s="129"/>
      <c r="F25" s="137" t="s">
        <v>33</v>
      </c>
      <c r="G25" s="107"/>
      <c r="H25" s="107">
        <v>1</v>
      </c>
      <c r="I25" s="107">
        <v>1</v>
      </c>
      <c r="J25" s="107"/>
      <c r="K25" s="107"/>
      <c r="L25" s="108">
        <f t="shared" si="0"/>
        <v>0</v>
      </c>
      <c r="P25" s="110"/>
      <c r="Q25" s="110"/>
    </row>
    <row r="26" ht="30" customHeight="1" spans="1:17" x14ac:dyDescent="0.25">
      <c r="A26" s="101"/>
      <c r="B26" s="102"/>
      <c r="C26" s="111"/>
      <c r="D26" s="112"/>
      <c r="E26" s="130"/>
      <c r="F26" s="138" t="s">
        <v>34</v>
      </c>
      <c r="G26" s="115">
        <v>1</v>
      </c>
      <c r="H26" s="116">
        <v>1</v>
      </c>
      <c r="I26" s="116">
        <v>1</v>
      </c>
      <c r="J26" s="116">
        <v>1</v>
      </c>
      <c r="K26" s="116"/>
      <c r="L26" s="117">
        <f t="shared" si="0"/>
        <v>0</v>
      </c>
      <c r="P26" s="110"/>
      <c r="Q26" s="110"/>
    </row>
    <row r="27" ht="30" customHeight="1" spans="1:17" x14ac:dyDescent="0.25">
      <c r="A27" s="101"/>
      <c r="B27" s="102"/>
      <c r="C27" s="119"/>
      <c r="D27" s="120"/>
      <c r="E27" s="131"/>
      <c r="F27" s="139" t="s">
        <v>35</v>
      </c>
      <c r="G27" s="140">
        <v>1</v>
      </c>
      <c r="H27" s="123">
        <v>1</v>
      </c>
      <c r="I27" s="123">
        <v>1</v>
      </c>
      <c r="J27" s="123">
        <v>1</v>
      </c>
      <c r="K27" s="123"/>
      <c r="L27" s="124">
        <f t="shared" si="0"/>
        <v>0</v>
      </c>
      <c r="P27" s="110"/>
      <c r="Q27" s="110"/>
    </row>
    <row r="28" ht="30" customHeight="1" spans="1:17" x14ac:dyDescent="0.25">
      <c r="A28" s="101"/>
      <c r="B28" s="102"/>
      <c r="C28" s="103" t="s">
        <v>36</v>
      </c>
      <c r="D28" s="104"/>
      <c r="E28" s="129"/>
      <c r="F28" s="137" t="s">
        <v>33</v>
      </c>
      <c r="G28" s="107"/>
      <c r="H28" s="107"/>
      <c r="I28" s="107"/>
      <c r="J28" s="107"/>
      <c r="K28" s="107"/>
      <c r="L28" s="108">
        <f t="shared" si="0"/>
        <v>0</v>
      </c>
      <c r="P28" s="110"/>
      <c r="Q28" s="110"/>
    </row>
    <row r="29" ht="30" customHeight="1" spans="1:17" x14ac:dyDescent="0.25">
      <c r="A29" s="101"/>
      <c r="B29" s="102"/>
      <c r="C29" s="111"/>
      <c r="D29" s="112"/>
      <c r="E29" s="130"/>
      <c r="F29" s="138" t="s">
        <v>34</v>
      </c>
      <c r="G29" s="115"/>
      <c r="H29" s="116"/>
      <c r="I29" s="116"/>
      <c r="J29" s="116"/>
      <c r="K29" s="116"/>
      <c r="L29" s="117">
        <f t="shared" si="0"/>
        <v>0</v>
      </c>
      <c r="P29" s="110"/>
      <c r="Q29" s="110"/>
    </row>
    <row r="30" ht="30" customHeight="1" spans="1:17" x14ac:dyDescent="0.25">
      <c r="A30" s="101"/>
      <c r="B30" s="102"/>
      <c r="C30" s="119"/>
      <c r="D30" s="120"/>
      <c r="E30" s="131"/>
      <c r="F30" s="139" t="s">
        <v>35</v>
      </c>
      <c r="G30" s="140">
        <v>1</v>
      </c>
      <c r="H30" s="123">
        <v>1</v>
      </c>
      <c r="I30" s="123"/>
      <c r="J30" s="123">
        <v>1</v>
      </c>
      <c r="K30" s="123"/>
      <c r="L30" s="124">
        <f t="shared" si="0"/>
        <v>0</v>
      </c>
      <c r="P30" s="110"/>
      <c r="Q30" s="110"/>
    </row>
    <row r="31" ht="30" customHeight="1" spans="1:17" x14ac:dyDescent="0.25">
      <c r="A31" s="101"/>
      <c r="B31" s="102"/>
      <c r="C31" s="103" t="s">
        <v>37</v>
      </c>
      <c r="D31" s="104"/>
      <c r="E31" s="129"/>
      <c r="F31" s="137" t="s">
        <v>33</v>
      </c>
      <c r="G31" s="107"/>
      <c r="H31" s="107"/>
      <c r="I31" s="107"/>
      <c r="J31" s="107"/>
      <c r="K31" s="107"/>
      <c r="L31" s="108">
        <f t="shared" si="0"/>
        <v>0</v>
      </c>
      <c r="P31" s="110"/>
      <c r="Q31" s="110"/>
    </row>
    <row r="32" ht="30" customHeight="1" spans="1:17" x14ac:dyDescent="0.25">
      <c r="A32" s="101"/>
      <c r="B32" s="102"/>
      <c r="C32" s="111"/>
      <c r="D32" s="112"/>
      <c r="E32" s="130"/>
      <c r="F32" s="138" t="s">
        <v>34</v>
      </c>
      <c r="G32" s="115"/>
      <c r="H32" s="116"/>
      <c r="I32" s="116"/>
      <c r="J32" s="116"/>
      <c r="K32" s="116"/>
      <c r="L32" s="117">
        <f t="shared" si="0"/>
        <v>0</v>
      </c>
      <c r="P32" s="110"/>
      <c r="Q32" s="110"/>
    </row>
    <row r="33" ht="30" customHeight="1" spans="1:17" x14ac:dyDescent="0.25">
      <c r="A33" s="101"/>
      <c r="B33" s="102"/>
      <c r="C33" s="119"/>
      <c r="D33" s="120"/>
      <c r="E33" s="131"/>
      <c r="F33" s="139" t="s">
        <v>35</v>
      </c>
      <c r="G33" s="140">
        <v>1</v>
      </c>
      <c r="H33" s="123"/>
      <c r="I33" s="123"/>
      <c r="J33" s="123"/>
      <c r="K33" s="123"/>
      <c r="L33" s="124">
        <f t="shared" si="0"/>
        <v>0</v>
      </c>
      <c r="P33" s="110"/>
      <c r="Q33" s="110"/>
    </row>
    <row r="34" ht="30" customHeight="1" spans="1:17" x14ac:dyDescent="0.25">
      <c r="A34" s="101"/>
      <c r="B34" s="102"/>
      <c r="C34" s="103" t="s">
        <v>38</v>
      </c>
      <c r="D34" s="104"/>
      <c r="E34" s="129"/>
      <c r="F34" s="137" t="s">
        <v>33</v>
      </c>
      <c r="G34" s="107"/>
      <c r="H34" s="107"/>
      <c r="I34" s="107"/>
      <c r="J34" s="107"/>
      <c r="K34" s="107"/>
      <c r="L34" s="108">
        <f t="shared" si="0"/>
        <v>0</v>
      </c>
      <c r="P34" s="110"/>
      <c r="Q34" s="110"/>
    </row>
    <row r="35" ht="30" customHeight="1" spans="1:17" x14ac:dyDescent="0.25">
      <c r="A35" s="101"/>
      <c r="B35" s="102"/>
      <c r="C35" s="111"/>
      <c r="D35" s="112"/>
      <c r="E35" s="130"/>
      <c r="F35" s="138" t="s">
        <v>34</v>
      </c>
      <c r="G35" s="115"/>
      <c r="H35" s="116"/>
      <c r="I35" s="116"/>
      <c r="J35" s="116"/>
      <c r="K35" s="116"/>
      <c r="L35" s="117">
        <f t="shared" si="0"/>
        <v>0</v>
      </c>
      <c r="P35" s="110"/>
      <c r="Q35" s="110"/>
    </row>
    <row r="36" ht="30" customHeight="1" spans="1:17" x14ac:dyDescent="0.25">
      <c r="A36" s="101"/>
      <c r="B36" s="102"/>
      <c r="C36" s="119"/>
      <c r="D36" s="120"/>
      <c r="E36" s="131"/>
      <c r="F36" s="139" t="s">
        <v>35</v>
      </c>
      <c r="G36" s="140"/>
      <c r="H36" s="123"/>
      <c r="I36" s="123"/>
      <c r="J36" s="123"/>
      <c r="K36" s="123"/>
      <c r="L36" s="124">
        <f t="shared" si="0"/>
        <v>0</v>
      </c>
      <c r="O36" s="110"/>
      <c r="P36" s="110"/>
      <c r="Q36" s="110"/>
    </row>
    <row r="37" ht="30" customHeight="1" spans="1:17" x14ac:dyDescent="0.25">
      <c r="A37" s="101"/>
      <c r="B37" s="102"/>
      <c r="C37" s="103" t="s">
        <v>39</v>
      </c>
      <c r="D37" s="104"/>
      <c r="E37" s="129"/>
      <c r="F37" s="137" t="s">
        <v>33</v>
      </c>
      <c r="G37" s="107">
        <v>1</v>
      </c>
      <c r="H37" s="107"/>
      <c r="I37" s="107"/>
      <c r="J37" s="107">
        <v>1</v>
      </c>
      <c r="K37" s="107"/>
      <c r="L37" s="108">
        <f t="shared" si="0"/>
        <v>0</v>
      </c>
      <c r="P37" s="110"/>
      <c r="Q37" s="110"/>
    </row>
    <row r="38" ht="30" customHeight="1" spans="1:17" x14ac:dyDescent="0.25">
      <c r="A38" s="101"/>
      <c r="B38" s="102"/>
      <c r="C38" s="111"/>
      <c r="D38" s="112"/>
      <c r="E38" s="130"/>
      <c r="F38" s="138" t="s">
        <v>34</v>
      </c>
      <c r="G38" s="115"/>
      <c r="H38" s="116"/>
      <c r="I38" s="116"/>
      <c r="J38" s="116"/>
      <c r="K38" s="116"/>
      <c r="L38" s="117">
        <f t="shared" si="0"/>
        <v>0</v>
      </c>
      <c r="P38" s="110"/>
      <c r="Q38" s="110"/>
    </row>
    <row r="39" ht="30" customHeight="1" spans="1:17" x14ac:dyDescent="0.25">
      <c r="A39" s="101"/>
      <c r="B39" s="102"/>
      <c r="C39" s="119"/>
      <c r="D39" s="120"/>
      <c r="E39" s="131"/>
      <c r="F39" s="139" t="s">
        <v>35</v>
      </c>
      <c r="G39" s="140"/>
      <c r="H39" s="123"/>
      <c r="I39" s="123"/>
      <c r="J39" s="123"/>
      <c r="K39" s="123"/>
      <c r="L39" s="124">
        <f t="shared" si="0"/>
        <v>0</v>
      </c>
      <c r="P39" s="110"/>
      <c r="Q39" s="110"/>
    </row>
    <row r="40" ht="30" customHeight="1" spans="1:17" x14ac:dyDescent="0.25">
      <c r="A40" s="101"/>
      <c r="B40" s="102"/>
      <c r="C40" s="103" t="s">
        <v>40</v>
      </c>
      <c r="D40" s="104"/>
      <c r="E40" s="129"/>
      <c r="F40" s="137" t="s">
        <v>33</v>
      </c>
      <c r="G40" s="107"/>
      <c r="H40" s="107"/>
      <c r="I40" s="107"/>
      <c r="J40" s="107"/>
      <c r="K40" s="107"/>
      <c r="L40" s="108">
        <f t="shared" si="0"/>
        <v>0</v>
      </c>
      <c r="P40" s="110"/>
      <c r="Q40" s="110"/>
    </row>
    <row r="41" ht="30" customHeight="1" spans="1:17" x14ac:dyDescent="0.25">
      <c r="A41" s="101"/>
      <c r="B41" s="102"/>
      <c r="C41" s="111"/>
      <c r="D41" s="112"/>
      <c r="E41" s="130"/>
      <c r="F41" s="138" t="s">
        <v>34</v>
      </c>
      <c r="G41" s="116"/>
      <c r="H41" s="116"/>
      <c r="I41" s="116"/>
      <c r="J41" s="116"/>
      <c r="K41" s="116"/>
      <c r="L41" s="117">
        <f t="shared" si="0"/>
        <v>0</v>
      </c>
      <c r="P41" s="110"/>
      <c r="Q41" s="110"/>
    </row>
    <row r="42" ht="30" customHeight="1" spans="1:17" x14ac:dyDescent="0.25">
      <c r="A42" s="101"/>
      <c r="B42" s="102"/>
      <c r="C42" s="119"/>
      <c r="D42" s="120"/>
      <c r="E42" s="131"/>
      <c r="F42" s="139" t="s">
        <v>35</v>
      </c>
      <c r="G42" s="123"/>
      <c r="H42" s="123"/>
      <c r="I42" s="123"/>
      <c r="J42" s="123"/>
      <c r="K42" s="123"/>
      <c r="L42" s="124">
        <f t="shared" si="0"/>
        <v>0</v>
      </c>
      <c r="P42" s="110"/>
      <c r="Q42" s="110"/>
    </row>
    <row r="43" ht="45" customHeight="1" spans="1:17" x14ac:dyDescent="0.25">
      <c r="A43" s="101"/>
      <c r="B43" s="102"/>
      <c r="C43" s="103" t="s">
        <v>41</v>
      </c>
      <c r="D43" s="104"/>
      <c r="E43" s="129"/>
      <c r="F43" s="141" t="s">
        <v>33</v>
      </c>
      <c r="G43" s="107"/>
      <c r="H43" s="107"/>
      <c r="I43" s="107"/>
      <c r="J43" s="107"/>
      <c r="K43" s="107"/>
      <c r="L43" s="117">
        <f t="shared" si="0"/>
        <v>0</v>
      </c>
      <c r="P43" s="110"/>
      <c r="Q43" s="110"/>
    </row>
    <row r="44" ht="45" customHeight="1" spans="1:16" x14ac:dyDescent="0.25">
      <c r="A44" s="101"/>
      <c r="B44" s="102"/>
      <c r="C44" s="111"/>
      <c r="D44" s="112"/>
      <c r="E44" s="130"/>
      <c r="F44" s="139" t="s">
        <v>34</v>
      </c>
      <c r="G44" s="123"/>
      <c r="H44" s="123"/>
      <c r="I44" s="123"/>
      <c r="J44" s="123"/>
      <c r="K44" s="123"/>
      <c r="L44" s="124">
        <f t="shared" si="0"/>
        <v>0</v>
      </c>
      <c r="M44" s="142"/>
      <c r="N44" s="142"/>
      <c r="O44" s="142"/>
      <c r="P44" s="142"/>
    </row>
    <row r="45" ht="30" customHeight="1" spans="1:12" x14ac:dyDescent="0.25">
      <c r="A45" s="101"/>
      <c r="B45" s="102"/>
      <c r="C45" s="103" t="s">
        <v>42</v>
      </c>
      <c r="D45" s="104"/>
      <c r="E45" s="129"/>
      <c r="F45" s="137" t="s">
        <v>33</v>
      </c>
      <c r="G45" s="107"/>
      <c r="H45" s="107"/>
      <c r="I45" s="107"/>
      <c r="J45" s="107"/>
      <c r="K45" s="107"/>
      <c r="L45" s="108">
        <f t="shared" si="0"/>
        <v>0</v>
      </c>
    </row>
    <row r="46" ht="30" customHeight="1" spans="1:12" x14ac:dyDescent="0.25">
      <c r="A46" s="101"/>
      <c r="B46" s="102"/>
      <c r="C46" s="111"/>
      <c r="D46" s="112"/>
      <c r="E46" s="130"/>
      <c r="F46" s="138" t="s">
        <v>34</v>
      </c>
      <c r="G46" s="115"/>
      <c r="H46" s="116"/>
      <c r="I46" s="116"/>
      <c r="J46" s="116"/>
      <c r="K46" s="116"/>
      <c r="L46" s="117">
        <f t="shared" si="0"/>
        <v>0</v>
      </c>
    </row>
    <row r="47" ht="30" customHeight="1" spans="1:12" x14ac:dyDescent="0.25">
      <c r="A47" s="101"/>
      <c r="B47" s="102"/>
      <c r="C47" s="119"/>
      <c r="D47" s="120"/>
      <c r="E47" s="131"/>
      <c r="F47" s="139" t="s">
        <v>35</v>
      </c>
      <c r="G47" s="140"/>
      <c r="H47" s="123"/>
      <c r="I47" s="123"/>
      <c r="J47" s="123"/>
      <c r="K47" s="123"/>
      <c r="L47" s="124">
        <f t="shared" si="0"/>
        <v>0</v>
      </c>
    </row>
    <row r="48" ht="30" customHeight="1" spans="1:22" s="143" customFormat="1" x14ac:dyDescent="0.25">
      <c r="A48" s="101"/>
      <c r="B48" s="102"/>
      <c r="C48" s="103" t="s">
        <v>43</v>
      </c>
      <c r="D48" s="104"/>
      <c r="E48" s="129"/>
      <c r="F48" s="137" t="s">
        <v>33</v>
      </c>
      <c r="G48" s="107"/>
      <c r="H48" s="107"/>
      <c r="I48" s="107"/>
      <c r="J48" s="107"/>
      <c r="K48" s="107"/>
      <c r="L48" s="108">
        <f t="shared" si="0"/>
        <v>0</v>
      </c>
      <c r="M48" s="143"/>
      <c r="N48" s="143"/>
      <c r="O48" s="143"/>
      <c r="P48" s="143"/>
      <c r="Q48" s="143"/>
      <c r="R48" s="143"/>
      <c r="S48" s="143"/>
      <c r="T48" s="143"/>
      <c r="U48" s="143"/>
      <c r="V48" s="143"/>
    </row>
    <row r="49" ht="30" customHeight="1" spans="1:12" x14ac:dyDescent="0.25">
      <c r="A49" s="101"/>
      <c r="B49" s="102"/>
      <c r="C49" s="111"/>
      <c r="D49" s="112"/>
      <c r="E49" s="130"/>
      <c r="F49" s="138" t="s">
        <v>34</v>
      </c>
      <c r="G49" s="115"/>
      <c r="H49" s="116"/>
      <c r="I49" s="116"/>
      <c r="J49" s="116"/>
      <c r="K49" s="116"/>
      <c r="L49" s="117">
        <f t="shared" si="0"/>
        <v>0</v>
      </c>
    </row>
    <row r="50" ht="30" customHeight="1" spans="1:12" x14ac:dyDescent="0.25">
      <c r="A50" s="101"/>
      <c r="B50" s="102"/>
      <c r="C50" s="119"/>
      <c r="D50" s="120"/>
      <c r="E50" s="131"/>
      <c r="F50" s="139" t="s">
        <v>35</v>
      </c>
      <c r="G50" s="140"/>
      <c r="H50" s="123"/>
      <c r="I50" s="123"/>
      <c r="J50" s="123"/>
      <c r="K50" s="123"/>
      <c r="L50" s="124">
        <f t="shared" si="0"/>
        <v>0</v>
      </c>
    </row>
    <row r="51" ht="30" customHeight="1" spans="1:12" x14ac:dyDescent="0.25">
      <c r="A51" s="101"/>
      <c r="B51" s="102"/>
      <c r="C51" s="103" t="s">
        <v>44</v>
      </c>
      <c r="D51" s="104"/>
      <c r="E51" s="129"/>
      <c r="F51" s="137" t="s">
        <v>33</v>
      </c>
      <c r="G51" s="125"/>
      <c r="H51" s="125"/>
      <c r="I51" s="125"/>
      <c r="J51" s="125"/>
      <c r="K51" s="125"/>
      <c r="L51" s="108">
        <f t="shared" si="0"/>
        <v>0</v>
      </c>
    </row>
    <row r="52" ht="30" customHeight="1" spans="1:12" x14ac:dyDescent="0.25">
      <c r="A52" s="101"/>
      <c r="B52" s="102"/>
      <c r="C52" s="111"/>
      <c r="D52" s="112"/>
      <c r="E52" s="130"/>
      <c r="F52" s="138" t="s">
        <v>34</v>
      </c>
      <c r="G52" s="126"/>
      <c r="H52" s="127"/>
      <c r="I52" s="127"/>
      <c r="J52" s="127"/>
      <c r="K52" s="127"/>
      <c r="L52" s="117">
        <f t="shared" si="0"/>
        <v>0</v>
      </c>
    </row>
    <row r="53" ht="18.75" customHeight="1" spans="1:12" x14ac:dyDescent="0.25">
      <c r="A53" s="101"/>
      <c r="B53" s="144"/>
      <c r="C53" s="111"/>
      <c r="D53" s="112"/>
      <c r="E53" s="130"/>
      <c r="F53" s="141" t="s">
        <v>35</v>
      </c>
      <c r="G53" s="145"/>
      <c r="H53" s="145"/>
      <c r="I53" s="145"/>
      <c r="J53" s="145"/>
      <c r="K53" s="145"/>
      <c r="L53" s="146">
        <f t="shared" si="0"/>
        <v>0</v>
      </c>
    </row>
    <row r="54" ht="18.75" customHeight="1" spans="1:12" x14ac:dyDescent="0.25">
      <c r="A54" s="101"/>
      <c r="B54" s="69" t="s">
        <v>45</v>
      </c>
      <c r="C54" s="70"/>
      <c r="D54" s="70"/>
      <c r="E54" s="70"/>
      <c r="F54" s="70"/>
      <c r="G54" s="72">
        <f t="shared" ref="G54:K54" si="1">SUM(G8:G53)</f>
        <v>0</v>
      </c>
      <c r="H54" s="72">
        <f t="shared" si="1"/>
        <v>0</v>
      </c>
      <c r="I54" s="72">
        <f t="shared" si="1"/>
        <v>0</v>
      </c>
      <c r="J54" s="72">
        <f t="shared" si="1"/>
        <v>0</v>
      </c>
      <c r="K54" s="72">
        <f t="shared" si="1"/>
        <v>0</v>
      </c>
      <c r="L54" s="72">
        <f>SUM(L8:L53)</f>
        <v>0</v>
      </c>
    </row>
    <row r="55" ht="18.75" customHeight="1" spans="2:12" x14ac:dyDescent="0.25">
      <c r="B55" s="15"/>
      <c r="C55" s="15"/>
      <c r="D55" s="15"/>
      <c r="E55" s="15"/>
      <c r="F55" s="76" t="s">
        <v>46</v>
      </c>
      <c r="G55" s="77">
        <f>IFERROR(G54/10," ")</f>
        <v>0</v>
      </c>
      <c r="H55" s="77">
        <f t="shared" ref="H55:L55" si="2">IFERROR(H54/10," ")</f>
        <v>0</v>
      </c>
      <c r="I55" s="77">
        <f t="shared" si="2"/>
        <v>0</v>
      </c>
      <c r="J55" s="77">
        <f t="shared" si="2"/>
        <v>0</v>
      </c>
      <c r="K55" s="77">
        <f t="shared" si="2"/>
        <v>0</v>
      </c>
      <c r="L55" s="77">
        <f t="shared" si="2"/>
        <v>0</v>
      </c>
    </row>
    <row r="56" ht="18.75" customHeight="1" spans="3:12" x14ac:dyDescent="0.25">
      <c r="C56" s="143"/>
      <c r="D56" s="143"/>
      <c r="E56" s="143"/>
      <c r="F56" s="143"/>
      <c r="G56" s="143"/>
      <c r="L56" s="109"/>
    </row>
    <row r="57" spans="12:12" x14ac:dyDescent="0.25">
      <c r="L57" s="109"/>
    </row>
    <row r="58" spans="12:12" x14ac:dyDescent="0.25">
      <c r="L58" s="109"/>
    </row>
    <row r="59" spans="12:12" x14ac:dyDescent="0.25">
      <c r="L59" s="109"/>
    </row>
    <row r="60" spans="12:12" x14ac:dyDescent="0.25">
      <c r="L60" s="109"/>
    </row>
    <row r="61" spans="12:12" x14ac:dyDescent="0.25">
      <c r="L61" s="109"/>
    </row>
    <row r="62" spans="12:12" x14ac:dyDescent="0.25">
      <c r="L62" s="109"/>
    </row>
    <row r="63" spans="12:12" x14ac:dyDescent="0.25">
      <c r="L63" s="109"/>
    </row>
    <row r="64" spans="12:12" x14ac:dyDescent="0.25">
      <c r="L64" s="109"/>
    </row>
    <row r="65" spans="12:12" x14ac:dyDescent="0.25">
      <c r="L65" s="109"/>
    </row>
    <row r="66" spans="12:12" x14ac:dyDescent="0.25">
      <c r="L66" s="109"/>
    </row>
    <row r="67" spans="12:12" x14ac:dyDescent="0.25">
      <c r="L67" s="109"/>
    </row>
    <row r="68" spans="12:12" x14ac:dyDescent="0.25">
      <c r="L68" s="109"/>
    </row>
    <row r="69" spans="12:12" x14ac:dyDescent="0.25">
      <c r="L69" s="109"/>
    </row>
    <row r="70" spans="12:12" x14ac:dyDescent="0.25">
      <c r="L70" s="109"/>
    </row>
    <row r="71" spans="12:12" x14ac:dyDescent="0.25">
      <c r="L71" s="109"/>
    </row>
    <row r="72" spans="12:12" x14ac:dyDescent="0.25">
      <c r="L72" s="109"/>
    </row>
    <row r="73" spans="12:12" x14ac:dyDescent="0.25">
      <c r="L73" s="109"/>
    </row>
    <row r="74" spans="12:12" x14ac:dyDescent="0.25">
      <c r="L74" s="109"/>
    </row>
    <row r="75" spans="12:12" x14ac:dyDescent="0.25">
      <c r="L75" s="109"/>
    </row>
    <row r="76" spans="12:12" x14ac:dyDescent="0.25">
      <c r="L76" s="109"/>
    </row>
    <row r="77" spans="12:12" x14ac:dyDescent="0.25">
      <c r="L77" s="109"/>
    </row>
  </sheetData>
  <mergeCells count="25">
    <mergeCell ref="C1:L1"/>
    <mergeCell ref="C2:L2"/>
    <mergeCell ref="C3:L3"/>
    <mergeCell ref="C4:L4"/>
    <mergeCell ref="C5:L5"/>
    <mergeCell ref="A7:B7"/>
    <mergeCell ref="C7:F7"/>
    <mergeCell ref="C8:E12"/>
    <mergeCell ref="A8:A54"/>
    <mergeCell ref="B8:B22"/>
    <mergeCell ref="C13:E17"/>
    <mergeCell ref="C18:E22"/>
    <mergeCell ref="C23:E24"/>
    <mergeCell ref="B23:B53"/>
    <mergeCell ref="C25:E27"/>
    <mergeCell ref="C28:E30"/>
    <mergeCell ref="C31:E33"/>
    <mergeCell ref="C34:E36"/>
    <mergeCell ref="C37:E39"/>
    <mergeCell ref="C40:E42"/>
    <mergeCell ref="C43:E44"/>
    <mergeCell ref="C45:E47"/>
    <mergeCell ref="C48:E50"/>
    <mergeCell ref="C51:E53"/>
    <mergeCell ref="B54:F54"/>
  </mergeCells>
  <printOptions horizontalCentered="1" verticalCentered="1"/>
  <pageMargins left="0" right="0" top="0" bottom="0" header="0" footer="0"/>
  <pageSetup orientation="portrait" horizontalDpi="4294967295" verticalDpi="4294967295" scale="48" fitToWidth="1" fitToHeight="0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9C9"/>
  </sheetPr>
  <dimension ref="A1:V77"/>
  <sheetViews>
    <sheetView workbookViewId="0" showGridLines="0" zoomScale="90" zoomScaleNormal="90">
      <selection activeCell="G8" sqref="G8"/>
    </sheetView>
  </sheetViews>
  <sheetFormatPr defaultRowHeight="18" outlineLevelRow="0" outlineLevelCol="0" x14ac:dyDescent="0.35" defaultColWidth="11.42578125" customHeight="1"/>
  <cols>
    <col min="1" max="1" width="10.42578125" style="80" customWidth="1"/>
    <col min="2" max="2" width="17.7109375" style="80" customWidth="1"/>
    <col min="3" max="3" width="10.7109375" style="80" customWidth="1"/>
    <col min="4" max="4" width="13.42578125" style="80" customWidth="1"/>
    <col min="5" max="5" width="25.140625" style="80" customWidth="1"/>
    <col min="6" max="6" width="26.140625" style="80" customWidth="1"/>
    <col min="7" max="10" width="19" style="80" customWidth="1"/>
    <col min="11" max="11" width="17.7109375" style="80" customWidth="1"/>
    <col min="12" max="12" width="20.7109375" style="80" customWidth="1"/>
    <col min="13" max="13" width="14" style="80" customWidth="1"/>
    <col min="14" max="14" width="12.28515625" style="80" customWidth="1"/>
    <col min="15" max="15" width="14" style="80" customWidth="1"/>
    <col min="16" max="16" width="12.42578125" style="80" customWidth="1"/>
    <col min="17" max="17" width="13.7109375" style="80" customWidth="1"/>
    <col min="18" max="16384" width="11.42578125" style="80" customWidth="1"/>
  </cols>
  <sheetData>
    <row r="1" ht="27.75" customHeight="1" spans="1:14" s="81" customFormat="1" x14ac:dyDescent="0.25">
      <c r="A1" s="82"/>
      <c r="B1" s="82"/>
      <c r="C1" s="83" t="s">
        <v>0</v>
      </c>
      <c r="D1" s="83"/>
      <c r="E1" s="83"/>
      <c r="F1" s="83"/>
      <c r="G1" s="83"/>
      <c r="H1" s="83"/>
      <c r="I1" s="83"/>
      <c r="J1" s="83"/>
      <c r="K1" s="83"/>
      <c r="L1" s="83"/>
      <c r="M1" s="84"/>
      <c r="N1" s="84"/>
    </row>
    <row r="2" ht="23.25" customHeight="1" spans="1:14" s="81" customFormat="1" x14ac:dyDescent="0.25">
      <c r="A2" s="82"/>
      <c r="B2" s="82"/>
      <c r="C2" s="83" t="s">
        <v>1</v>
      </c>
      <c r="D2" s="83"/>
      <c r="E2" s="83"/>
      <c r="F2" s="83"/>
      <c r="G2" s="83"/>
      <c r="H2" s="83"/>
      <c r="I2" s="83"/>
      <c r="J2" s="83"/>
      <c r="K2" s="83"/>
      <c r="L2" s="83"/>
      <c r="M2" s="85"/>
      <c r="N2" s="85"/>
    </row>
    <row r="3" ht="23.25" customHeight="1" spans="1:14" s="81" customFormat="1" x14ac:dyDescent="0.25">
      <c r="A3" s="82"/>
      <c r="B3" s="82"/>
      <c r="C3" s="86" t="s">
        <v>2</v>
      </c>
      <c r="D3" s="86"/>
      <c r="E3" s="86"/>
      <c r="F3" s="86"/>
      <c r="G3" s="86"/>
      <c r="H3" s="86"/>
      <c r="I3" s="86"/>
      <c r="J3" s="86"/>
      <c r="K3" s="86"/>
      <c r="L3" s="86"/>
      <c r="M3" s="85"/>
      <c r="N3" s="85"/>
    </row>
    <row r="4" ht="23.25" customHeight="1" spans="1:14" s="81" customFormat="1" x14ac:dyDescent="0.25">
      <c r="A4" s="87"/>
      <c r="B4" s="87"/>
      <c r="C4" s="88" t="str">
        <f>'ANÁLIS DE META-LOGRO'!A5</f>
        <v>Meta-Logro de Vacuna Anti Influenza Estacional Temporada Invernal 2025-2026 por Unidad de Salud</v>
      </c>
      <c r="D4" s="88"/>
      <c r="E4" s="88"/>
      <c r="F4" s="88"/>
      <c r="G4" s="88"/>
      <c r="H4" s="88"/>
      <c r="I4" s="88"/>
      <c r="J4" s="88"/>
      <c r="K4" s="88"/>
      <c r="L4" s="88"/>
      <c r="M4" s="89"/>
      <c r="N4" s="89"/>
    </row>
    <row r="5" ht="21" customHeight="1" spans="1:13" s="90" customFormat="1" x14ac:dyDescent="0.25">
      <c r="A5" s="80"/>
      <c r="B5" s="80"/>
      <c r="C5" s="88" t="s">
        <v>55</v>
      </c>
      <c r="D5" s="88"/>
      <c r="E5" s="88"/>
      <c r="F5" s="88"/>
      <c r="G5" s="88"/>
      <c r="H5" s="88"/>
      <c r="I5" s="88"/>
      <c r="J5" s="88"/>
      <c r="K5" s="88"/>
      <c r="L5" s="88"/>
      <c r="M5" s="91"/>
    </row>
    <row r="6" ht="23.25" customHeight="1" spans="1:14" s="92" customFormat="1" x14ac:dyDescent="0.25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N6" s="93"/>
    </row>
    <row r="7" ht="30" customHeight="1" spans="1:14" x14ac:dyDescent="0.25">
      <c r="A7" s="94" t="s">
        <v>5</v>
      </c>
      <c r="B7" s="95"/>
      <c r="C7" s="94" t="s">
        <v>6</v>
      </c>
      <c r="D7" s="96"/>
      <c r="E7" s="96"/>
      <c r="F7" s="96"/>
      <c r="G7" s="97" t="s">
        <v>48</v>
      </c>
      <c r="H7" s="97" t="s">
        <v>49</v>
      </c>
      <c r="I7" s="97" t="s">
        <v>50</v>
      </c>
      <c r="J7" s="97" t="s">
        <v>51</v>
      </c>
      <c r="K7" s="97" t="s">
        <v>52</v>
      </c>
      <c r="L7" s="98" t="s">
        <v>53</v>
      </c>
      <c r="M7" s="99"/>
      <c r="N7" s="100"/>
    </row>
    <row r="8" ht="30" customHeight="1" spans="1:17" x14ac:dyDescent="0.25">
      <c r="A8" s="101" t="s">
        <v>11</v>
      </c>
      <c r="B8" s="102" t="s">
        <v>12</v>
      </c>
      <c r="C8" s="103" t="s">
        <v>13</v>
      </c>
      <c r="D8" s="104"/>
      <c r="E8" s="105"/>
      <c r="F8" s="106" t="s">
        <v>14</v>
      </c>
      <c r="G8" s="107">
        <v>3</v>
      </c>
      <c r="H8" s="107">
        <v>3</v>
      </c>
      <c r="I8" s="107"/>
      <c r="J8" s="107"/>
      <c r="K8" s="107">
        <v>3</v>
      </c>
      <c r="L8" s="108">
        <f>SUM(G8:K8)</f>
        <v>0</v>
      </c>
      <c r="O8" s="109"/>
      <c r="P8" s="110"/>
      <c r="Q8" s="110"/>
    </row>
    <row r="9" ht="30" customHeight="1" spans="1:17" x14ac:dyDescent="0.25">
      <c r="A9" s="101"/>
      <c r="B9" s="102"/>
      <c r="C9" s="111"/>
      <c r="D9" s="112"/>
      <c r="E9" s="113"/>
      <c r="F9" s="114" t="s">
        <v>15</v>
      </c>
      <c r="G9" s="115">
        <v>4</v>
      </c>
      <c r="H9" s="116">
        <v>3</v>
      </c>
      <c r="I9" s="116"/>
      <c r="J9" s="116"/>
      <c r="K9" s="116">
        <v>2</v>
      </c>
      <c r="L9" s="117">
        <f t="shared" ref="L9:L53" si="0">SUM(G9:K9)</f>
        <v>0</v>
      </c>
      <c r="O9" s="109"/>
      <c r="P9" s="110"/>
      <c r="Q9" s="110"/>
    </row>
    <row r="10" ht="30" customHeight="1" spans="1:17" x14ac:dyDescent="0.25">
      <c r="A10" s="101"/>
      <c r="B10" s="102"/>
      <c r="C10" s="111"/>
      <c r="D10" s="112"/>
      <c r="E10" s="113"/>
      <c r="F10" s="114" t="s">
        <v>16</v>
      </c>
      <c r="G10" s="115">
        <v>3</v>
      </c>
      <c r="H10" s="116">
        <v>4</v>
      </c>
      <c r="I10" s="116"/>
      <c r="J10" s="116"/>
      <c r="K10" s="116"/>
      <c r="L10" s="117">
        <f t="shared" si="0"/>
        <v>0</v>
      </c>
      <c r="O10" s="109"/>
      <c r="P10" s="110"/>
      <c r="Q10" s="110"/>
    </row>
    <row r="11" ht="30" customHeight="1" spans="1:17" x14ac:dyDescent="0.25">
      <c r="A11" s="101"/>
      <c r="B11" s="102"/>
      <c r="C11" s="111"/>
      <c r="D11" s="112"/>
      <c r="E11" s="113"/>
      <c r="F11" s="118" t="s">
        <v>17</v>
      </c>
      <c r="G11" s="116">
        <v>2</v>
      </c>
      <c r="H11" s="116">
        <v>3</v>
      </c>
      <c r="I11" s="116"/>
      <c r="J11" s="116"/>
      <c r="K11" s="116"/>
      <c r="L11" s="117">
        <f t="shared" si="0"/>
        <v>0</v>
      </c>
      <c r="O11" s="109"/>
      <c r="P11" s="110"/>
      <c r="Q11" s="110"/>
    </row>
    <row r="12" ht="30" customHeight="1" spans="1:17" x14ac:dyDescent="0.25">
      <c r="A12" s="101"/>
      <c r="B12" s="102"/>
      <c r="C12" s="119"/>
      <c r="D12" s="120"/>
      <c r="E12" s="121"/>
      <c r="F12" s="122" t="s">
        <v>18</v>
      </c>
      <c r="G12" s="123">
        <v>1</v>
      </c>
      <c r="H12" s="123">
        <v>3</v>
      </c>
      <c r="I12" s="123"/>
      <c r="J12" s="123"/>
      <c r="K12" s="123"/>
      <c r="L12" s="124">
        <f t="shared" si="0"/>
        <v>0</v>
      </c>
      <c r="O12" s="109"/>
      <c r="P12" s="110"/>
      <c r="Q12" s="110"/>
    </row>
    <row r="13" ht="30" customHeight="1" spans="1:17" x14ac:dyDescent="0.25">
      <c r="A13" s="101"/>
      <c r="B13" s="102"/>
      <c r="C13" s="103" t="s">
        <v>19</v>
      </c>
      <c r="D13" s="104"/>
      <c r="E13" s="105"/>
      <c r="F13" s="106" t="s">
        <v>20</v>
      </c>
      <c r="G13" s="107">
        <v>1</v>
      </c>
      <c r="H13" s="107">
        <v>1</v>
      </c>
      <c r="I13" s="107"/>
      <c r="J13" s="107"/>
      <c r="K13" s="107"/>
      <c r="L13" s="108">
        <f t="shared" si="0"/>
        <v>0</v>
      </c>
      <c r="O13" s="109"/>
      <c r="P13" s="110"/>
      <c r="Q13" s="110"/>
    </row>
    <row r="14" ht="30" customHeight="1" spans="1:17" x14ac:dyDescent="0.25">
      <c r="A14" s="101"/>
      <c r="B14" s="102"/>
      <c r="C14" s="111"/>
      <c r="D14" s="112"/>
      <c r="E14" s="113"/>
      <c r="F14" s="114" t="s">
        <v>21</v>
      </c>
      <c r="G14" s="115">
        <v>1</v>
      </c>
      <c r="H14" s="116">
        <v>2</v>
      </c>
      <c r="I14" s="116"/>
      <c r="J14" s="116"/>
      <c r="K14" s="116"/>
      <c r="L14" s="117">
        <f t="shared" si="0"/>
        <v>0</v>
      </c>
      <c r="O14" s="109"/>
      <c r="P14" s="110"/>
      <c r="Q14" s="110"/>
    </row>
    <row r="15" ht="30" customHeight="1" spans="1:17" x14ac:dyDescent="0.25">
      <c r="A15" s="101"/>
      <c r="B15" s="102"/>
      <c r="C15" s="111"/>
      <c r="D15" s="112"/>
      <c r="E15" s="113"/>
      <c r="F15" s="114" t="s">
        <v>22</v>
      </c>
      <c r="G15" s="115">
        <v>1</v>
      </c>
      <c r="H15" s="116">
        <v>2</v>
      </c>
      <c r="I15" s="116"/>
      <c r="J15" s="116"/>
      <c r="K15" s="116"/>
      <c r="L15" s="117">
        <f t="shared" si="0"/>
        <v>0</v>
      </c>
      <c r="O15" s="109"/>
      <c r="P15" s="110"/>
      <c r="Q15" s="110"/>
    </row>
    <row r="16" ht="30" customHeight="1" spans="1:17" x14ac:dyDescent="0.25">
      <c r="A16" s="101"/>
      <c r="B16" s="102"/>
      <c r="C16" s="111"/>
      <c r="D16" s="112"/>
      <c r="E16" s="113"/>
      <c r="F16" s="118" t="s">
        <v>23</v>
      </c>
      <c r="G16" s="116">
        <v>1</v>
      </c>
      <c r="H16" s="116">
        <v>2</v>
      </c>
      <c r="I16" s="116"/>
      <c r="J16" s="116"/>
      <c r="K16" s="116"/>
      <c r="L16" s="117">
        <f t="shared" si="0"/>
        <v>0</v>
      </c>
      <c r="O16" s="109"/>
      <c r="P16" s="110"/>
      <c r="Q16" s="110"/>
    </row>
    <row r="17" ht="30" customHeight="1" spans="1:17" x14ac:dyDescent="0.25">
      <c r="A17" s="101"/>
      <c r="B17" s="102"/>
      <c r="C17" s="119"/>
      <c r="D17" s="120"/>
      <c r="E17" s="121"/>
      <c r="F17" s="122" t="s">
        <v>24</v>
      </c>
      <c r="G17" s="123">
        <v>1</v>
      </c>
      <c r="H17" s="123">
        <v>1</v>
      </c>
      <c r="I17" s="123"/>
      <c r="J17" s="123"/>
      <c r="K17" s="123"/>
      <c r="L17" s="124">
        <f t="shared" si="0"/>
        <v>0</v>
      </c>
      <c r="O17" s="109"/>
      <c r="P17" s="110"/>
      <c r="Q17" s="110"/>
    </row>
    <row r="18" ht="30" customHeight="1" spans="1:17" x14ac:dyDescent="0.25">
      <c r="A18" s="101"/>
      <c r="B18" s="102"/>
      <c r="C18" s="103" t="s">
        <v>25</v>
      </c>
      <c r="D18" s="104"/>
      <c r="E18" s="129"/>
      <c r="F18" s="106" t="s">
        <v>26</v>
      </c>
      <c r="G18" s="107">
        <v>1</v>
      </c>
      <c r="H18" s="107">
        <v>2</v>
      </c>
      <c r="I18" s="107"/>
      <c r="J18" s="107"/>
      <c r="K18" s="107"/>
      <c r="L18" s="108">
        <f t="shared" si="0"/>
        <v>0</v>
      </c>
      <c r="O18" s="109"/>
      <c r="P18" s="110"/>
      <c r="Q18" s="110"/>
    </row>
    <row r="19" ht="30" customHeight="1" spans="1:17" x14ac:dyDescent="0.25">
      <c r="A19" s="101"/>
      <c r="B19" s="102"/>
      <c r="C19" s="111"/>
      <c r="D19" s="112"/>
      <c r="E19" s="130"/>
      <c r="F19" s="114" t="s">
        <v>22</v>
      </c>
      <c r="G19" s="115">
        <v>1</v>
      </c>
      <c r="H19" s="116">
        <v>2</v>
      </c>
      <c r="I19" s="116"/>
      <c r="J19" s="116"/>
      <c r="K19" s="116"/>
      <c r="L19" s="117">
        <f t="shared" si="0"/>
        <v>0</v>
      </c>
      <c r="O19" s="109"/>
      <c r="P19" s="110"/>
      <c r="Q19" s="110"/>
    </row>
    <row r="20" ht="30" customHeight="1" spans="1:17" x14ac:dyDescent="0.25">
      <c r="A20" s="101"/>
      <c r="B20" s="102"/>
      <c r="C20" s="111"/>
      <c r="D20" s="112"/>
      <c r="E20" s="130"/>
      <c r="F20" s="114" t="s">
        <v>17</v>
      </c>
      <c r="G20" s="115">
        <v>1</v>
      </c>
      <c r="H20" s="116">
        <v>1</v>
      </c>
      <c r="I20" s="116"/>
      <c r="J20" s="116"/>
      <c r="K20" s="116"/>
      <c r="L20" s="117">
        <f t="shared" si="0"/>
        <v>0</v>
      </c>
      <c r="O20" s="109"/>
      <c r="P20" s="110"/>
      <c r="Q20" s="110"/>
    </row>
    <row r="21" ht="30" customHeight="1" spans="1:17" x14ac:dyDescent="0.25">
      <c r="A21" s="101"/>
      <c r="B21" s="102"/>
      <c r="C21" s="111"/>
      <c r="D21" s="112"/>
      <c r="E21" s="130"/>
      <c r="F21" s="118" t="s">
        <v>18</v>
      </c>
      <c r="G21" s="116">
        <v>1</v>
      </c>
      <c r="H21" s="116">
        <v>1</v>
      </c>
      <c r="I21" s="116"/>
      <c r="J21" s="116"/>
      <c r="K21" s="116"/>
      <c r="L21" s="117">
        <f t="shared" si="0"/>
        <v>0</v>
      </c>
      <c r="O21" s="109"/>
      <c r="P21" s="110"/>
      <c r="Q21" s="110"/>
    </row>
    <row r="22" ht="30" customHeight="1" spans="1:17" x14ac:dyDescent="0.25">
      <c r="A22" s="101"/>
      <c r="B22" s="102"/>
      <c r="C22" s="119"/>
      <c r="D22" s="120"/>
      <c r="E22" s="131"/>
      <c r="F22" s="122" t="s">
        <v>27</v>
      </c>
      <c r="G22" s="123">
        <v>6</v>
      </c>
      <c r="H22" s="123">
        <v>3</v>
      </c>
      <c r="I22" s="123"/>
      <c r="J22" s="123"/>
      <c r="K22" s="123"/>
      <c r="L22" s="124">
        <f t="shared" si="0"/>
        <v>0</v>
      </c>
      <c r="O22" s="109"/>
      <c r="P22" s="110"/>
      <c r="Q22" s="110"/>
    </row>
    <row r="23" ht="30" customHeight="1" spans="1:17" x14ac:dyDescent="0.25">
      <c r="A23" s="101"/>
      <c r="B23" s="102" t="s">
        <v>28</v>
      </c>
      <c r="C23" s="103" t="s">
        <v>29</v>
      </c>
      <c r="D23" s="104"/>
      <c r="E23" s="129"/>
      <c r="F23" s="132" t="s">
        <v>30</v>
      </c>
      <c r="G23" s="133"/>
      <c r="H23" s="133"/>
      <c r="I23" s="133"/>
      <c r="J23" s="133"/>
      <c r="K23" s="133"/>
      <c r="L23" s="134">
        <f t="shared" si="0"/>
        <v>0</v>
      </c>
      <c r="P23" s="110"/>
      <c r="Q23" s="110"/>
    </row>
    <row r="24" ht="51" customHeight="1" spans="1:17" x14ac:dyDescent="0.25">
      <c r="A24" s="101"/>
      <c r="B24" s="102"/>
      <c r="C24" s="119"/>
      <c r="D24" s="120"/>
      <c r="E24" s="131"/>
      <c r="F24" s="135" t="s">
        <v>31</v>
      </c>
      <c r="G24" s="136">
        <v>7</v>
      </c>
      <c r="H24" s="133">
        <v>6</v>
      </c>
      <c r="I24" s="133"/>
      <c r="J24" s="133"/>
      <c r="K24" s="133"/>
      <c r="L24" s="134">
        <f t="shared" si="0"/>
        <v>0</v>
      </c>
      <c r="P24" s="110"/>
      <c r="Q24" s="110"/>
    </row>
    <row r="25" ht="30" customHeight="1" spans="1:17" x14ac:dyDescent="0.25">
      <c r="A25" s="101"/>
      <c r="B25" s="102"/>
      <c r="C25" s="103" t="s">
        <v>32</v>
      </c>
      <c r="D25" s="104"/>
      <c r="E25" s="129"/>
      <c r="F25" s="137" t="s">
        <v>33</v>
      </c>
      <c r="G25" s="107"/>
      <c r="H25" s="107">
        <v>1</v>
      </c>
      <c r="I25" s="107"/>
      <c r="J25" s="107"/>
      <c r="K25" s="107"/>
      <c r="L25" s="108">
        <f t="shared" si="0"/>
        <v>0</v>
      </c>
      <c r="P25" s="110"/>
      <c r="Q25" s="110"/>
    </row>
    <row r="26" ht="30" customHeight="1" spans="1:17" x14ac:dyDescent="0.25">
      <c r="A26" s="101"/>
      <c r="B26" s="102"/>
      <c r="C26" s="111"/>
      <c r="D26" s="112"/>
      <c r="E26" s="130"/>
      <c r="F26" s="138" t="s">
        <v>34</v>
      </c>
      <c r="G26" s="115">
        <v>1</v>
      </c>
      <c r="H26" s="116">
        <v>1</v>
      </c>
      <c r="I26" s="116"/>
      <c r="J26" s="116"/>
      <c r="K26" s="116"/>
      <c r="L26" s="117">
        <f t="shared" si="0"/>
        <v>0</v>
      </c>
      <c r="P26" s="110"/>
      <c r="Q26" s="110"/>
    </row>
    <row r="27" ht="30" customHeight="1" spans="1:17" x14ac:dyDescent="0.25">
      <c r="A27" s="101"/>
      <c r="B27" s="102"/>
      <c r="C27" s="119"/>
      <c r="D27" s="120"/>
      <c r="E27" s="131"/>
      <c r="F27" s="139" t="s">
        <v>35</v>
      </c>
      <c r="G27" s="140">
        <v>1</v>
      </c>
      <c r="H27" s="123">
        <v>1</v>
      </c>
      <c r="I27" s="123"/>
      <c r="J27" s="123"/>
      <c r="K27" s="123"/>
      <c r="L27" s="124">
        <f t="shared" si="0"/>
        <v>0</v>
      </c>
      <c r="P27" s="110"/>
      <c r="Q27" s="110"/>
    </row>
    <row r="28" ht="30" customHeight="1" spans="1:17" x14ac:dyDescent="0.25">
      <c r="A28" s="101"/>
      <c r="B28" s="102"/>
      <c r="C28" s="103" t="s">
        <v>36</v>
      </c>
      <c r="D28" s="104"/>
      <c r="E28" s="129"/>
      <c r="F28" s="137" t="s">
        <v>33</v>
      </c>
      <c r="G28" s="107"/>
      <c r="H28" s="107"/>
      <c r="I28" s="107"/>
      <c r="J28" s="107"/>
      <c r="K28" s="107"/>
      <c r="L28" s="108">
        <f t="shared" si="0"/>
        <v>0</v>
      </c>
      <c r="P28" s="110"/>
      <c r="Q28" s="110"/>
    </row>
    <row r="29" ht="30" customHeight="1" spans="1:17" x14ac:dyDescent="0.25">
      <c r="A29" s="101"/>
      <c r="B29" s="102"/>
      <c r="C29" s="111"/>
      <c r="D29" s="112"/>
      <c r="E29" s="130"/>
      <c r="F29" s="138" t="s">
        <v>34</v>
      </c>
      <c r="G29" s="115"/>
      <c r="H29" s="116">
        <v>1</v>
      </c>
      <c r="I29" s="116"/>
      <c r="J29" s="116"/>
      <c r="K29" s="116"/>
      <c r="L29" s="117">
        <f t="shared" si="0"/>
        <v>0</v>
      </c>
      <c r="P29" s="110"/>
      <c r="Q29" s="110"/>
    </row>
    <row r="30" ht="30" customHeight="1" spans="1:17" x14ac:dyDescent="0.25">
      <c r="A30" s="101"/>
      <c r="B30" s="102"/>
      <c r="C30" s="119"/>
      <c r="D30" s="120"/>
      <c r="E30" s="131"/>
      <c r="F30" s="139" t="s">
        <v>35</v>
      </c>
      <c r="G30" s="140">
        <v>1</v>
      </c>
      <c r="H30" s="123"/>
      <c r="I30" s="123"/>
      <c r="J30" s="123"/>
      <c r="K30" s="123"/>
      <c r="L30" s="124">
        <f t="shared" si="0"/>
        <v>0</v>
      </c>
      <c r="P30" s="110"/>
      <c r="Q30" s="110"/>
    </row>
    <row r="31" ht="30" customHeight="1" spans="1:17" x14ac:dyDescent="0.25">
      <c r="A31" s="101"/>
      <c r="B31" s="102"/>
      <c r="C31" s="103" t="s">
        <v>37</v>
      </c>
      <c r="D31" s="104"/>
      <c r="E31" s="129"/>
      <c r="F31" s="137" t="s">
        <v>33</v>
      </c>
      <c r="G31" s="107"/>
      <c r="H31" s="107"/>
      <c r="I31" s="107"/>
      <c r="J31" s="107"/>
      <c r="K31" s="107"/>
      <c r="L31" s="108">
        <f t="shared" si="0"/>
        <v>0</v>
      </c>
      <c r="P31" s="110"/>
      <c r="Q31" s="110"/>
    </row>
    <row r="32" ht="30" customHeight="1" spans="1:17" x14ac:dyDescent="0.25">
      <c r="A32" s="101"/>
      <c r="B32" s="102"/>
      <c r="C32" s="111"/>
      <c r="D32" s="112"/>
      <c r="E32" s="130"/>
      <c r="F32" s="138" t="s">
        <v>34</v>
      </c>
      <c r="G32" s="115"/>
      <c r="H32" s="116"/>
      <c r="I32" s="116"/>
      <c r="J32" s="116"/>
      <c r="K32" s="116"/>
      <c r="L32" s="117">
        <f t="shared" si="0"/>
        <v>0</v>
      </c>
      <c r="P32" s="110"/>
      <c r="Q32" s="110"/>
    </row>
    <row r="33" ht="30" customHeight="1" spans="1:17" x14ac:dyDescent="0.25">
      <c r="A33" s="101"/>
      <c r="B33" s="102"/>
      <c r="C33" s="119"/>
      <c r="D33" s="120"/>
      <c r="E33" s="131"/>
      <c r="F33" s="139" t="s">
        <v>35</v>
      </c>
      <c r="G33" s="140"/>
      <c r="H33" s="123"/>
      <c r="I33" s="123"/>
      <c r="J33" s="123"/>
      <c r="K33" s="123"/>
      <c r="L33" s="124">
        <f t="shared" si="0"/>
        <v>0</v>
      </c>
      <c r="P33" s="110"/>
      <c r="Q33" s="110"/>
    </row>
    <row r="34" ht="30" customHeight="1" spans="1:17" x14ac:dyDescent="0.25">
      <c r="A34" s="101"/>
      <c r="B34" s="102"/>
      <c r="C34" s="103" t="s">
        <v>38</v>
      </c>
      <c r="D34" s="104"/>
      <c r="E34" s="129"/>
      <c r="F34" s="137" t="s">
        <v>33</v>
      </c>
      <c r="G34" s="107"/>
      <c r="H34" s="107"/>
      <c r="I34" s="107"/>
      <c r="J34" s="107"/>
      <c r="K34" s="107"/>
      <c r="L34" s="108">
        <f t="shared" si="0"/>
        <v>0</v>
      </c>
      <c r="P34" s="110"/>
      <c r="Q34" s="110"/>
    </row>
    <row r="35" ht="30" customHeight="1" spans="1:17" x14ac:dyDescent="0.25">
      <c r="A35" s="101"/>
      <c r="B35" s="102"/>
      <c r="C35" s="111"/>
      <c r="D35" s="112"/>
      <c r="E35" s="130"/>
      <c r="F35" s="138" t="s">
        <v>34</v>
      </c>
      <c r="G35" s="115"/>
      <c r="H35" s="116"/>
      <c r="I35" s="116"/>
      <c r="J35" s="116"/>
      <c r="K35" s="116"/>
      <c r="L35" s="117">
        <f t="shared" si="0"/>
        <v>0</v>
      </c>
      <c r="P35" s="110"/>
      <c r="Q35" s="110"/>
    </row>
    <row r="36" ht="30" customHeight="1" spans="1:17" x14ac:dyDescent="0.25">
      <c r="A36" s="101"/>
      <c r="B36" s="102"/>
      <c r="C36" s="119"/>
      <c r="D36" s="120"/>
      <c r="E36" s="131"/>
      <c r="F36" s="139" t="s">
        <v>35</v>
      </c>
      <c r="G36" s="140"/>
      <c r="H36" s="123"/>
      <c r="I36" s="123"/>
      <c r="J36" s="123"/>
      <c r="K36" s="123"/>
      <c r="L36" s="124">
        <f t="shared" si="0"/>
        <v>0</v>
      </c>
      <c r="O36" s="110"/>
      <c r="P36" s="110"/>
      <c r="Q36" s="110"/>
    </row>
    <row r="37" ht="30" customHeight="1" spans="1:17" x14ac:dyDescent="0.25">
      <c r="A37" s="101"/>
      <c r="B37" s="102"/>
      <c r="C37" s="103" t="s">
        <v>39</v>
      </c>
      <c r="D37" s="104"/>
      <c r="E37" s="129"/>
      <c r="F37" s="137" t="s">
        <v>33</v>
      </c>
      <c r="G37" s="107">
        <v>1</v>
      </c>
      <c r="H37" s="107"/>
      <c r="I37" s="107"/>
      <c r="J37" s="107"/>
      <c r="K37" s="107"/>
      <c r="L37" s="108">
        <f t="shared" si="0"/>
        <v>0</v>
      </c>
      <c r="P37" s="110"/>
      <c r="Q37" s="110"/>
    </row>
    <row r="38" ht="30" customHeight="1" spans="1:17" x14ac:dyDescent="0.25">
      <c r="A38" s="101"/>
      <c r="B38" s="102"/>
      <c r="C38" s="111"/>
      <c r="D38" s="112"/>
      <c r="E38" s="130"/>
      <c r="F38" s="138" t="s">
        <v>34</v>
      </c>
      <c r="G38" s="115"/>
      <c r="H38" s="116"/>
      <c r="I38" s="116"/>
      <c r="J38" s="116"/>
      <c r="K38" s="116"/>
      <c r="L38" s="117">
        <f t="shared" si="0"/>
        <v>0</v>
      </c>
      <c r="P38" s="110"/>
      <c r="Q38" s="110"/>
    </row>
    <row r="39" ht="30" customHeight="1" spans="1:17" x14ac:dyDescent="0.25">
      <c r="A39" s="101"/>
      <c r="B39" s="102"/>
      <c r="C39" s="119"/>
      <c r="D39" s="120"/>
      <c r="E39" s="131"/>
      <c r="F39" s="139" t="s">
        <v>35</v>
      </c>
      <c r="G39" s="140"/>
      <c r="H39" s="123"/>
      <c r="I39" s="123"/>
      <c r="J39" s="123"/>
      <c r="K39" s="123"/>
      <c r="L39" s="124">
        <f t="shared" si="0"/>
        <v>0</v>
      </c>
      <c r="P39" s="110"/>
      <c r="Q39" s="110"/>
    </row>
    <row r="40" ht="30" customHeight="1" spans="1:17" x14ac:dyDescent="0.25">
      <c r="A40" s="101"/>
      <c r="B40" s="102"/>
      <c r="C40" s="103" t="s">
        <v>40</v>
      </c>
      <c r="D40" s="104"/>
      <c r="E40" s="129"/>
      <c r="F40" s="137" t="s">
        <v>33</v>
      </c>
      <c r="G40" s="107"/>
      <c r="H40" s="107"/>
      <c r="I40" s="107"/>
      <c r="J40" s="107"/>
      <c r="K40" s="107"/>
      <c r="L40" s="108">
        <f t="shared" si="0"/>
        <v>0</v>
      </c>
      <c r="P40" s="110"/>
      <c r="Q40" s="110"/>
    </row>
    <row r="41" ht="30" customHeight="1" spans="1:17" x14ac:dyDescent="0.25">
      <c r="A41" s="101"/>
      <c r="B41" s="102"/>
      <c r="C41" s="111"/>
      <c r="D41" s="112"/>
      <c r="E41" s="130"/>
      <c r="F41" s="138" t="s">
        <v>34</v>
      </c>
      <c r="G41" s="116"/>
      <c r="H41" s="116"/>
      <c r="I41" s="116"/>
      <c r="J41" s="116"/>
      <c r="K41" s="116"/>
      <c r="L41" s="117">
        <f t="shared" si="0"/>
        <v>0</v>
      </c>
      <c r="P41" s="110"/>
      <c r="Q41" s="110"/>
    </row>
    <row r="42" ht="30" customHeight="1" spans="1:17" x14ac:dyDescent="0.25">
      <c r="A42" s="101"/>
      <c r="B42" s="102"/>
      <c r="C42" s="119"/>
      <c r="D42" s="120"/>
      <c r="E42" s="131"/>
      <c r="F42" s="139" t="s">
        <v>35</v>
      </c>
      <c r="G42" s="123"/>
      <c r="H42" s="123"/>
      <c r="I42" s="123"/>
      <c r="J42" s="123"/>
      <c r="K42" s="123"/>
      <c r="L42" s="124">
        <f t="shared" si="0"/>
        <v>0</v>
      </c>
      <c r="P42" s="110"/>
      <c r="Q42" s="110"/>
    </row>
    <row r="43" ht="45" customHeight="1" spans="1:17" x14ac:dyDescent="0.25">
      <c r="A43" s="101"/>
      <c r="B43" s="102"/>
      <c r="C43" s="103" t="s">
        <v>41</v>
      </c>
      <c r="D43" s="104"/>
      <c r="E43" s="129"/>
      <c r="F43" s="141" t="s">
        <v>33</v>
      </c>
      <c r="G43" s="107"/>
      <c r="H43" s="107"/>
      <c r="I43" s="107"/>
      <c r="J43" s="107"/>
      <c r="K43" s="107"/>
      <c r="L43" s="117">
        <f t="shared" si="0"/>
        <v>0</v>
      </c>
      <c r="P43" s="110"/>
      <c r="Q43" s="110"/>
    </row>
    <row r="44" ht="45" customHeight="1" spans="1:16" x14ac:dyDescent="0.25">
      <c r="A44" s="101"/>
      <c r="B44" s="102"/>
      <c r="C44" s="111"/>
      <c r="D44" s="112"/>
      <c r="E44" s="130"/>
      <c r="F44" s="139" t="s">
        <v>34</v>
      </c>
      <c r="G44" s="123"/>
      <c r="H44" s="123"/>
      <c r="I44" s="123"/>
      <c r="J44" s="123"/>
      <c r="K44" s="123"/>
      <c r="L44" s="124">
        <f t="shared" si="0"/>
        <v>0</v>
      </c>
      <c r="M44" s="142"/>
      <c r="N44" s="142"/>
      <c r="O44" s="142"/>
      <c r="P44" s="142"/>
    </row>
    <row r="45" ht="30" customHeight="1" spans="1:12" x14ac:dyDescent="0.25">
      <c r="A45" s="101"/>
      <c r="B45" s="102"/>
      <c r="C45" s="103" t="s">
        <v>42</v>
      </c>
      <c r="D45" s="104"/>
      <c r="E45" s="129"/>
      <c r="F45" s="137" t="s">
        <v>33</v>
      </c>
      <c r="G45" s="107"/>
      <c r="H45" s="107"/>
      <c r="I45" s="107"/>
      <c r="J45" s="107"/>
      <c r="K45" s="107"/>
      <c r="L45" s="108">
        <f t="shared" si="0"/>
        <v>0</v>
      </c>
    </row>
    <row r="46" ht="30" customHeight="1" spans="1:12" x14ac:dyDescent="0.25">
      <c r="A46" s="101"/>
      <c r="B46" s="102"/>
      <c r="C46" s="111"/>
      <c r="D46" s="112"/>
      <c r="E46" s="130"/>
      <c r="F46" s="138" t="s">
        <v>34</v>
      </c>
      <c r="G46" s="115"/>
      <c r="H46" s="116"/>
      <c r="I46" s="116"/>
      <c r="J46" s="116"/>
      <c r="K46" s="116"/>
      <c r="L46" s="117">
        <f t="shared" si="0"/>
        <v>0</v>
      </c>
    </row>
    <row r="47" ht="30" customHeight="1" spans="1:12" x14ac:dyDescent="0.25">
      <c r="A47" s="101"/>
      <c r="B47" s="102"/>
      <c r="C47" s="119"/>
      <c r="D47" s="120"/>
      <c r="E47" s="131"/>
      <c r="F47" s="139" t="s">
        <v>35</v>
      </c>
      <c r="G47" s="140"/>
      <c r="H47" s="123"/>
      <c r="I47" s="123"/>
      <c r="J47" s="123"/>
      <c r="K47" s="123"/>
      <c r="L47" s="124">
        <f t="shared" si="0"/>
        <v>0</v>
      </c>
    </row>
    <row r="48" ht="30" customHeight="1" spans="1:22" s="143" customFormat="1" x14ac:dyDescent="0.25">
      <c r="A48" s="101"/>
      <c r="B48" s="102"/>
      <c r="C48" s="103" t="s">
        <v>43</v>
      </c>
      <c r="D48" s="104"/>
      <c r="E48" s="129"/>
      <c r="F48" s="137" t="s">
        <v>33</v>
      </c>
      <c r="G48" s="107"/>
      <c r="H48" s="107"/>
      <c r="I48" s="107"/>
      <c r="J48" s="107"/>
      <c r="K48" s="107"/>
      <c r="L48" s="108">
        <f t="shared" si="0"/>
        <v>0</v>
      </c>
      <c r="M48" s="143"/>
      <c r="N48" s="143"/>
      <c r="O48" s="143"/>
      <c r="P48" s="143"/>
      <c r="Q48" s="143"/>
      <c r="R48" s="143"/>
      <c r="S48" s="143"/>
      <c r="T48" s="143"/>
      <c r="U48" s="143"/>
      <c r="V48" s="143"/>
    </row>
    <row r="49" ht="30" customHeight="1" spans="1:12" x14ac:dyDescent="0.25">
      <c r="A49" s="101"/>
      <c r="B49" s="102"/>
      <c r="C49" s="111"/>
      <c r="D49" s="112"/>
      <c r="E49" s="130"/>
      <c r="F49" s="138" t="s">
        <v>34</v>
      </c>
      <c r="G49" s="115"/>
      <c r="H49" s="116"/>
      <c r="I49" s="116"/>
      <c r="J49" s="116"/>
      <c r="K49" s="116"/>
      <c r="L49" s="117">
        <f t="shared" si="0"/>
        <v>0</v>
      </c>
    </row>
    <row r="50" ht="30" customHeight="1" spans="1:12" x14ac:dyDescent="0.25">
      <c r="A50" s="101"/>
      <c r="B50" s="102"/>
      <c r="C50" s="119"/>
      <c r="D50" s="120"/>
      <c r="E50" s="131"/>
      <c r="F50" s="139" t="s">
        <v>35</v>
      </c>
      <c r="G50" s="140"/>
      <c r="H50" s="123"/>
      <c r="I50" s="123"/>
      <c r="J50" s="123"/>
      <c r="K50" s="123"/>
      <c r="L50" s="124">
        <f t="shared" si="0"/>
        <v>0</v>
      </c>
    </row>
    <row r="51" ht="30" customHeight="1" spans="1:12" x14ac:dyDescent="0.25">
      <c r="A51" s="101"/>
      <c r="B51" s="102"/>
      <c r="C51" s="103" t="s">
        <v>44</v>
      </c>
      <c r="D51" s="104"/>
      <c r="E51" s="129"/>
      <c r="F51" s="137" t="s">
        <v>33</v>
      </c>
      <c r="G51" s="125"/>
      <c r="H51" s="125"/>
      <c r="I51" s="125"/>
      <c r="J51" s="125"/>
      <c r="K51" s="125"/>
      <c r="L51" s="108">
        <f t="shared" si="0"/>
        <v>0</v>
      </c>
    </row>
    <row r="52" ht="30" customHeight="1" spans="1:12" x14ac:dyDescent="0.25">
      <c r="A52" s="101"/>
      <c r="B52" s="102"/>
      <c r="C52" s="111"/>
      <c r="D52" s="112"/>
      <c r="E52" s="130"/>
      <c r="F52" s="138" t="s">
        <v>34</v>
      </c>
      <c r="G52" s="126"/>
      <c r="H52" s="127"/>
      <c r="I52" s="127"/>
      <c r="J52" s="127"/>
      <c r="K52" s="127"/>
      <c r="L52" s="117">
        <f t="shared" si="0"/>
        <v>0</v>
      </c>
    </row>
    <row r="53" ht="18.75" customHeight="1" spans="1:12" x14ac:dyDescent="0.25">
      <c r="A53" s="101"/>
      <c r="B53" s="144"/>
      <c r="C53" s="111"/>
      <c r="D53" s="112"/>
      <c r="E53" s="130"/>
      <c r="F53" s="141" t="s">
        <v>35</v>
      </c>
      <c r="G53" s="145"/>
      <c r="H53" s="145"/>
      <c r="I53" s="145"/>
      <c r="J53" s="145"/>
      <c r="K53" s="145"/>
      <c r="L53" s="146">
        <f t="shared" si="0"/>
        <v>0</v>
      </c>
    </row>
    <row r="54" ht="18.75" customHeight="1" spans="1:12" x14ac:dyDescent="0.25">
      <c r="A54" s="101"/>
      <c r="B54" s="69" t="s">
        <v>45</v>
      </c>
      <c r="C54" s="70"/>
      <c r="D54" s="70"/>
      <c r="E54" s="70"/>
      <c r="F54" s="70"/>
      <c r="G54" s="72">
        <f t="shared" ref="G54:K54" si="1">SUM(G8:G53)</f>
        <v>0</v>
      </c>
      <c r="H54" s="72">
        <f t="shared" si="1"/>
        <v>0</v>
      </c>
      <c r="I54" s="72">
        <f t="shared" si="1"/>
        <v>0</v>
      </c>
      <c r="J54" s="72">
        <f t="shared" si="1"/>
        <v>0</v>
      </c>
      <c r="K54" s="72">
        <f t="shared" si="1"/>
        <v>0</v>
      </c>
      <c r="L54" s="72">
        <f>SUM(L8:L53)</f>
        <v>0</v>
      </c>
    </row>
    <row r="55" ht="18.75" customHeight="1" spans="2:12" x14ac:dyDescent="0.25">
      <c r="B55" s="15"/>
      <c r="C55" s="15"/>
      <c r="D55" s="15"/>
      <c r="E55" s="15"/>
      <c r="F55" s="76" t="s">
        <v>46</v>
      </c>
      <c r="G55" s="77">
        <f>IFERROR(G54/10," ")</f>
        <v>0</v>
      </c>
      <c r="H55" s="77">
        <f t="shared" ref="H55:L55" si="2">IFERROR(H54/10," ")</f>
        <v>0</v>
      </c>
      <c r="I55" s="77">
        <f t="shared" si="2"/>
        <v>0</v>
      </c>
      <c r="J55" s="77">
        <f t="shared" si="2"/>
        <v>0</v>
      </c>
      <c r="K55" s="77">
        <f t="shared" si="2"/>
        <v>0</v>
      </c>
      <c r="L55" s="77">
        <f t="shared" si="2"/>
        <v>0</v>
      </c>
    </row>
    <row r="56" ht="18.75" customHeight="1" spans="3:12" x14ac:dyDescent="0.25">
      <c r="C56" s="143"/>
      <c r="D56" s="143"/>
      <c r="E56" s="143"/>
      <c r="F56" s="143"/>
      <c r="G56" s="143"/>
      <c r="L56" s="109"/>
    </row>
    <row r="57" spans="12:12" x14ac:dyDescent="0.25">
      <c r="L57" s="109"/>
    </row>
    <row r="58" spans="12:12" x14ac:dyDescent="0.25">
      <c r="L58" s="109"/>
    </row>
    <row r="59" spans="12:12" x14ac:dyDescent="0.25">
      <c r="L59" s="109"/>
    </row>
    <row r="60" spans="12:12" x14ac:dyDescent="0.25">
      <c r="L60" s="109"/>
    </row>
    <row r="61" spans="12:12" x14ac:dyDescent="0.25">
      <c r="L61" s="109"/>
    </row>
    <row r="62" spans="12:12" x14ac:dyDescent="0.25">
      <c r="L62" s="109"/>
    </row>
    <row r="63" spans="12:12" x14ac:dyDescent="0.25">
      <c r="L63" s="109"/>
    </row>
    <row r="64" spans="12:12" x14ac:dyDescent="0.25">
      <c r="L64" s="109"/>
    </row>
    <row r="65" spans="12:12" x14ac:dyDescent="0.25">
      <c r="L65" s="109"/>
    </row>
    <row r="66" spans="12:12" x14ac:dyDescent="0.25">
      <c r="L66" s="109"/>
    </row>
    <row r="67" spans="12:12" x14ac:dyDescent="0.25">
      <c r="L67" s="109"/>
    </row>
    <row r="68" spans="12:12" x14ac:dyDescent="0.25">
      <c r="L68" s="109"/>
    </row>
    <row r="69" spans="12:12" x14ac:dyDescent="0.25">
      <c r="L69" s="109"/>
    </row>
    <row r="70" spans="12:12" x14ac:dyDescent="0.25">
      <c r="L70" s="109"/>
    </row>
    <row r="71" spans="12:12" x14ac:dyDescent="0.25">
      <c r="L71" s="109"/>
    </row>
    <row r="72" spans="12:12" x14ac:dyDescent="0.25">
      <c r="L72" s="109"/>
    </row>
    <row r="73" spans="12:12" x14ac:dyDescent="0.25">
      <c r="L73" s="109"/>
    </row>
    <row r="74" spans="12:12" x14ac:dyDescent="0.25">
      <c r="L74" s="109"/>
    </row>
    <row r="75" spans="12:12" x14ac:dyDescent="0.25">
      <c r="L75" s="109"/>
    </row>
    <row r="76" spans="12:12" x14ac:dyDescent="0.25">
      <c r="L76" s="109"/>
    </row>
    <row r="77" spans="12:12" x14ac:dyDescent="0.25">
      <c r="L77" s="109"/>
    </row>
  </sheetData>
  <mergeCells count="25">
    <mergeCell ref="C1:L1"/>
    <mergeCell ref="C2:L2"/>
    <mergeCell ref="C3:L3"/>
    <mergeCell ref="C4:L4"/>
    <mergeCell ref="C5:L5"/>
    <mergeCell ref="A7:B7"/>
    <mergeCell ref="C7:F7"/>
    <mergeCell ref="C8:E12"/>
    <mergeCell ref="A8:A54"/>
    <mergeCell ref="B8:B22"/>
    <mergeCell ref="C13:E17"/>
    <mergeCell ref="C18:E22"/>
    <mergeCell ref="C23:E24"/>
    <mergeCell ref="B23:B53"/>
    <mergeCell ref="C25:E27"/>
    <mergeCell ref="C28:E30"/>
    <mergeCell ref="C31:E33"/>
    <mergeCell ref="C34:E36"/>
    <mergeCell ref="C37:E39"/>
    <mergeCell ref="C40:E42"/>
    <mergeCell ref="C43:E44"/>
    <mergeCell ref="C45:E47"/>
    <mergeCell ref="C48:E50"/>
    <mergeCell ref="C51:E53"/>
    <mergeCell ref="B54:F54"/>
  </mergeCells>
  <printOptions horizontalCentered="1" verticalCentered="1"/>
  <pageMargins left="0" right="0" top="0" bottom="0" header="0" footer="0"/>
  <pageSetup orientation="portrait" horizontalDpi="4294967295" verticalDpi="4294967295" scale="48" fitToWidth="1" fitToHeight="0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9C9"/>
  </sheetPr>
  <dimension ref="A1:V77"/>
  <sheetViews>
    <sheetView workbookViewId="0" showGridLines="0" zoomScale="90" zoomScaleNormal="90">
      <selection activeCell="G8" sqref="G8"/>
    </sheetView>
  </sheetViews>
  <sheetFormatPr defaultRowHeight="18" outlineLevelRow="0" outlineLevelCol="0" x14ac:dyDescent="0.35" defaultColWidth="11.42578125" customHeight="1"/>
  <cols>
    <col min="1" max="1" width="10.42578125" style="80" customWidth="1"/>
    <col min="2" max="2" width="17.7109375" style="80" customWidth="1"/>
    <col min="3" max="3" width="10.7109375" style="80" customWidth="1"/>
    <col min="4" max="4" width="13.42578125" style="80" customWidth="1"/>
    <col min="5" max="5" width="25.140625" style="80" customWidth="1"/>
    <col min="6" max="6" width="26.140625" style="80" customWidth="1"/>
    <col min="7" max="10" width="19" style="80" customWidth="1"/>
    <col min="11" max="11" width="17.7109375" style="80" customWidth="1"/>
    <col min="12" max="12" width="20.7109375" style="80" customWidth="1"/>
    <col min="13" max="13" width="14" style="80" customWidth="1"/>
    <col min="14" max="14" width="12.28515625" style="80" customWidth="1"/>
    <col min="15" max="15" width="14" style="80" customWidth="1"/>
    <col min="16" max="16" width="12.42578125" style="80" customWidth="1"/>
    <col min="17" max="17" width="13.7109375" style="80" customWidth="1"/>
    <col min="18" max="16384" width="11.42578125" style="80" customWidth="1"/>
  </cols>
  <sheetData>
    <row r="1" ht="27.75" customHeight="1" spans="1:14" s="81" customFormat="1" x14ac:dyDescent="0.25">
      <c r="A1" s="82"/>
      <c r="B1" s="82"/>
      <c r="C1" s="83" t="s">
        <v>0</v>
      </c>
      <c r="D1" s="83"/>
      <c r="E1" s="83"/>
      <c r="F1" s="83"/>
      <c r="G1" s="83"/>
      <c r="H1" s="83"/>
      <c r="I1" s="83"/>
      <c r="J1" s="83"/>
      <c r="K1" s="83"/>
      <c r="L1" s="83"/>
      <c r="M1" s="84"/>
      <c r="N1" s="84"/>
    </row>
    <row r="2" ht="23.25" customHeight="1" spans="1:14" s="81" customFormat="1" x14ac:dyDescent="0.25">
      <c r="A2" s="82"/>
      <c r="B2" s="82"/>
      <c r="C2" s="83" t="s">
        <v>1</v>
      </c>
      <c r="D2" s="83"/>
      <c r="E2" s="83"/>
      <c r="F2" s="83"/>
      <c r="G2" s="83"/>
      <c r="H2" s="83"/>
      <c r="I2" s="83"/>
      <c r="J2" s="83"/>
      <c r="K2" s="83"/>
      <c r="L2" s="83"/>
      <c r="M2" s="85"/>
      <c r="N2" s="85"/>
    </row>
    <row r="3" ht="23.25" customHeight="1" spans="1:14" s="81" customFormat="1" x14ac:dyDescent="0.25">
      <c r="A3" s="82"/>
      <c r="B3" s="82"/>
      <c r="C3" s="86" t="s">
        <v>2</v>
      </c>
      <c r="D3" s="86"/>
      <c r="E3" s="86"/>
      <c r="F3" s="86"/>
      <c r="G3" s="86"/>
      <c r="H3" s="86"/>
      <c r="I3" s="86"/>
      <c r="J3" s="86"/>
      <c r="K3" s="86"/>
      <c r="L3" s="86"/>
      <c r="M3" s="85"/>
      <c r="N3" s="85"/>
    </row>
    <row r="4" ht="23.25" customHeight="1" spans="1:14" s="81" customFormat="1" x14ac:dyDescent="0.25">
      <c r="A4" s="87"/>
      <c r="B4" s="87"/>
      <c r="C4" s="88" t="str">
        <f>'ANÁLIS DE META-LOGRO'!A5</f>
        <v>Meta-Logro de Vacuna Anti Influenza Estacional Temporada Invernal 2025-2026 por Unidad de Salud</v>
      </c>
      <c r="D4" s="88"/>
      <c r="E4" s="88"/>
      <c r="F4" s="88"/>
      <c r="G4" s="88"/>
      <c r="H4" s="88"/>
      <c r="I4" s="88"/>
      <c r="J4" s="88"/>
      <c r="K4" s="88"/>
      <c r="L4" s="88"/>
      <c r="M4" s="89"/>
      <c r="N4" s="89"/>
    </row>
    <row r="5" ht="21" customHeight="1" spans="1:13" s="90" customFormat="1" x14ac:dyDescent="0.25">
      <c r="A5" s="80"/>
      <c r="B5" s="80"/>
      <c r="C5" s="88" t="s">
        <v>56</v>
      </c>
      <c r="D5" s="88"/>
      <c r="E5" s="88"/>
      <c r="F5" s="88"/>
      <c r="G5" s="88"/>
      <c r="H5" s="88"/>
      <c r="I5" s="88"/>
      <c r="J5" s="88"/>
      <c r="K5" s="88"/>
      <c r="L5" s="88"/>
      <c r="M5" s="91"/>
    </row>
    <row r="6" ht="23.25" customHeight="1" spans="1:14" s="92" customFormat="1" x14ac:dyDescent="0.25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N6" s="93"/>
    </row>
    <row r="7" ht="30" customHeight="1" spans="1:14" x14ac:dyDescent="0.25">
      <c r="A7" s="94" t="s">
        <v>5</v>
      </c>
      <c r="B7" s="95"/>
      <c r="C7" s="94" t="s">
        <v>6</v>
      </c>
      <c r="D7" s="96"/>
      <c r="E7" s="96"/>
      <c r="F7" s="96"/>
      <c r="G7" s="97" t="s">
        <v>48</v>
      </c>
      <c r="H7" s="97" t="s">
        <v>49</v>
      </c>
      <c r="I7" s="97" t="s">
        <v>50</v>
      </c>
      <c r="J7" s="97" t="s">
        <v>51</v>
      </c>
      <c r="K7" s="97" t="s">
        <v>52</v>
      </c>
      <c r="L7" s="98" t="s">
        <v>53</v>
      </c>
      <c r="M7" s="99"/>
      <c r="N7" s="100"/>
    </row>
    <row r="8" ht="30" customHeight="1" spans="1:17" x14ac:dyDescent="0.25">
      <c r="A8" s="101" t="s">
        <v>11</v>
      </c>
      <c r="B8" s="102" t="s">
        <v>12</v>
      </c>
      <c r="C8" s="103" t="s">
        <v>13</v>
      </c>
      <c r="D8" s="104"/>
      <c r="E8" s="105"/>
      <c r="F8" s="106" t="s">
        <v>14</v>
      </c>
      <c r="G8" s="107"/>
      <c r="H8" s="107"/>
      <c r="I8" s="107"/>
      <c r="J8" s="107"/>
      <c r="K8" s="107"/>
      <c r="L8" s="108">
        <f>SUM(G8:K8)</f>
        <v>0</v>
      </c>
      <c r="O8" s="109"/>
      <c r="P8" s="110"/>
      <c r="Q8" s="110"/>
    </row>
    <row r="9" ht="30" customHeight="1" spans="1:17" x14ac:dyDescent="0.25">
      <c r="A9" s="101"/>
      <c r="B9" s="102"/>
      <c r="C9" s="111"/>
      <c r="D9" s="112"/>
      <c r="E9" s="113"/>
      <c r="F9" s="114" t="s">
        <v>15</v>
      </c>
      <c r="G9" s="115"/>
      <c r="H9" s="116"/>
      <c r="I9" s="116"/>
      <c r="J9" s="116"/>
      <c r="K9" s="116"/>
      <c r="L9" s="117">
        <f t="shared" ref="L9:L53" si="0">SUM(G9:K9)</f>
        <v>0</v>
      </c>
      <c r="O9" s="109"/>
      <c r="P9" s="110"/>
      <c r="Q9" s="110"/>
    </row>
    <row r="10" ht="30" customHeight="1" spans="1:17" x14ac:dyDescent="0.25">
      <c r="A10" s="101"/>
      <c r="B10" s="102"/>
      <c r="C10" s="111"/>
      <c r="D10" s="112"/>
      <c r="E10" s="113"/>
      <c r="F10" s="114" t="s">
        <v>16</v>
      </c>
      <c r="G10" s="115"/>
      <c r="H10" s="116"/>
      <c r="I10" s="116"/>
      <c r="J10" s="116"/>
      <c r="K10" s="116"/>
      <c r="L10" s="117">
        <f t="shared" si="0"/>
        <v>0</v>
      </c>
      <c r="O10" s="109"/>
      <c r="P10" s="110"/>
      <c r="Q10" s="110"/>
    </row>
    <row r="11" ht="30" customHeight="1" spans="1:17" x14ac:dyDescent="0.25">
      <c r="A11" s="101"/>
      <c r="B11" s="102"/>
      <c r="C11" s="111"/>
      <c r="D11" s="112"/>
      <c r="E11" s="113"/>
      <c r="F11" s="118" t="s">
        <v>17</v>
      </c>
      <c r="G11" s="116"/>
      <c r="H11" s="116"/>
      <c r="I11" s="116"/>
      <c r="J11" s="116"/>
      <c r="K11" s="116"/>
      <c r="L11" s="117">
        <f t="shared" si="0"/>
        <v>0</v>
      </c>
      <c r="O11" s="109"/>
      <c r="P11" s="110"/>
      <c r="Q11" s="110"/>
    </row>
    <row r="12" ht="30" customHeight="1" spans="1:17" x14ac:dyDescent="0.25">
      <c r="A12" s="101"/>
      <c r="B12" s="102"/>
      <c r="C12" s="119"/>
      <c r="D12" s="120"/>
      <c r="E12" s="121"/>
      <c r="F12" s="122" t="s">
        <v>18</v>
      </c>
      <c r="G12" s="123"/>
      <c r="H12" s="123"/>
      <c r="I12" s="123"/>
      <c r="J12" s="123"/>
      <c r="K12" s="123"/>
      <c r="L12" s="124">
        <f t="shared" si="0"/>
        <v>0</v>
      </c>
      <c r="O12" s="109"/>
      <c r="P12" s="110"/>
      <c r="Q12" s="110"/>
    </row>
    <row r="13" ht="30" customHeight="1" spans="1:17" x14ac:dyDescent="0.25">
      <c r="A13" s="101"/>
      <c r="B13" s="102"/>
      <c r="C13" s="103" t="s">
        <v>19</v>
      </c>
      <c r="D13" s="104"/>
      <c r="E13" s="105"/>
      <c r="F13" s="106" t="s">
        <v>20</v>
      </c>
      <c r="G13" s="107"/>
      <c r="H13" s="107"/>
      <c r="I13" s="107"/>
      <c r="J13" s="107"/>
      <c r="K13" s="107"/>
      <c r="L13" s="108">
        <f t="shared" si="0"/>
        <v>0</v>
      </c>
      <c r="O13" s="109"/>
      <c r="P13" s="110"/>
      <c r="Q13" s="110"/>
    </row>
    <row r="14" ht="30" customHeight="1" spans="1:17" x14ac:dyDescent="0.25">
      <c r="A14" s="101"/>
      <c r="B14" s="102"/>
      <c r="C14" s="111"/>
      <c r="D14" s="112"/>
      <c r="E14" s="113"/>
      <c r="F14" s="114" t="s">
        <v>21</v>
      </c>
      <c r="G14" s="115"/>
      <c r="H14" s="116"/>
      <c r="I14" s="116"/>
      <c r="J14" s="116"/>
      <c r="K14" s="116"/>
      <c r="L14" s="117">
        <f t="shared" si="0"/>
        <v>0</v>
      </c>
      <c r="O14" s="109"/>
      <c r="P14" s="110"/>
      <c r="Q14" s="110"/>
    </row>
    <row r="15" ht="30" customHeight="1" spans="1:17" x14ac:dyDescent="0.25">
      <c r="A15" s="101"/>
      <c r="B15" s="102"/>
      <c r="C15" s="111"/>
      <c r="D15" s="112"/>
      <c r="E15" s="113"/>
      <c r="F15" s="114" t="s">
        <v>22</v>
      </c>
      <c r="G15" s="115"/>
      <c r="H15" s="116"/>
      <c r="I15" s="116"/>
      <c r="J15" s="116"/>
      <c r="K15" s="116"/>
      <c r="L15" s="117">
        <f t="shared" si="0"/>
        <v>0</v>
      </c>
      <c r="O15" s="109"/>
      <c r="P15" s="110"/>
      <c r="Q15" s="110"/>
    </row>
    <row r="16" ht="30" customHeight="1" spans="1:17" x14ac:dyDescent="0.25">
      <c r="A16" s="101"/>
      <c r="B16" s="102"/>
      <c r="C16" s="111"/>
      <c r="D16" s="112"/>
      <c r="E16" s="113"/>
      <c r="F16" s="118" t="s">
        <v>23</v>
      </c>
      <c r="G16" s="116"/>
      <c r="H16" s="116"/>
      <c r="I16" s="116"/>
      <c r="J16" s="116"/>
      <c r="K16" s="116"/>
      <c r="L16" s="117">
        <f t="shared" si="0"/>
        <v>0</v>
      </c>
      <c r="O16" s="109"/>
      <c r="P16" s="110"/>
      <c r="Q16" s="110"/>
    </row>
    <row r="17" ht="30" customHeight="1" spans="1:17" x14ac:dyDescent="0.25">
      <c r="A17" s="101"/>
      <c r="B17" s="102"/>
      <c r="C17" s="119"/>
      <c r="D17" s="120"/>
      <c r="E17" s="121"/>
      <c r="F17" s="122" t="s">
        <v>24</v>
      </c>
      <c r="G17" s="123"/>
      <c r="H17" s="123"/>
      <c r="I17" s="123"/>
      <c r="J17" s="123"/>
      <c r="K17" s="123"/>
      <c r="L17" s="124">
        <f t="shared" si="0"/>
        <v>0</v>
      </c>
      <c r="O17" s="109"/>
      <c r="P17" s="110"/>
      <c r="Q17" s="110"/>
    </row>
    <row r="18" ht="30" customHeight="1" spans="1:17" x14ac:dyDescent="0.25">
      <c r="A18" s="101"/>
      <c r="B18" s="102"/>
      <c r="C18" s="103" t="s">
        <v>25</v>
      </c>
      <c r="D18" s="104"/>
      <c r="E18" s="129"/>
      <c r="F18" s="106" t="s">
        <v>26</v>
      </c>
      <c r="G18" s="107"/>
      <c r="H18" s="107"/>
      <c r="I18" s="107"/>
      <c r="J18" s="107"/>
      <c r="K18" s="107"/>
      <c r="L18" s="108">
        <f t="shared" si="0"/>
        <v>0</v>
      </c>
      <c r="O18" s="109"/>
      <c r="P18" s="110"/>
      <c r="Q18" s="110"/>
    </row>
    <row r="19" ht="30" customHeight="1" spans="1:17" x14ac:dyDescent="0.25">
      <c r="A19" s="101"/>
      <c r="B19" s="102"/>
      <c r="C19" s="111"/>
      <c r="D19" s="112"/>
      <c r="E19" s="130"/>
      <c r="F19" s="114" t="s">
        <v>22</v>
      </c>
      <c r="G19" s="115"/>
      <c r="H19" s="116"/>
      <c r="I19" s="116"/>
      <c r="J19" s="116"/>
      <c r="K19" s="116"/>
      <c r="L19" s="117">
        <f t="shared" si="0"/>
        <v>0</v>
      </c>
      <c r="O19" s="109"/>
      <c r="P19" s="110"/>
      <c r="Q19" s="110"/>
    </row>
    <row r="20" ht="30" customHeight="1" spans="1:17" x14ac:dyDescent="0.25">
      <c r="A20" s="101"/>
      <c r="B20" s="102"/>
      <c r="C20" s="111"/>
      <c r="D20" s="112"/>
      <c r="E20" s="130"/>
      <c r="F20" s="114" t="s">
        <v>17</v>
      </c>
      <c r="G20" s="115"/>
      <c r="H20" s="116"/>
      <c r="I20" s="116"/>
      <c r="J20" s="116"/>
      <c r="K20" s="116"/>
      <c r="L20" s="117">
        <f t="shared" si="0"/>
        <v>0</v>
      </c>
      <c r="O20" s="109"/>
      <c r="P20" s="110"/>
      <c r="Q20" s="110"/>
    </row>
    <row r="21" ht="30" customHeight="1" spans="1:17" x14ac:dyDescent="0.25">
      <c r="A21" s="101"/>
      <c r="B21" s="102"/>
      <c r="C21" s="111"/>
      <c r="D21" s="112"/>
      <c r="E21" s="130"/>
      <c r="F21" s="118" t="s">
        <v>18</v>
      </c>
      <c r="G21" s="116"/>
      <c r="H21" s="116"/>
      <c r="I21" s="116"/>
      <c r="J21" s="116"/>
      <c r="K21" s="116"/>
      <c r="L21" s="117">
        <f t="shared" si="0"/>
        <v>0</v>
      </c>
      <c r="O21" s="109"/>
      <c r="P21" s="110"/>
      <c r="Q21" s="110"/>
    </row>
    <row r="22" ht="30" customHeight="1" spans="1:17" x14ac:dyDescent="0.25">
      <c r="A22" s="101"/>
      <c r="B22" s="102"/>
      <c r="C22" s="119"/>
      <c r="D22" s="120"/>
      <c r="E22" s="131"/>
      <c r="F22" s="122" t="s">
        <v>27</v>
      </c>
      <c r="G22" s="123"/>
      <c r="H22" s="123"/>
      <c r="I22" s="123"/>
      <c r="J22" s="123"/>
      <c r="K22" s="123"/>
      <c r="L22" s="124">
        <f t="shared" si="0"/>
        <v>0</v>
      </c>
      <c r="O22" s="109"/>
      <c r="P22" s="110"/>
      <c r="Q22" s="110"/>
    </row>
    <row r="23" ht="30" customHeight="1" spans="1:17" x14ac:dyDescent="0.25">
      <c r="A23" s="101"/>
      <c r="B23" s="102" t="s">
        <v>28</v>
      </c>
      <c r="C23" s="103" t="s">
        <v>29</v>
      </c>
      <c r="D23" s="104"/>
      <c r="E23" s="129"/>
      <c r="F23" s="132" t="s">
        <v>30</v>
      </c>
      <c r="G23" s="133"/>
      <c r="H23" s="133"/>
      <c r="I23" s="133"/>
      <c r="J23" s="133"/>
      <c r="K23" s="133"/>
      <c r="L23" s="134">
        <f t="shared" si="0"/>
        <v>0</v>
      </c>
      <c r="P23" s="110"/>
      <c r="Q23" s="110"/>
    </row>
    <row r="24" ht="51" customHeight="1" spans="1:17" x14ac:dyDescent="0.25">
      <c r="A24" s="101"/>
      <c r="B24" s="102"/>
      <c r="C24" s="119"/>
      <c r="D24" s="120"/>
      <c r="E24" s="131"/>
      <c r="F24" s="135" t="s">
        <v>31</v>
      </c>
      <c r="G24" s="136"/>
      <c r="H24" s="133"/>
      <c r="I24" s="133"/>
      <c r="J24" s="133"/>
      <c r="K24" s="133"/>
      <c r="L24" s="134">
        <f t="shared" si="0"/>
        <v>0</v>
      </c>
      <c r="P24" s="110"/>
      <c r="Q24" s="110"/>
    </row>
    <row r="25" ht="30" customHeight="1" spans="1:17" x14ac:dyDescent="0.25">
      <c r="A25" s="101"/>
      <c r="B25" s="102"/>
      <c r="C25" s="103" t="s">
        <v>32</v>
      </c>
      <c r="D25" s="104"/>
      <c r="E25" s="129"/>
      <c r="F25" s="137" t="s">
        <v>33</v>
      </c>
      <c r="G25" s="107"/>
      <c r="H25" s="107"/>
      <c r="I25" s="107"/>
      <c r="J25" s="107"/>
      <c r="K25" s="107"/>
      <c r="L25" s="108">
        <f t="shared" si="0"/>
        <v>0</v>
      </c>
      <c r="P25" s="110"/>
      <c r="Q25" s="110"/>
    </row>
    <row r="26" ht="30" customHeight="1" spans="1:17" x14ac:dyDescent="0.25">
      <c r="A26" s="101"/>
      <c r="B26" s="102"/>
      <c r="C26" s="111"/>
      <c r="D26" s="112"/>
      <c r="E26" s="130"/>
      <c r="F26" s="138" t="s">
        <v>34</v>
      </c>
      <c r="G26" s="115"/>
      <c r="H26" s="116"/>
      <c r="I26" s="116"/>
      <c r="J26" s="116"/>
      <c r="K26" s="116"/>
      <c r="L26" s="117">
        <f t="shared" si="0"/>
        <v>0</v>
      </c>
      <c r="P26" s="110"/>
      <c r="Q26" s="110"/>
    </row>
    <row r="27" ht="30" customHeight="1" spans="1:17" x14ac:dyDescent="0.25">
      <c r="A27" s="101"/>
      <c r="B27" s="102"/>
      <c r="C27" s="119"/>
      <c r="D27" s="120"/>
      <c r="E27" s="131"/>
      <c r="F27" s="139" t="s">
        <v>35</v>
      </c>
      <c r="G27" s="140"/>
      <c r="H27" s="123"/>
      <c r="I27" s="123"/>
      <c r="J27" s="123"/>
      <c r="K27" s="123"/>
      <c r="L27" s="124">
        <f t="shared" si="0"/>
        <v>0</v>
      </c>
      <c r="P27" s="110"/>
      <c r="Q27" s="110"/>
    </row>
    <row r="28" ht="30" customHeight="1" spans="1:17" x14ac:dyDescent="0.25">
      <c r="A28" s="101"/>
      <c r="B28" s="102"/>
      <c r="C28" s="103" t="s">
        <v>36</v>
      </c>
      <c r="D28" s="104"/>
      <c r="E28" s="129"/>
      <c r="F28" s="137" t="s">
        <v>33</v>
      </c>
      <c r="G28" s="107"/>
      <c r="H28" s="107"/>
      <c r="I28" s="107"/>
      <c r="J28" s="107"/>
      <c r="K28" s="107"/>
      <c r="L28" s="108">
        <f t="shared" si="0"/>
        <v>0</v>
      </c>
      <c r="P28" s="110"/>
      <c r="Q28" s="110"/>
    </row>
    <row r="29" ht="30" customHeight="1" spans="1:17" x14ac:dyDescent="0.25">
      <c r="A29" s="101"/>
      <c r="B29" s="102"/>
      <c r="C29" s="111"/>
      <c r="D29" s="112"/>
      <c r="E29" s="130"/>
      <c r="F29" s="138" t="s">
        <v>34</v>
      </c>
      <c r="G29" s="115"/>
      <c r="H29" s="116"/>
      <c r="I29" s="116"/>
      <c r="J29" s="116"/>
      <c r="K29" s="116"/>
      <c r="L29" s="117">
        <f t="shared" si="0"/>
        <v>0</v>
      </c>
      <c r="P29" s="110"/>
      <c r="Q29" s="110"/>
    </row>
    <row r="30" ht="30" customHeight="1" spans="1:17" x14ac:dyDescent="0.25">
      <c r="A30" s="101"/>
      <c r="B30" s="102"/>
      <c r="C30" s="119"/>
      <c r="D30" s="120"/>
      <c r="E30" s="131"/>
      <c r="F30" s="139" t="s">
        <v>35</v>
      </c>
      <c r="G30" s="140"/>
      <c r="H30" s="123"/>
      <c r="I30" s="123"/>
      <c r="J30" s="123"/>
      <c r="K30" s="123"/>
      <c r="L30" s="124">
        <f t="shared" si="0"/>
        <v>0</v>
      </c>
      <c r="P30" s="110"/>
      <c r="Q30" s="110"/>
    </row>
    <row r="31" ht="30" customHeight="1" spans="1:17" x14ac:dyDescent="0.25">
      <c r="A31" s="101"/>
      <c r="B31" s="102"/>
      <c r="C31" s="103" t="s">
        <v>37</v>
      </c>
      <c r="D31" s="104"/>
      <c r="E31" s="129"/>
      <c r="F31" s="137" t="s">
        <v>33</v>
      </c>
      <c r="G31" s="107"/>
      <c r="H31" s="107"/>
      <c r="I31" s="107"/>
      <c r="J31" s="107"/>
      <c r="K31" s="107"/>
      <c r="L31" s="108">
        <f t="shared" si="0"/>
        <v>0</v>
      </c>
      <c r="P31" s="110"/>
      <c r="Q31" s="110"/>
    </row>
    <row r="32" ht="30" customHeight="1" spans="1:17" x14ac:dyDescent="0.25">
      <c r="A32" s="101"/>
      <c r="B32" s="102"/>
      <c r="C32" s="111"/>
      <c r="D32" s="112"/>
      <c r="E32" s="130"/>
      <c r="F32" s="138" t="s">
        <v>34</v>
      </c>
      <c r="G32" s="115"/>
      <c r="H32" s="116"/>
      <c r="I32" s="116"/>
      <c r="J32" s="116"/>
      <c r="K32" s="116"/>
      <c r="L32" s="117">
        <f t="shared" si="0"/>
        <v>0</v>
      </c>
      <c r="P32" s="110"/>
      <c r="Q32" s="110"/>
    </row>
    <row r="33" ht="30" customHeight="1" spans="1:17" x14ac:dyDescent="0.25">
      <c r="A33" s="101"/>
      <c r="B33" s="102"/>
      <c r="C33" s="119"/>
      <c r="D33" s="120"/>
      <c r="E33" s="131"/>
      <c r="F33" s="139" t="s">
        <v>35</v>
      </c>
      <c r="G33" s="140"/>
      <c r="H33" s="123"/>
      <c r="I33" s="123"/>
      <c r="J33" s="123"/>
      <c r="K33" s="123"/>
      <c r="L33" s="124">
        <f t="shared" si="0"/>
        <v>0</v>
      </c>
      <c r="P33" s="110"/>
      <c r="Q33" s="110"/>
    </row>
    <row r="34" ht="30" customHeight="1" spans="1:17" x14ac:dyDescent="0.25">
      <c r="A34" s="101"/>
      <c r="B34" s="102"/>
      <c r="C34" s="103" t="s">
        <v>38</v>
      </c>
      <c r="D34" s="104"/>
      <c r="E34" s="129"/>
      <c r="F34" s="137" t="s">
        <v>33</v>
      </c>
      <c r="G34" s="107"/>
      <c r="H34" s="107"/>
      <c r="I34" s="107"/>
      <c r="J34" s="107"/>
      <c r="K34" s="107"/>
      <c r="L34" s="108">
        <f t="shared" si="0"/>
        <v>0</v>
      </c>
      <c r="P34" s="110"/>
      <c r="Q34" s="110"/>
    </row>
    <row r="35" ht="30" customHeight="1" spans="1:17" x14ac:dyDescent="0.25">
      <c r="A35" s="101"/>
      <c r="B35" s="102"/>
      <c r="C35" s="111"/>
      <c r="D35" s="112"/>
      <c r="E35" s="130"/>
      <c r="F35" s="138" t="s">
        <v>34</v>
      </c>
      <c r="G35" s="115"/>
      <c r="H35" s="116"/>
      <c r="I35" s="116"/>
      <c r="J35" s="116"/>
      <c r="K35" s="116"/>
      <c r="L35" s="117">
        <f t="shared" si="0"/>
        <v>0</v>
      </c>
      <c r="P35" s="110"/>
      <c r="Q35" s="110"/>
    </row>
    <row r="36" ht="30" customHeight="1" spans="1:17" x14ac:dyDescent="0.25">
      <c r="A36" s="101"/>
      <c r="B36" s="102"/>
      <c r="C36" s="119"/>
      <c r="D36" s="120"/>
      <c r="E36" s="131"/>
      <c r="F36" s="139" t="s">
        <v>35</v>
      </c>
      <c r="G36" s="140"/>
      <c r="H36" s="123"/>
      <c r="I36" s="123"/>
      <c r="J36" s="123"/>
      <c r="K36" s="123"/>
      <c r="L36" s="124">
        <f t="shared" si="0"/>
        <v>0</v>
      </c>
      <c r="O36" s="110"/>
      <c r="P36" s="110"/>
      <c r="Q36" s="110"/>
    </row>
    <row r="37" ht="30" customHeight="1" spans="1:17" x14ac:dyDescent="0.25">
      <c r="A37" s="101"/>
      <c r="B37" s="102"/>
      <c r="C37" s="103" t="s">
        <v>39</v>
      </c>
      <c r="D37" s="104"/>
      <c r="E37" s="129"/>
      <c r="F37" s="137" t="s">
        <v>33</v>
      </c>
      <c r="G37" s="107"/>
      <c r="H37" s="107"/>
      <c r="I37" s="107"/>
      <c r="J37" s="107"/>
      <c r="K37" s="107"/>
      <c r="L37" s="108">
        <f t="shared" si="0"/>
        <v>0</v>
      </c>
      <c r="P37" s="110"/>
      <c r="Q37" s="110"/>
    </row>
    <row r="38" ht="30" customHeight="1" spans="1:17" x14ac:dyDescent="0.25">
      <c r="A38" s="101"/>
      <c r="B38" s="102"/>
      <c r="C38" s="111"/>
      <c r="D38" s="112"/>
      <c r="E38" s="130"/>
      <c r="F38" s="138" t="s">
        <v>34</v>
      </c>
      <c r="G38" s="115"/>
      <c r="H38" s="116"/>
      <c r="I38" s="116"/>
      <c r="J38" s="116"/>
      <c r="K38" s="116"/>
      <c r="L38" s="117">
        <f t="shared" si="0"/>
        <v>0</v>
      </c>
      <c r="P38" s="110"/>
      <c r="Q38" s="110"/>
    </row>
    <row r="39" ht="30" customHeight="1" spans="1:17" x14ac:dyDescent="0.25">
      <c r="A39" s="101"/>
      <c r="B39" s="102"/>
      <c r="C39" s="119"/>
      <c r="D39" s="120"/>
      <c r="E39" s="131"/>
      <c r="F39" s="139" t="s">
        <v>35</v>
      </c>
      <c r="G39" s="140"/>
      <c r="H39" s="123"/>
      <c r="I39" s="123"/>
      <c r="J39" s="123"/>
      <c r="K39" s="123"/>
      <c r="L39" s="124">
        <f t="shared" si="0"/>
        <v>0</v>
      </c>
      <c r="P39" s="110"/>
      <c r="Q39" s="110"/>
    </row>
    <row r="40" ht="30" customHeight="1" spans="1:17" x14ac:dyDescent="0.25">
      <c r="A40" s="101"/>
      <c r="B40" s="102"/>
      <c r="C40" s="103" t="s">
        <v>40</v>
      </c>
      <c r="D40" s="104"/>
      <c r="E40" s="129"/>
      <c r="F40" s="137" t="s">
        <v>33</v>
      </c>
      <c r="G40" s="107"/>
      <c r="H40" s="107"/>
      <c r="I40" s="107"/>
      <c r="J40" s="107"/>
      <c r="K40" s="107"/>
      <c r="L40" s="108">
        <f t="shared" si="0"/>
        <v>0</v>
      </c>
      <c r="P40" s="110"/>
      <c r="Q40" s="110"/>
    </row>
    <row r="41" ht="30" customHeight="1" spans="1:17" x14ac:dyDescent="0.25">
      <c r="A41" s="101"/>
      <c r="B41" s="102"/>
      <c r="C41" s="111"/>
      <c r="D41" s="112"/>
      <c r="E41" s="130"/>
      <c r="F41" s="138" t="s">
        <v>34</v>
      </c>
      <c r="G41" s="116"/>
      <c r="H41" s="116"/>
      <c r="I41" s="116"/>
      <c r="J41" s="116"/>
      <c r="K41" s="116"/>
      <c r="L41" s="117">
        <f t="shared" si="0"/>
        <v>0</v>
      </c>
      <c r="P41" s="110"/>
      <c r="Q41" s="110"/>
    </row>
    <row r="42" ht="30" customHeight="1" spans="1:17" x14ac:dyDescent="0.25">
      <c r="A42" s="101"/>
      <c r="B42" s="102"/>
      <c r="C42" s="119"/>
      <c r="D42" s="120"/>
      <c r="E42" s="131"/>
      <c r="F42" s="139" t="s">
        <v>35</v>
      </c>
      <c r="G42" s="123"/>
      <c r="H42" s="123"/>
      <c r="I42" s="123"/>
      <c r="J42" s="123"/>
      <c r="K42" s="123"/>
      <c r="L42" s="124">
        <f t="shared" si="0"/>
        <v>0</v>
      </c>
      <c r="P42" s="110"/>
      <c r="Q42" s="110"/>
    </row>
    <row r="43" ht="45" customHeight="1" spans="1:17" x14ac:dyDescent="0.25">
      <c r="A43" s="101"/>
      <c r="B43" s="102"/>
      <c r="C43" s="103" t="s">
        <v>41</v>
      </c>
      <c r="D43" s="104"/>
      <c r="E43" s="129"/>
      <c r="F43" s="141" t="s">
        <v>33</v>
      </c>
      <c r="G43" s="107"/>
      <c r="H43" s="107"/>
      <c r="I43" s="107"/>
      <c r="J43" s="107"/>
      <c r="K43" s="107"/>
      <c r="L43" s="117">
        <f t="shared" si="0"/>
        <v>0</v>
      </c>
      <c r="P43" s="110"/>
      <c r="Q43" s="110"/>
    </row>
    <row r="44" ht="45" customHeight="1" spans="1:16" x14ac:dyDescent="0.25">
      <c r="A44" s="101"/>
      <c r="B44" s="102"/>
      <c r="C44" s="111"/>
      <c r="D44" s="112"/>
      <c r="E44" s="130"/>
      <c r="F44" s="139" t="s">
        <v>34</v>
      </c>
      <c r="G44" s="123"/>
      <c r="H44" s="123"/>
      <c r="I44" s="123"/>
      <c r="J44" s="123"/>
      <c r="K44" s="123"/>
      <c r="L44" s="124">
        <f t="shared" si="0"/>
        <v>0</v>
      </c>
      <c r="M44" s="142"/>
      <c r="N44" s="142"/>
      <c r="O44" s="142"/>
      <c r="P44" s="142"/>
    </row>
    <row r="45" ht="30" customHeight="1" spans="1:12" x14ac:dyDescent="0.25">
      <c r="A45" s="101"/>
      <c r="B45" s="102"/>
      <c r="C45" s="103" t="s">
        <v>42</v>
      </c>
      <c r="D45" s="104"/>
      <c r="E45" s="129"/>
      <c r="F45" s="137" t="s">
        <v>33</v>
      </c>
      <c r="G45" s="107"/>
      <c r="H45" s="107"/>
      <c r="I45" s="107"/>
      <c r="J45" s="107"/>
      <c r="K45" s="107"/>
      <c r="L45" s="108">
        <f t="shared" si="0"/>
        <v>0</v>
      </c>
    </row>
    <row r="46" ht="30" customHeight="1" spans="1:12" x14ac:dyDescent="0.25">
      <c r="A46" s="101"/>
      <c r="B46" s="102"/>
      <c r="C46" s="111"/>
      <c r="D46" s="112"/>
      <c r="E46" s="130"/>
      <c r="F46" s="138" t="s">
        <v>34</v>
      </c>
      <c r="G46" s="115"/>
      <c r="H46" s="116"/>
      <c r="I46" s="116"/>
      <c r="J46" s="116"/>
      <c r="K46" s="116"/>
      <c r="L46" s="117">
        <f t="shared" si="0"/>
        <v>0</v>
      </c>
    </row>
    <row r="47" ht="30" customHeight="1" spans="1:12" x14ac:dyDescent="0.25">
      <c r="A47" s="101"/>
      <c r="B47" s="102"/>
      <c r="C47" s="119"/>
      <c r="D47" s="120"/>
      <c r="E47" s="131"/>
      <c r="F47" s="139" t="s">
        <v>35</v>
      </c>
      <c r="G47" s="140"/>
      <c r="H47" s="123"/>
      <c r="I47" s="123"/>
      <c r="J47" s="123"/>
      <c r="K47" s="123"/>
      <c r="L47" s="124">
        <f t="shared" si="0"/>
        <v>0</v>
      </c>
    </row>
    <row r="48" ht="30" customHeight="1" spans="1:22" s="143" customFormat="1" x14ac:dyDescent="0.25">
      <c r="A48" s="101"/>
      <c r="B48" s="102"/>
      <c r="C48" s="103" t="s">
        <v>43</v>
      </c>
      <c r="D48" s="104"/>
      <c r="E48" s="129"/>
      <c r="F48" s="137" t="s">
        <v>33</v>
      </c>
      <c r="G48" s="107"/>
      <c r="H48" s="107"/>
      <c r="I48" s="107"/>
      <c r="J48" s="107"/>
      <c r="K48" s="107"/>
      <c r="L48" s="108">
        <f t="shared" si="0"/>
        <v>0</v>
      </c>
      <c r="M48" s="143"/>
      <c r="N48" s="143"/>
      <c r="O48" s="143"/>
      <c r="P48" s="143"/>
      <c r="Q48" s="143"/>
      <c r="R48" s="143"/>
      <c r="S48" s="143"/>
      <c r="T48" s="143"/>
      <c r="U48" s="143"/>
      <c r="V48" s="143"/>
    </row>
    <row r="49" ht="30" customHeight="1" spans="1:12" x14ac:dyDescent="0.25">
      <c r="A49" s="101"/>
      <c r="B49" s="102"/>
      <c r="C49" s="111"/>
      <c r="D49" s="112"/>
      <c r="E49" s="130"/>
      <c r="F49" s="138" t="s">
        <v>34</v>
      </c>
      <c r="G49" s="115"/>
      <c r="H49" s="116"/>
      <c r="I49" s="116"/>
      <c r="J49" s="116"/>
      <c r="K49" s="116"/>
      <c r="L49" s="117">
        <f t="shared" si="0"/>
        <v>0</v>
      </c>
    </row>
    <row r="50" ht="30" customHeight="1" spans="1:12" x14ac:dyDescent="0.25">
      <c r="A50" s="101"/>
      <c r="B50" s="102"/>
      <c r="C50" s="119"/>
      <c r="D50" s="120"/>
      <c r="E50" s="131"/>
      <c r="F50" s="139" t="s">
        <v>35</v>
      </c>
      <c r="G50" s="140"/>
      <c r="H50" s="123"/>
      <c r="I50" s="123"/>
      <c r="J50" s="123"/>
      <c r="K50" s="123"/>
      <c r="L50" s="124">
        <f t="shared" si="0"/>
        <v>0</v>
      </c>
    </row>
    <row r="51" ht="30" customHeight="1" spans="1:12" x14ac:dyDescent="0.25">
      <c r="A51" s="101"/>
      <c r="B51" s="102"/>
      <c r="C51" s="103" t="s">
        <v>44</v>
      </c>
      <c r="D51" s="104"/>
      <c r="E51" s="129"/>
      <c r="F51" s="137" t="s">
        <v>33</v>
      </c>
      <c r="G51" s="125"/>
      <c r="H51" s="125"/>
      <c r="I51" s="125"/>
      <c r="J51" s="125"/>
      <c r="K51" s="125"/>
      <c r="L51" s="108">
        <f t="shared" si="0"/>
        <v>0</v>
      </c>
    </row>
    <row r="52" ht="30" customHeight="1" spans="1:12" x14ac:dyDescent="0.25">
      <c r="A52" s="101"/>
      <c r="B52" s="102"/>
      <c r="C52" s="111"/>
      <c r="D52" s="112"/>
      <c r="E52" s="130"/>
      <c r="F52" s="138" t="s">
        <v>34</v>
      </c>
      <c r="G52" s="126"/>
      <c r="H52" s="127"/>
      <c r="I52" s="127"/>
      <c r="J52" s="127"/>
      <c r="K52" s="127"/>
      <c r="L52" s="117">
        <f t="shared" si="0"/>
        <v>0</v>
      </c>
    </row>
    <row r="53" ht="18.75" customHeight="1" spans="1:12" x14ac:dyDescent="0.25">
      <c r="A53" s="101"/>
      <c r="B53" s="144"/>
      <c r="C53" s="111"/>
      <c r="D53" s="112"/>
      <c r="E53" s="130"/>
      <c r="F53" s="141" t="s">
        <v>35</v>
      </c>
      <c r="G53" s="145"/>
      <c r="H53" s="145"/>
      <c r="I53" s="145"/>
      <c r="J53" s="145"/>
      <c r="K53" s="145"/>
      <c r="L53" s="146">
        <f t="shared" si="0"/>
        <v>0</v>
      </c>
    </row>
    <row r="54" ht="18.75" customHeight="1" spans="1:12" x14ac:dyDescent="0.25">
      <c r="A54" s="101"/>
      <c r="B54" s="69" t="s">
        <v>45</v>
      </c>
      <c r="C54" s="70"/>
      <c r="D54" s="70"/>
      <c r="E54" s="70"/>
      <c r="F54" s="70"/>
      <c r="G54" s="72">
        <f t="shared" ref="G54:K54" si="1">SUM(G8:G53)</f>
        <v>0</v>
      </c>
      <c r="H54" s="72">
        <f t="shared" si="1"/>
        <v>0</v>
      </c>
      <c r="I54" s="72">
        <f t="shared" si="1"/>
        <v>0</v>
      </c>
      <c r="J54" s="72">
        <f t="shared" si="1"/>
        <v>0</v>
      </c>
      <c r="K54" s="72">
        <f t="shared" si="1"/>
        <v>0</v>
      </c>
      <c r="L54" s="72">
        <f>SUM(L8:L53)</f>
        <v>0</v>
      </c>
    </row>
    <row r="55" ht="18.75" customHeight="1" spans="2:12" x14ac:dyDescent="0.25">
      <c r="B55" s="15"/>
      <c r="C55" s="15"/>
      <c r="D55" s="15"/>
      <c r="E55" s="15"/>
      <c r="F55" s="76" t="s">
        <v>46</v>
      </c>
      <c r="G55" s="77">
        <f>IFERROR(G54/10," ")</f>
        <v>0</v>
      </c>
      <c r="H55" s="77">
        <f t="shared" ref="H55:L55" si="2">IFERROR(H54/10," ")</f>
        <v>0</v>
      </c>
      <c r="I55" s="77">
        <f t="shared" si="2"/>
        <v>0</v>
      </c>
      <c r="J55" s="77">
        <f t="shared" si="2"/>
        <v>0</v>
      </c>
      <c r="K55" s="77">
        <f t="shared" si="2"/>
        <v>0</v>
      </c>
      <c r="L55" s="77">
        <f t="shared" si="2"/>
        <v>0</v>
      </c>
    </row>
    <row r="56" ht="18.75" customHeight="1" spans="3:12" x14ac:dyDescent="0.25">
      <c r="C56" s="143"/>
      <c r="D56" s="143"/>
      <c r="E56" s="143"/>
      <c r="F56" s="143"/>
      <c r="G56" s="143"/>
      <c r="L56" s="109"/>
    </row>
    <row r="57" spans="12:12" x14ac:dyDescent="0.25">
      <c r="L57" s="109"/>
    </row>
    <row r="58" spans="12:12" x14ac:dyDescent="0.25">
      <c r="L58" s="109"/>
    </row>
    <row r="59" spans="12:12" x14ac:dyDescent="0.25">
      <c r="L59" s="109"/>
    </row>
    <row r="60" spans="12:12" x14ac:dyDescent="0.25">
      <c r="L60" s="109"/>
    </row>
    <row r="61" spans="12:12" x14ac:dyDescent="0.25">
      <c r="L61" s="109"/>
    </row>
    <row r="62" spans="12:12" x14ac:dyDescent="0.25">
      <c r="L62" s="109"/>
    </row>
    <row r="63" spans="12:12" x14ac:dyDescent="0.25">
      <c r="L63" s="109"/>
    </row>
    <row r="64" spans="12:12" x14ac:dyDescent="0.25">
      <c r="L64" s="109"/>
    </row>
    <row r="65" spans="12:12" x14ac:dyDescent="0.25">
      <c r="L65" s="109"/>
    </row>
    <row r="66" spans="12:12" x14ac:dyDescent="0.25">
      <c r="L66" s="109"/>
    </row>
    <row r="67" spans="12:12" x14ac:dyDescent="0.25">
      <c r="L67" s="109"/>
    </row>
    <row r="68" spans="12:12" x14ac:dyDescent="0.25">
      <c r="L68" s="109"/>
    </row>
    <row r="69" spans="12:12" x14ac:dyDescent="0.25">
      <c r="L69" s="109"/>
    </row>
    <row r="70" spans="12:12" x14ac:dyDescent="0.25">
      <c r="L70" s="109"/>
    </row>
    <row r="71" spans="12:12" x14ac:dyDescent="0.25">
      <c r="L71" s="109"/>
    </row>
    <row r="72" spans="12:12" x14ac:dyDescent="0.25">
      <c r="L72" s="109"/>
    </row>
    <row r="73" spans="12:12" x14ac:dyDescent="0.25">
      <c r="L73" s="109"/>
    </row>
    <row r="74" spans="12:12" x14ac:dyDescent="0.25">
      <c r="L74" s="109"/>
    </row>
    <row r="75" spans="12:12" x14ac:dyDescent="0.25">
      <c r="L75" s="109"/>
    </row>
    <row r="76" spans="12:12" x14ac:dyDescent="0.25">
      <c r="L76" s="109"/>
    </row>
    <row r="77" spans="12:12" x14ac:dyDescent="0.25">
      <c r="L77" s="109"/>
    </row>
  </sheetData>
  <mergeCells count="25">
    <mergeCell ref="C1:L1"/>
    <mergeCell ref="C2:L2"/>
    <mergeCell ref="C3:L3"/>
    <mergeCell ref="C4:L4"/>
    <mergeCell ref="C5:L5"/>
    <mergeCell ref="A7:B7"/>
    <mergeCell ref="C7:F7"/>
    <mergeCell ref="C8:E12"/>
    <mergeCell ref="A8:A54"/>
    <mergeCell ref="B8:B22"/>
    <mergeCell ref="C13:E17"/>
    <mergeCell ref="C18:E22"/>
    <mergeCell ref="C23:E24"/>
    <mergeCell ref="B23:B53"/>
    <mergeCell ref="C25:E27"/>
    <mergeCell ref="C28:E30"/>
    <mergeCell ref="C31:E33"/>
    <mergeCell ref="C34:E36"/>
    <mergeCell ref="C37:E39"/>
    <mergeCell ref="C40:E42"/>
    <mergeCell ref="C43:E44"/>
    <mergeCell ref="C45:E47"/>
    <mergeCell ref="C48:E50"/>
    <mergeCell ref="C51:E53"/>
    <mergeCell ref="B54:F54"/>
  </mergeCells>
  <printOptions horizontalCentered="1" verticalCentered="1"/>
  <pageMargins left="0" right="0" top="0" bottom="0" header="0" footer="0"/>
  <pageSetup orientation="portrait" horizontalDpi="4294967295" verticalDpi="4294967295" scale="48" fitToWidth="1" fitToHeight="0" firstPageNumber="1" useFirstPageNumber="1" copies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9C9"/>
  </sheetPr>
  <dimension ref="A1:V77"/>
  <sheetViews>
    <sheetView workbookViewId="0" showGridLines="0" zoomScale="90" zoomScaleNormal="90">
      <selection activeCell="G8" sqref="G8"/>
    </sheetView>
  </sheetViews>
  <sheetFormatPr defaultRowHeight="18" outlineLevelRow="0" outlineLevelCol="0" x14ac:dyDescent="0.35" defaultColWidth="11.42578125" customHeight="1"/>
  <cols>
    <col min="1" max="1" width="10.42578125" style="80" customWidth="1"/>
    <col min="2" max="2" width="17.7109375" style="80" customWidth="1"/>
    <col min="3" max="3" width="10.7109375" style="80" customWidth="1"/>
    <col min="4" max="4" width="13.42578125" style="80" customWidth="1"/>
    <col min="5" max="5" width="25.140625" style="80" customWidth="1"/>
    <col min="6" max="6" width="26.140625" style="80" customWidth="1"/>
    <col min="7" max="10" width="19" style="80" customWidth="1"/>
    <col min="11" max="11" width="17.7109375" style="80" customWidth="1"/>
    <col min="12" max="12" width="20.7109375" style="80" customWidth="1"/>
    <col min="13" max="13" width="14" style="80" customWidth="1"/>
    <col min="14" max="14" width="12.28515625" style="80" customWidth="1"/>
    <col min="15" max="15" width="14" style="80" customWidth="1"/>
    <col min="16" max="16" width="12.42578125" style="80" customWidth="1"/>
    <col min="17" max="17" width="13.7109375" style="80" customWidth="1"/>
    <col min="18" max="16384" width="11.42578125" style="80" customWidth="1"/>
  </cols>
  <sheetData>
    <row r="1" ht="27.75" customHeight="1" spans="1:14" s="81" customFormat="1" x14ac:dyDescent="0.25">
      <c r="A1" s="82"/>
      <c r="B1" s="82"/>
      <c r="C1" s="83" t="s">
        <v>0</v>
      </c>
      <c r="D1" s="83"/>
      <c r="E1" s="83"/>
      <c r="F1" s="83"/>
      <c r="G1" s="83"/>
      <c r="H1" s="83"/>
      <c r="I1" s="83"/>
      <c r="J1" s="83"/>
      <c r="K1" s="83"/>
      <c r="L1" s="83"/>
      <c r="M1" s="84"/>
      <c r="N1" s="84"/>
    </row>
    <row r="2" ht="23.25" customHeight="1" spans="1:14" s="81" customFormat="1" x14ac:dyDescent="0.25">
      <c r="A2" s="82"/>
      <c r="B2" s="82"/>
      <c r="C2" s="83" t="s">
        <v>1</v>
      </c>
      <c r="D2" s="83"/>
      <c r="E2" s="83"/>
      <c r="F2" s="83"/>
      <c r="G2" s="83"/>
      <c r="H2" s="83"/>
      <c r="I2" s="83"/>
      <c r="J2" s="83"/>
      <c r="K2" s="83"/>
      <c r="L2" s="83"/>
      <c r="M2" s="85"/>
      <c r="N2" s="85"/>
    </row>
    <row r="3" ht="23.25" customHeight="1" spans="1:14" s="81" customFormat="1" x14ac:dyDescent="0.25">
      <c r="A3" s="82"/>
      <c r="B3" s="82"/>
      <c r="C3" s="86" t="s">
        <v>2</v>
      </c>
      <c r="D3" s="86"/>
      <c r="E3" s="86"/>
      <c r="F3" s="86"/>
      <c r="G3" s="86"/>
      <c r="H3" s="86"/>
      <c r="I3" s="86"/>
      <c r="J3" s="86"/>
      <c r="K3" s="86"/>
      <c r="L3" s="86"/>
      <c r="M3" s="85"/>
      <c r="N3" s="85"/>
    </row>
    <row r="4" ht="23.25" customHeight="1" spans="1:14" s="81" customFormat="1" x14ac:dyDescent="0.25">
      <c r="A4" s="87"/>
      <c r="B4" s="87"/>
      <c r="C4" s="88" t="str">
        <f>'ANÁLIS DE META-LOGRO'!A5</f>
        <v>Meta-Logro de Vacuna Anti Influenza Estacional Temporada Invernal 2025-2026 por Unidad de Salud</v>
      </c>
      <c r="D4" s="88"/>
      <c r="E4" s="88"/>
      <c r="F4" s="88"/>
      <c r="G4" s="88"/>
      <c r="H4" s="88"/>
      <c r="I4" s="88"/>
      <c r="J4" s="88"/>
      <c r="K4" s="88"/>
      <c r="L4" s="88"/>
      <c r="M4" s="89"/>
      <c r="N4" s="89"/>
    </row>
    <row r="5" ht="21" customHeight="1" spans="1:13" s="90" customFormat="1" x14ac:dyDescent="0.25">
      <c r="A5" s="80"/>
      <c r="B5" s="80"/>
      <c r="C5" s="88" t="s">
        <v>57</v>
      </c>
      <c r="D5" s="88"/>
      <c r="E5" s="88"/>
      <c r="F5" s="88"/>
      <c r="G5" s="88"/>
      <c r="H5" s="88"/>
      <c r="I5" s="88"/>
      <c r="J5" s="88"/>
      <c r="K5" s="88"/>
      <c r="L5" s="88"/>
      <c r="M5" s="91"/>
    </row>
    <row r="6" ht="23.25" customHeight="1" spans="1:14" s="92" customFormat="1" x14ac:dyDescent="0.25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N6" s="93"/>
    </row>
    <row r="7" ht="30" customHeight="1" spans="1:14" x14ac:dyDescent="0.25">
      <c r="A7" s="94" t="s">
        <v>5</v>
      </c>
      <c r="B7" s="95"/>
      <c r="C7" s="94" t="s">
        <v>6</v>
      </c>
      <c r="D7" s="96"/>
      <c r="E7" s="96"/>
      <c r="F7" s="96"/>
      <c r="G7" s="97" t="s">
        <v>48</v>
      </c>
      <c r="H7" s="97" t="s">
        <v>49</v>
      </c>
      <c r="I7" s="97" t="s">
        <v>50</v>
      </c>
      <c r="J7" s="97" t="s">
        <v>51</v>
      </c>
      <c r="K7" s="97" t="s">
        <v>52</v>
      </c>
      <c r="L7" s="98" t="s">
        <v>53</v>
      </c>
      <c r="M7" s="99"/>
      <c r="N7" s="100"/>
    </row>
    <row r="8" ht="30" customHeight="1" spans="1:17" x14ac:dyDescent="0.25">
      <c r="A8" s="101" t="s">
        <v>11</v>
      </c>
      <c r="B8" s="102" t="s">
        <v>12</v>
      </c>
      <c r="C8" s="103" t="s">
        <v>13</v>
      </c>
      <c r="D8" s="104"/>
      <c r="E8" s="105"/>
      <c r="F8" s="106" t="s">
        <v>14</v>
      </c>
      <c r="G8" s="107"/>
      <c r="H8" s="107"/>
      <c r="I8" s="107"/>
      <c r="J8" s="107"/>
      <c r="K8" s="107"/>
      <c r="L8" s="108">
        <f>SUM(G8:K8)</f>
        <v>0</v>
      </c>
      <c r="O8" s="109"/>
      <c r="P8" s="110"/>
      <c r="Q8" s="110"/>
    </row>
    <row r="9" ht="30" customHeight="1" spans="1:17" x14ac:dyDescent="0.25">
      <c r="A9" s="101"/>
      <c r="B9" s="102"/>
      <c r="C9" s="111"/>
      <c r="D9" s="112"/>
      <c r="E9" s="113"/>
      <c r="F9" s="114" t="s">
        <v>15</v>
      </c>
      <c r="G9" s="115"/>
      <c r="H9" s="116"/>
      <c r="I9" s="116"/>
      <c r="J9" s="116"/>
      <c r="K9" s="116"/>
      <c r="L9" s="117">
        <f t="shared" ref="L9:L53" si="0">SUM(G9:K9)</f>
        <v>0</v>
      </c>
      <c r="O9" s="109"/>
      <c r="P9" s="110"/>
      <c r="Q9" s="110"/>
    </row>
    <row r="10" ht="30" customHeight="1" spans="1:17" x14ac:dyDescent="0.25">
      <c r="A10" s="101"/>
      <c r="B10" s="102"/>
      <c r="C10" s="111"/>
      <c r="D10" s="112"/>
      <c r="E10" s="113"/>
      <c r="F10" s="114" t="s">
        <v>16</v>
      </c>
      <c r="G10" s="115"/>
      <c r="H10" s="116"/>
      <c r="I10" s="116"/>
      <c r="J10" s="116"/>
      <c r="K10" s="116"/>
      <c r="L10" s="117">
        <f t="shared" si="0"/>
        <v>0</v>
      </c>
      <c r="O10" s="109"/>
      <c r="P10" s="110"/>
      <c r="Q10" s="110"/>
    </row>
    <row r="11" ht="30" customHeight="1" spans="1:17" x14ac:dyDescent="0.25">
      <c r="A11" s="101"/>
      <c r="B11" s="102"/>
      <c r="C11" s="111"/>
      <c r="D11" s="112"/>
      <c r="E11" s="113"/>
      <c r="F11" s="118" t="s">
        <v>17</v>
      </c>
      <c r="G11" s="116"/>
      <c r="H11" s="116"/>
      <c r="I11" s="116"/>
      <c r="J11" s="116"/>
      <c r="K11" s="116"/>
      <c r="L11" s="117">
        <f t="shared" si="0"/>
        <v>0</v>
      </c>
      <c r="O11" s="109"/>
      <c r="P11" s="110"/>
      <c r="Q11" s="110"/>
    </row>
    <row r="12" ht="30" customHeight="1" spans="1:17" x14ac:dyDescent="0.25">
      <c r="A12" s="101"/>
      <c r="B12" s="102"/>
      <c r="C12" s="119"/>
      <c r="D12" s="120"/>
      <c r="E12" s="121"/>
      <c r="F12" s="122" t="s">
        <v>18</v>
      </c>
      <c r="G12" s="123"/>
      <c r="H12" s="123"/>
      <c r="I12" s="123"/>
      <c r="J12" s="123"/>
      <c r="K12" s="123"/>
      <c r="L12" s="124">
        <f t="shared" si="0"/>
        <v>0</v>
      </c>
      <c r="O12" s="109"/>
      <c r="P12" s="110"/>
      <c r="Q12" s="110"/>
    </row>
    <row r="13" ht="30" customHeight="1" spans="1:17" x14ac:dyDescent="0.25">
      <c r="A13" s="101"/>
      <c r="B13" s="102"/>
      <c r="C13" s="103" t="s">
        <v>19</v>
      </c>
      <c r="D13" s="104"/>
      <c r="E13" s="105"/>
      <c r="F13" s="106" t="s">
        <v>20</v>
      </c>
      <c r="G13" s="107"/>
      <c r="H13" s="107"/>
      <c r="I13" s="107"/>
      <c r="J13" s="107"/>
      <c r="K13" s="107"/>
      <c r="L13" s="108">
        <f t="shared" si="0"/>
        <v>0</v>
      </c>
      <c r="O13" s="109"/>
      <c r="P13" s="110"/>
      <c r="Q13" s="110"/>
    </row>
    <row r="14" ht="30" customHeight="1" spans="1:17" x14ac:dyDescent="0.25">
      <c r="A14" s="101"/>
      <c r="B14" s="102"/>
      <c r="C14" s="111"/>
      <c r="D14" s="112"/>
      <c r="E14" s="113"/>
      <c r="F14" s="114" t="s">
        <v>21</v>
      </c>
      <c r="G14" s="115"/>
      <c r="H14" s="116"/>
      <c r="I14" s="116"/>
      <c r="J14" s="116"/>
      <c r="K14" s="116"/>
      <c r="L14" s="117">
        <f t="shared" si="0"/>
        <v>0</v>
      </c>
      <c r="O14" s="109"/>
      <c r="P14" s="110"/>
      <c r="Q14" s="110"/>
    </row>
    <row r="15" ht="30" customHeight="1" spans="1:17" x14ac:dyDescent="0.25">
      <c r="A15" s="101"/>
      <c r="B15" s="102"/>
      <c r="C15" s="111"/>
      <c r="D15" s="112"/>
      <c r="E15" s="113"/>
      <c r="F15" s="114" t="s">
        <v>22</v>
      </c>
      <c r="G15" s="115"/>
      <c r="H15" s="116"/>
      <c r="I15" s="116"/>
      <c r="J15" s="116"/>
      <c r="K15" s="116"/>
      <c r="L15" s="117">
        <f t="shared" si="0"/>
        <v>0</v>
      </c>
      <c r="O15" s="109"/>
      <c r="P15" s="110"/>
      <c r="Q15" s="110"/>
    </row>
    <row r="16" ht="30" customHeight="1" spans="1:17" x14ac:dyDescent="0.25">
      <c r="A16" s="101"/>
      <c r="B16" s="102"/>
      <c r="C16" s="111"/>
      <c r="D16" s="112"/>
      <c r="E16" s="113"/>
      <c r="F16" s="118" t="s">
        <v>23</v>
      </c>
      <c r="G16" s="116"/>
      <c r="H16" s="116"/>
      <c r="I16" s="116"/>
      <c r="J16" s="116"/>
      <c r="K16" s="116"/>
      <c r="L16" s="117">
        <f t="shared" si="0"/>
        <v>0</v>
      </c>
      <c r="O16" s="109"/>
      <c r="P16" s="110"/>
      <c r="Q16" s="110"/>
    </row>
    <row r="17" ht="30" customHeight="1" spans="1:17" x14ac:dyDescent="0.25">
      <c r="A17" s="101"/>
      <c r="B17" s="102"/>
      <c r="C17" s="119"/>
      <c r="D17" s="120"/>
      <c r="E17" s="121"/>
      <c r="F17" s="122" t="s">
        <v>24</v>
      </c>
      <c r="G17" s="123"/>
      <c r="H17" s="123"/>
      <c r="I17" s="123"/>
      <c r="J17" s="123"/>
      <c r="K17" s="123"/>
      <c r="L17" s="124">
        <f t="shared" si="0"/>
        <v>0</v>
      </c>
      <c r="O17" s="109"/>
      <c r="P17" s="110"/>
      <c r="Q17" s="110"/>
    </row>
    <row r="18" ht="30" customHeight="1" spans="1:17" x14ac:dyDescent="0.25">
      <c r="A18" s="101"/>
      <c r="B18" s="102"/>
      <c r="C18" s="103" t="s">
        <v>25</v>
      </c>
      <c r="D18" s="104"/>
      <c r="E18" s="129"/>
      <c r="F18" s="106" t="s">
        <v>26</v>
      </c>
      <c r="G18" s="107"/>
      <c r="H18" s="107"/>
      <c r="I18" s="107"/>
      <c r="J18" s="107"/>
      <c r="K18" s="107"/>
      <c r="L18" s="108">
        <f t="shared" si="0"/>
        <v>0</v>
      </c>
      <c r="O18" s="109"/>
      <c r="P18" s="110"/>
      <c r="Q18" s="110"/>
    </row>
    <row r="19" ht="30" customHeight="1" spans="1:17" x14ac:dyDescent="0.25">
      <c r="A19" s="101"/>
      <c r="B19" s="102"/>
      <c r="C19" s="111"/>
      <c r="D19" s="112"/>
      <c r="E19" s="130"/>
      <c r="F19" s="114" t="s">
        <v>22</v>
      </c>
      <c r="G19" s="115"/>
      <c r="H19" s="116"/>
      <c r="I19" s="116"/>
      <c r="J19" s="116"/>
      <c r="K19" s="116"/>
      <c r="L19" s="117">
        <f t="shared" si="0"/>
        <v>0</v>
      </c>
      <c r="O19" s="109"/>
      <c r="P19" s="110"/>
      <c r="Q19" s="110"/>
    </row>
    <row r="20" ht="30" customHeight="1" spans="1:17" x14ac:dyDescent="0.25">
      <c r="A20" s="101"/>
      <c r="B20" s="102"/>
      <c r="C20" s="111"/>
      <c r="D20" s="112"/>
      <c r="E20" s="130"/>
      <c r="F20" s="114" t="s">
        <v>17</v>
      </c>
      <c r="G20" s="115"/>
      <c r="H20" s="116"/>
      <c r="I20" s="116"/>
      <c r="J20" s="116"/>
      <c r="K20" s="116"/>
      <c r="L20" s="117">
        <f t="shared" si="0"/>
        <v>0</v>
      </c>
      <c r="O20" s="109"/>
      <c r="P20" s="110"/>
      <c r="Q20" s="110"/>
    </row>
    <row r="21" ht="30" customHeight="1" spans="1:17" x14ac:dyDescent="0.25">
      <c r="A21" s="101"/>
      <c r="B21" s="102"/>
      <c r="C21" s="111"/>
      <c r="D21" s="112"/>
      <c r="E21" s="130"/>
      <c r="F21" s="118" t="s">
        <v>18</v>
      </c>
      <c r="G21" s="116"/>
      <c r="H21" s="116"/>
      <c r="I21" s="116"/>
      <c r="J21" s="116"/>
      <c r="K21" s="116"/>
      <c r="L21" s="117">
        <f t="shared" si="0"/>
        <v>0</v>
      </c>
      <c r="O21" s="109"/>
      <c r="P21" s="110"/>
      <c r="Q21" s="110"/>
    </row>
    <row r="22" ht="30" customHeight="1" spans="1:17" x14ac:dyDescent="0.25">
      <c r="A22" s="101"/>
      <c r="B22" s="102"/>
      <c r="C22" s="119"/>
      <c r="D22" s="120"/>
      <c r="E22" s="131"/>
      <c r="F22" s="122" t="s">
        <v>27</v>
      </c>
      <c r="G22" s="123"/>
      <c r="H22" s="123"/>
      <c r="I22" s="123"/>
      <c r="J22" s="123"/>
      <c r="K22" s="123"/>
      <c r="L22" s="124">
        <f t="shared" si="0"/>
        <v>0</v>
      </c>
      <c r="O22" s="109"/>
      <c r="P22" s="110"/>
      <c r="Q22" s="110"/>
    </row>
    <row r="23" ht="30" customHeight="1" spans="1:17" x14ac:dyDescent="0.25">
      <c r="A23" s="101"/>
      <c r="B23" s="102" t="s">
        <v>28</v>
      </c>
      <c r="C23" s="103" t="s">
        <v>29</v>
      </c>
      <c r="D23" s="104"/>
      <c r="E23" s="129"/>
      <c r="F23" s="132" t="s">
        <v>30</v>
      </c>
      <c r="G23" s="133"/>
      <c r="H23" s="133"/>
      <c r="I23" s="133"/>
      <c r="J23" s="133"/>
      <c r="K23" s="133"/>
      <c r="L23" s="134">
        <f t="shared" si="0"/>
        <v>0</v>
      </c>
      <c r="P23" s="110"/>
      <c r="Q23" s="110"/>
    </row>
    <row r="24" ht="51" customHeight="1" spans="1:17" x14ac:dyDescent="0.25">
      <c r="A24" s="101"/>
      <c r="B24" s="102"/>
      <c r="C24" s="119"/>
      <c r="D24" s="120"/>
      <c r="E24" s="131"/>
      <c r="F24" s="135" t="s">
        <v>31</v>
      </c>
      <c r="G24" s="136"/>
      <c r="H24" s="133"/>
      <c r="I24" s="133"/>
      <c r="J24" s="133"/>
      <c r="K24" s="133"/>
      <c r="L24" s="134">
        <f t="shared" si="0"/>
        <v>0</v>
      </c>
      <c r="P24" s="110"/>
      <c r="Q24" s="110"/>
    </row>
    <row r="25" ht="30" customHeight="1" spans="1:17" x14ac:dyDescent="0.25">
      <c r="A25" s="101"/>
      <c r="B25" s="102"/>
      <c r="C25" s="103" t="s">
        <v>32</v>
      </c>
      <c r="D25" s="104"/>
      <c r="E25" s="129"/>
      <c r="F25" s="137" t="s">
        <v>33</v>
      </c>
      <c r="G25" s="107"/>
      <c r="H25" s="107"/>
      <c r="I25" s="107"/>
      <c r="J25" s="107"/>
      <c r="K25" s="107"/>
      <c r="L25" s="108">
        <f t="shared" si="0"/>
        <v>0</v>
      </c>
      <c r="P25" s="110"/>
      <c r="Q25" s="110"/>
    </row>
    <row r="26" ht="30" customHeight="1" spans="1:17" x14ac:dyDescent="0.25">
      <c r="A26" s="101"/>
      <c r="B26" s="102"/>
      <c r="C26" s="111"/>
      <c r="D26" s="112"/>
      <c r="E26" s="130"/>
      <c r="F26" s="138" t="s">
        <v>34</v>
      </c>
      <c r="G26" s="115"/>
      <c r="H26" s="116"/>
      <c r="I26" s="116"/>
      <c r="J26" s="116"/>
      <c r="K26" s="116"/>
      <c r="L26" s="117">
        <f t="shared" si="0"/>
        <v>0</v>
      </c>
      <c r="P26" s="110"/>
      <c r="Q26" s="110"/>
    </row>
    <row r="27" ht="30" customHeight="1" spans="1:17" x14ac:dyDescent="0.25">
      <c r="A27" s="101"/>
      <c r="B27" s="102"/>
      <c r="C27" s="119"/>
      <c r="D27" s="120"/>
      <c r="E27" s="131"/>
      <c r="F27" s="139" t="s">
        <v>35</v>
      </c>
      <c r="G27" s="140"/>
      <c r="H27" s="123"/>
      <c r="I27" s="123"/>
      <c r="J27" s="123"/>
      <c r="K27" s="123"/>
      <c r="L27" s="124">
        <f t="shared" si="0"/>
        <v>0</v>
      </c>
      <c r="P27" s="110"/>
      <c r="Q27" s="110"/>
    </row>
    <row r="28" ht="30" customHeight="1" spans="1:17" x14ac:dyDescent="0.25">
      <c r="A28" s="101"/>
      <c r="B28" s="102"/>
      <c r="C28" s="103" t="s">
        <v>36</v>
      </c>
      <c r="D28" s="104"/>
      <c r="E28" s="129"/>
      <c r="F28" s="137" t="s">
        <v>33</v>
      </c>
      <c r="G28" s="107"/>
      <c r="H28" s="107"/>
      <c r="I28" s="107"/>
      <c r="J28" s="107"/>
      <c r="K28" s="107"/>
      <c r="L28" s="108">
        <f t="shared" si="0"/>
        <v>0</v>
      </c>
      <c r="P28" s="110"/>
      <c r="Q28" s="110"/>
    </row>
    <row r="29" ht="30" customHeight="1" spans="1:17" x14ac:dyDescent="0.25">
      <c r="A29" s="101"/>
      <c r="B29" s="102"/>
      <c r="C29" s="111"/>
      <c r="D29" s="112"/>
      <c r="E29" s="130"/>
      <c r="F29" s="138" t="s">
        <v>34</v>
      </c>
      <c r="G29" s="115"/>
      <c r="H29" s="116"/>
      <c r="I29" s="116"/>
      <c r="J29" s="116"/>
      <c r="K29" s="116"/>
      <c r="L29" s="117">
        <f t="shared" si="0"/>
        <v>0</v>
      </c>
      <c r="P29" s="110"/>
      <c r="Q29" s="110"/>
    </row>
    <row r="30" ht="30" customHeight="1" spans="1:17" x14ac:dyDescent="0.25">
      <c r="A30" s="101"/>
      <c r="B30" s="102"/>
      <c r="C30" s="119"/>
      <c r="D30" s="120"/>
      <c r="E30" s="131"/>
      <c r="F30" s="139" t="s">
        <v>35</v>
      </c>
      <c r="G30" s="140"/>
      <c r="H30" s="123"/>
      <c r="I30" s="123"/>
      <c r="J30" s="123"/>
      <c r="K30" s="123"/>
      <c r="L30" s="124">
        <f t="shared" si="0"/>
        <v>0</v>
      </c>
      <c r="P30" s="110"/>
      <c r="Q30" s="110"/>
    </row>
    <row r="31" ht="30" customHeight="1" spans="1:17" x14ac:dyDescent="0.25">
      <c r="A31" s="101"/>
      <c r="B31" s="102"/>
      <c r="C31" s="103" t="s">
        <v>37</v>
      </c>
      <c r="D31" s="104"/>
      <c r="E31" s="129"/>
      <c r="F31" s="137" t="s">
        <v>33</v>
      </c>
      <c r="G31" s="107"/>
      <c r="H31" s="107"/>
      <c r="I31" s="107"/>
      <c r="J31" s="107"/>
      <c r="K31" s="107"/>
      <c r="L31" s="108">
        <f t="shared" si="0"/>
        <v>0</v>
      </c>
      <c r="P31" s="110"/>
      <c r="Q31" s="110"/>
    </row>
    <row r="32" ht="30" customHeight="1" spans="1:17" x14ac:dyDescent="0.25">
      <c r="A32" s="101"/>
      <c r="B32" s="102"/>
      <c r="C32" s="111"/>
      <c r="D32" s="112"/>
      <c r="E32" s="130"/>
      <c r="F32" s="138" t="s">
        <v>34</v>
      </c>
      <c r="G32" s="115"/>
      <c r="H32" s="116"/>
      <c r="I32" s="116"/>
      <c r="J32" s="116"/>
      <c r="K32" s="116"/>
      <c r="L32" s="117">
        <f t="shared" si="0"/>
        <v>0</v>
      </c>
      <c r="P32" s="110"/>
      <c r="Q32" s="110"/>
    </row>
    <row r="33" ht="30" customHeight="1" spans="1:17" x14ac:dyDescent="0.25">
      <c r="A33" s="101"/>
      <c r="B33" s="102"/>
      <c r="C33" s="119"/>
      <c r="D33" s="120"/>
      <c r="E33" s="131"/>
      <c r="F33" s="139" t="s">
        <v>35</v>
      </c>
      <c r="G33" s="140"/>
      <c r="H33" s="123"/>
      <c r="I33" s="123"/>
      <c r="J33" s="123"/>
      <c r="K33" s="123"/>
      <c r="L33" s="124">
        <f t="shared" si="0"/>
        <v>0</v>
      </c>
      <c r="P33" s="110"/>
      <c r="Q33" s="110"/>
    </row>
    <row r="34" ht="30" customHeight="1" spans="1:17" x14ac:dyDescent="0.25">
      <c r="A34" s="101"/>
      <c r="B34" s="102"/>
      <c r="C34" s="103" t="s">
        <v>38</v>
      </c>
      <c r="D34" s="104"/>
      <c r="E34" s="129"/>
      <c r="F34" s="137" t="s">
        <v>33</v>
      </c>
      <c r="G34" s="107"/>
      <c r="H34" s="107"/>
      <c r="I34" s="107"/>
      <c r="J34" s="107"/>
      <c r="K34" s="107"/>
      <c r="L34" s="108">
        <f t="shared" si="0"/>
        <v>0</v>
      </c>
      <c r="P34" s="110"/>
      <c r="Q34" s="110"/>
    </row>
    <row r="35" ht="30" customHeight="1" spans="1:17" x14ac:dyDescent="0.25">
      <c r="A35" s="101"/>
      <c r="B35" s="102"/>
      <c r="C35" s="111"/>
      <c r="D35" s="112"/>
      <c r="E35" s="130"/>
      <c r="F35" s="138" t="s">
        <v>34</v>
      </c>
      <c r="G35" s="115"/>
      <c r="H35" s="116"/>
      <c r="I35" s="116"/>
      <c r="J35" s="116"/>
      <c r="K35" s="116"/>
      <c r="L35" s="117">
        <f t="shared" si="0"/>
        <v>0</v>
      </c>
      <c r="P35" s="110"/>
      <c r="Q35" s="110"/>
    </row>
    <row r="36" ht="30" customHeight="1" spans="1:17" x14ac:dyDescent="0.25">
      <c r="A36" s="101"/>
      <c r="B36" s="102"/>
      <c r="C36" s="119"/>
      <c r="D36" s="120"/>
      <c r="E36" s="131"/>
      <c r="F36" s="139" t="s">
        <v>35</v>
      </c>
      <c r="G36" s="140"/>
      <c r="H36" s="123"/>
      <c r="I36" s="123"/>
      <c r="J36" s="123"/>
      <c r="K36" s="123"/>
      <c r="L36" s="124">
        <f t="shared" si="0"/>
        <v>0</v>
      </c>
      <c r="O36" s="110"/>
      <c r="P36" s="110"/>
      <c r="Q36" s="110"/>
    </row>
    <row r="37" ht="30" customHeight="1" spans="1:17" x14ac:dyDescent="0.25">
      <c r="A37" s="101"/>
      <c r="B37" s="102"/>
      <c r="C37" s="103" t="s">
        <v>39</v>
      </c>
      <c r="D37" s="104"/>
      <c r="E37" s="129"/>
      <c r="F37" s="137" t="s">
        <v>33</v>
      </c>
      <c r="G37" s="107"/>
      <c r="H37" s="107"/>
      <c r="I37" s="107"/>
      <c r="J37" s="107"/>
      <c r="K37" s="107"/>
      <c r="L37" s="108">
        <f t="shared" si="0"/>
        <v>0</v>
      </c>
      <c r="P37" s="110"/>
      <c r="Q37" s="110"/>
    </row>
    <row r="38" ht="30" customHeight="1" spans="1:17" x14ac:dyDescent="0.25">
      <c r="A38" s="101"/>
      <c r="B38" s="102"/>
      <c r="C38" s="111"/>
      <c r="D38" s="112"/>
      <c r="E38" s="130"/>
      <c r="F38" s="138" t="s">
        <v>34</v>
      </c>
      <c r="G38" s="115"/>
      <c r="H38" s="116"/>
      <c r="I38" s="116"/>
      <c r="J38" s="116"/>
      <c r="K38" s="116"/>
      <c r="L38" s="117">
        <f t="shared" si="0"/>
        <v>0</v>
      </c>
      <c r="P38" s="110"/>
      <c r="Q38" s="110"/>
    </row>
    <row r="39" ht="30" customHeight="1" spans="1:17" x14ac:dyDescent="0.25">
      <c r="A39" s="101"/>
      <c r="B39" s="102"/>
      <c r="C39" s="119"/>
      <c r="D39" s="120"/>
      <c r="E39" s="131"/>
      <c r="F39" s="139" t="s">
        <v>35</v>
      </c>
      <c r="G39" s="140"/>
      <c r="H39" s="123"/>
      <c r="I39" s="123"/>
      <c r="J39" s="123"/>
      <c r="K39" s="123"/>
      <c r="L39" s="124">
        <f t="shared" si="0"/>
        <v>0</v>
      </c>
      <c r="P39" s="110"/>
      <c r="Q39" s="110"/>
    </row>
    <row r="40" ht="30" customHeight="1" spans="1:17" x14ac:dyDescent="0.25">
      <c r="A40" s="101"/>
      <c r="B40" s="102"/>
      <c r="C40" s="103" t="s">
        <v>40</v>
      </c>
      <c r="D40" s="104"/>
      <c r="E40" s="129"/>
      <c r="F40" s="137" t="s">
        <v>33</v>
      </c>
      <c r="G40" s="107"/>
      <c r="H40" s="107"/>
      <c r="I40" s="107"/>
      <c r="J40" s="107"/>
      <c r="K40" s="107"/>
      <c r="L40" s="108">
        <f t="shared" si="0"/>
        <v>0</v>
      </c>
      <c r="P40" s="110"/>
      <c r="Q40" s="110"/>
    </row>
    <row r="41" ht="30" customHeight="1" spans="1:17" x14ac:dyDescent="0.25">
      <c r="A41" s="101"/>
      <c r="B41" s="102"/>
      <c r="C41" s="111"/>
      <c r="D41" s="112"/>
      <c r="E41" s="130"/>
      <c r="F41" s="138" t="s">
        <v>34</v>
      </c>
      <c r="G41" s="116"/>
      <c r="H41" s="116"/>
      <c r="I41" s="116"/>
      <c r="J41" s="116"/>
      <c r="K41" s="116"/>
      <c r="L41" s="117">
        <f t="shared" si="0"/>
        <v>0</v>
      </c>
      <c r="P41" s="110"/>
      <c r="Q41" s="110"/>
    </row>
    <row r="42" ht="30" customHeight="1" spans="1:17" x14ac:dyDescent="0.25">
      <c r="A42" s="101"/>
      <c r="B42" s="102"/>
      <c r="C42" s="119"/>
      <c r="D42" s="120"/>
      <c r="E42" s="131"/>
      <c r="F42" s="139" t="s">
        <v>35</v>
      </c>
      <c r="G42" s="123"/>
      <c r="H42" s="123"/>
      <c r="I42" s="123"/>
      <c r="J42" s="123"/>
      <c r="K42" s="123"/>
      <c r="L42" s="124">
        <f t="shared" si="0"/>
        <v>0</v>
      </c>
      <c r="P42" s="110"/>
      <c r="Q42" s="110"/>
    </row>
    <row r="43" ht="45" customHeight="1" spans="1:17" x14ac:dyDescent="0.25">
      <c r="A43" s="101"/>
      <c r="B43" s="102"/>
      <c r="C43" s="103" t="s">
        <v>41</v>
      </c>
      <c r="D43" s="104"/>
      <c r="E43" s="129"/>
      <c r="F43" s="141" t="s">
        <v>33</v>
      </c>
      <c r="G43" s="107"/>
      <c r="H43" s="107"/>
      <c r="I43" s="107"/>
      <c r="J43" s="107"/>
      <c r="K43" s="107"/>
      <c r="L43" s="117">
        <f t="shared" si="0"/>
        <v>0</v>
      </c>
      <c r="P43" s="110"/>
      <c r="Q43" s="110"/>
    </row>
    <row r="44" ht="45" customHeight="1" spans="1:16" x14ac:dyDescent="0.25">
      <c r="A44" s="101"/>
      <c r="B44" s="102"/>
      <c r="C44" s="111"/>
      <c r="D44" s="112"/>
      <c r="E44" s="130"/>
      <c r="F44" s="139" t="s">
        <v>34</v>
      </c>
      <c r="G44" s="123"/>
      <c r="H44" s="123"/>
      <c r="I44" s="123"/>
      <c r="J44" s="123"/>
      <c r="K44" s="123"/>
      <c r="L44" s="124">
        <f t="shared" si="0"/>
        <v>0</v>
      </c>
      <c r="M44" s="142"/>
      <c r="N44" s="142"/>
      <c r="O44" s="142"/>
      <c r="P44" s="142"/>
    </row>
    <row r="45" ht="30" customHeight="1" spans="1:12" x14ac:dyDescent="0.25">
      <c r="A45" s="101"/>
      <c r="B45" s="102"/>
      <c r="C45" s="103" t="s">
        <v>42</v>
      </c>
      <c r="D45" s="104"/>
      <c r="E45" s="129"/>
      <c r="F45" s="137" t="s">
        <v>33</v>
      </c>
      <c r="G45" s="107"/>
      <c r="H45" s="107"/>
      <c r="I45" s="107"/>
      <c r="J45" s="107"/>
      <c r="K45" s="107"/>
      <c r="L45" s="108">
        <f t="shared" si="0"/>
        <v>0</v>
      </c>
    </row>
    <row r="46" ht="30" customHeight="1" spans="1:12" x14ac:dyDescent="0.25">
      <c r="A46" s="101"/>
      <c r="B46" s="102"/>
      <c r="C46" s="111"/>
      <c r="D46" s="112"/>
      <c r="E46" s="130"/>
      <c r="F46" s="138" t="s">
        <v>34</v>
      </c>
      <c r="G46" s="115"/>
      <c r="H46" s="116"/>
      <c r="I46" s="116"/>
      <c r="J46" s="116"/>
      <c r="K46" s="116"/>
      <c r="L46" s="117">
        <f t="shared" si="0"/>
        <v>0</v>
      </c>
    </row>
    <row r="47" ht="30" customHeight="1" spans="1:12" x14ac:dyDescent="0.25">
      <c r="A47" s="101"/>
      <c r="B47" s="102"/>
      <c r="C47" s="119"/>
      <c r="D47" s="120"/>
      <c r="E47" s="131"/>
      <c r="F47" s="139" t="s">
        <v>35</v>
      </c>
      <c r="G47" s="140"/>
      <c r="H47" s="123"/>
      <c r="I47" s="123"/>
      <c r="J47" s="123"/>
      <c r="K47" s="123"/>
      <c r="L47" s="124">
        <f t="shared" si="0"/>
        <v>0</v>
      </c>
    </row>
    <row r="48" ht="30" customHeight="1" spans="1:22" s="143" customFormat="1" x14ac:dyDescent="0.25">
      <c r="A48" s="101"/>
      <c r="B48" s="102"/>
      <c r="C48" s="103" t="s">
        <v>43</v>
      </c>
      <c r="D48" s="104"/>
      <c r="E48" s="129"/>
      <c r="F48" s="137" t="s">
        <v>33</v>
      </c>
      <c r="G48" s="107"/>
      <c r="H48" s="107"/>
      <c r="I48" s="107"/>
      <c r="J48" s="107"/>
      <c r="K48" s="107"/>
      <c r="L48" s="108">
        <f t="shared" si="0"/>
        <v>0</v>
      </c>
      <c r="M48" s="143"/>
      <c r="N48" s="143"/>
      <c r="O48" s="143"/>
      <c r="P48" s="143"/>
      <c r="Q48" s="143"/>
      <c r="R48" s="143"/>
      <c r="S48" s="143"/>
      <c r="T48" s="143"/>
      <c r="U48" s="143"/>
      <c r="V48" s="143"/>
    </row>
    <row r="49" ht="30" customHeight="1" spans="1:12" x14ac:dyDescent="0.25">
      <c r="A49" s="101"/>
      <c r="B49" s="102"/>
      <c r="C49" s="111"/>
      <c r="D49" s="112"/>
      <c r="E49" s="130"/>
      <c r="F49" s="138" t="s">
        <v>34</v>
      </c>
      <c r="G49" s="115"/>
      <c r="H49" s="116"/>
      <c r="I49" s="116"/>
      <c r="J49" s="116"/>
      <c r="K49" s="116"/>
      <c r="L49" s="117">
        <f t="shared" si="0"/>
        <v>0</v>
      </c>
    </row>
    <row r="50" ht="30" customHeight="1" spans="1:12" x14ac:dyDescent="0.25">
      <c r="A50" s="101"/>
      <c r="B50" s="102"/>
      <c r="C50" s="119"/>
      <c r="D50" s="120"/>
      <c r="E50" s="131"/>
      <c r="F50" s="139" t="s">
        <v>35</v>
      </c>
      <c r="G50" s="140"/>
      <c r="H50" s="123"/>
      <c r="I50" s="123"/>
      <c r="J50" s="123"/>
      <c r="K50" s="123"/>
      <c r="L50" s="124">
        <f t="shared" si="0"/>
        <v>0</v>
      </c>
    </row>
    <row r="51" ht="30" customHeight="1" spans="1:12" x14ac:dyDescent="0.25">
      <c r="A51" s="101"/>
      <c r="B51" s="102"/>
      <c r="C51" s="103" t="s">
        <v>44</v>
      </c>
      <c r="D51" s="104"/>
      <c r="E51" s="129"/>
      <c r="F51" s="137" t="s">
        <v>33</v>
      </c>
      <c r="G51" s="125"/>
      <c r="H51" s="125"/>
      <c r="I51" s="125"/>
      <c r="J51" s="125"/>
      <c r="K51" s="125"/>
      <c r="L51" s="108">
        <f t="shared" si="0"/>
        <v>0</v>
      </c>
    </row>
    <row r="52" ht="30" customHeight="1" spans="1:12" x14ac:dyDescent="0.25">
      <c r="A52" s="101"/>
      <c r="B52" s="102"/>
      <c r="C52" s="111"/>
      <c r="D52" s="112"/>
      <c r="E52" s="130"/>
      <c r="F52" s="138" t="s">
        <v>34</v>
      </c>
      <c r="G52" s="126"/>
      <c r="H52" s="127"/>
      <c r="I52" s="127"/>
      <c r="J52" s="127"/>
      <c r="K52" s="127"/>
      <c r="L52" s="117">
        <f t="shared" si="0"/>
        <v>0</v>
      </c>
    </row>
    <row r="53" ht="18.75" customHeight="1" spans="1:12" x14ac:dyDescent="0.25">
      <c r="A53" s="101"/>
      <c r="B53" s="144"/>
      <c r="C53" s="111"/>
      <c r="D53" s="112"/>
      <c r="E53" s="130"/>
      <c r="F53" s="141" t="s">
        <v>35</v>
      </c>
      <c r="G53" s="145"/>
      <c r="H53" s="145"/>
      <c r="I53" s="145"/>
      <c r="J53" s="145"/>
      <c r="K53" s="145"/>
      <c r="L53" s="146">
        <f t="shared" si="0"/>
        <v>0</v>
      </c>
    </row>
    <row r="54" ht="18.75" customHeight="1" spans="1:12" x14ac:dyDescent="0.25">
      <c r="A54" s="101"/>
      <c r="B54" s="69" t="s">
        <v>45</v>
      </c>
      <c r="C54" s="70"/>
      <c r="D54" s="70"/>
      <c r="E54" s="70"/>
      <c r="F54" s="70"/>
      <c r="G54" s="72">
        <f t="shared" ref="G54:K54" si="1">SUM(G8:G53)</f>
        <v>0</v>
      </c>
      <c r="H54" s="72">
        <f t="shared" si="1"/>
        <v>0</v>
      </c>
      <c r="I54" s="72">
        <f t="shared" si="1"/>
        <v>0</v>
      </c>
      <c r="J54" s="72">
        <f t="shared" si="1"/>
        <v>0</v>
      </c>
      <c r="K54" s="72">
        <f t="shared" si="1"/>
        <v>0</v>
      </c>
      <c r="L54" s="72">
        <f>SUM(L8:L53)</f>
        <v>0</v>
      </c>
    </row>
    <row r="55" ht="18.75" customHeight="1" spans="2:12" x14ac:dyDescent="0.25">
      <c r="B55" s="15"/>
      <c r="C55" s="15"/>
      <c r="D55" s="15"/>
      <c r="E55" s="15"/>
      <c r="F55" s="76" t="s">
        <v>46</v>
      </c>
      <c r="G55" s="77">
        <f>IFERROR(G54/10," ")</f>
        <v>0</v>
      </c>
      <c r="H55" s="77">
        <f t="shared" ref="H55:L55" si="2">IFERROR(H54/10," ")</f>
        <v>0</v>
      </c>
      <c r="I55" s="77">
        <f t="shared" si="2"/>
        <v>0</v>
      </c>
      <c r="J55" s="77">
        <f t="shared" si="2"/>
        <v>0</v>
      </c>
      <c r="K55" s="77">
        <f t="shared" si="2"/>
        <v>0</v>
      </c>
      <c r="L55" s="77">
        <f t="shared" si="2"/>
        <v>0</v>
      </c>
    </row>
    <row r="56" ht="18.75" customHeight="1" spans="3:12" x14ac:dyDescent="0.25">
      <c r="C56" s="143"/>
      <c r="D56" s="143"/>
      <c r="E56" s="143"/>
      <c r="F56" s="143"/>
      <c r="G56" s="143"/>
      <c r="L56" s="109"/>
    </row>
    <row r="57" spans="12:12" x14ac:dyDescent="0.25">
      <c r="L57" s="109"/>
    </row>
    <row r="58" spans="12:12" x14ac:dyDescent="0.25">
      <c r="L58" s="109"/>
    </row>
    <row r="59" spans="12:12" x14ac:dyDescent="0.25">
      <c r="L59" s="109"/>
    </row>
    <row r="60" spans="12:12" x14ac:dyDescent="0.25">
      <c r="L60" s="109"/>
    </row>
    <row r="61" spans="12:12" x14ac:dyDescent="0.25">
      <c r="L61" s="109"/>
    </row>
    <row r="62" spans="12:12" x14ac:dyDescent="0.25">
      <c r="L62" s="109"/>
    </row>
    <row r="63" spans="12:12" x14ac:dyDescent="0.25">
      <c r="L63" s="109"/>
    </row>
    <row r="64" spans="12:12" x14ac:dyDescent="0.25">
      <c r="L64" s="109"/>
    </row>
    <row r="65" spans="12:12" x14ac:dyDescent="0.25">
      <c r="L65" s="109"/>
    </row>
    <row r="66" spans="12:12" x14ac:dyDescent="0.25">
      <c r="L66" s="109"/>
    </row>
    <row r="67" spans="12:12" x14ac:dyDescent="0.25">
      <c r="L67" s="109"/>
    </row>
    <row r="68" spans="12:12" x14ac:dyDescent="0.25">
      <c r="L68" s="109"/>
    </row>
    <row r="69" spans="12:12" x14ac:dyDescent="0.25">
      <c r="L69" s="109"/>
    </row>
    <row r="70" spans="12:12" x14ac:dyDescent="0.25">
      <c r="L70" s="109"/>
    </row>
    <row r="71" spans="12:12" x14ac:dyDescent="0.25">
      <c r="L71" s="109"/>
    </row>
    <row r="72" spans="12:12" x14ac:dyDescent="0.25">
      <c r="L72" s="109"/>
    </row>
    <row r="73" spans="12:12" x14ac:dyDescent="0.25">
      <c r="L73" s="109"/>
    </row>
    <row r="74" spans="12:12" x14ac:dyDescent="0.25">
      <c r="L74" s="109"/>
    </row>
    <row r="75" spans="12:12" x14ac:dyDescent="0.25">
      <c r="L75" s="109"/>
    </row>
    <row r="76" spans="12:12" x14ac:dyDescent="0.25">
      <c r="L76" s="109"/>
    </row>
    <row r="77" spans="12:12" x14ac:dyDescent="0.25">
      <c r="L77" s="109"/>
    </row>
  </sheetData>
  <mergeCells count="25">
    <mergeCell ref="C1:L1"/>
    <mergeCell ref="C2:L2"/>
    <mergeCell ref="C3:L3"/>
    <mergeCell ref="C4:L4"/>
    <mergeCell ref="C5:L5"/>
    <mergeCell ref="A7:B7"/>
    <mergeCell ref="C7:F7"/>
    <mergeCell ref="C8:E12"/>
    <mergeCell ref="A8:A54"/>
    <mergeCell ref="B8:B22"/>
    <mergeCell ref="C13:E17"/>
    <mergeCell ref="C18:E22"/>
    <mergeCell ref="C23:E24"/>
    <mergeCell ref="B23:B53"/>
    <mergeCell ref="C25:E27"/>
    <mergeCell ref="C28:E30"/>
    <mergeCell ref="C31:E33"/>
    <mergeCell ref="C34:E36"/>
    <mergeCell ref="C37:E39"/>
    <mergeCell ref="C40:E42"/>
    <mergeCell ref="C43:E44"/>
    <mergeCell ref="C45:E47"/>
    <mergeCell ref="C48:E50"/>
    <mergeCell ref="C51:E53"/>
    <mergeCell ref="B54:F54"/>
  </mergeCells>
  <printOptions horizontalCentered="1" verticalCentered="1"/>
  <pageMargins left="0" right="0" top="0" bottom="0" header="0" footer="0"/>
  <pageSetup orientation="portrait" horizontalDpi="4294967295" verticalDpi="4294967295" scale="48" fitToWidth="1" fitToHeight="0" firstPageNumber="1" useFirstPageNumber="1" copies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9C9"/>
  </sheetPr>
  <dimension ref="A1:V77"/>
  <sheetViews>
    <sheetView workbookViewId="0" showGridLines="0" zoomScale="90" zoomScaleNormal="90">
      <selection activeCell="G8" sqref="G8"/>
    </sheetView>
  </sheetViews>
  <sheetFormatPr defaultRowHeight="18" outlineLevelRow="0" outlineLevelCol="0" x14ac:dyDescent="0.35" defaultColWidth="11.42578125" customHeight="1"/>
  <cols>
    <col min="1" max="1" width="10.42578125" style="80" customWidth="1"/>
    <col min="2" max="2" width="17.7109375" style="80" customWidth="1"/>
    <col min="3" max="3" width="10.7109375" style="80" customWidth="1"/>
    <col min="4" max="4" width="13.42578125" style="80" customWidth="1"/>
    <col min="5" max="5" width="25.140625" style="80" customWidth="1"/>
    <col min="6" max="6" width="26.140625" style="80" customWidth="1"/>
    <col min="7" max="10" width="19" style="80" customWidth="1"/>
    <col min="11" max="11" width="17.7109375" style="80" customWidth="1"/>
    <col min="12" max="12" width="20.7109375" style="80" customWidth="1"/>
    <col min="13" max="13" width="14" style="80" customWidth="1"/>
    <col min="14" max="14" width="12.28515625" style="80" customWidth="1"/>
    <col min="15" max="15" width="14" style="80" customWidth="1"/>
    <col min="16" max="16" width="12.42578125" style="80" customWidth="1"/>
    <col min="17" max="17" width="13.7109375" style="80" customWidth="1"/>
    <col min="18" max="16384" width="11.42578125" style="80" customWidth="1"/>
  </cols>
  <sheetData>
    <row r="1" ht="27.75" customHeight="1" spans="1:14" s="81" customFormat="1" x14ac:dyDescent="0.25">
      <c r="A1" s="82"/>
      <c r="B1" s="82"/>
      <c r="C1" s="83" t="s">
        <v>0</v>
      </c>
      <c r="D1" s="83"/>
      <c r="E1" s="83"/>
      <c r="F1" s="83"/>
      <c r="G1" s="83"/>
      <c r="H1" s="83"/>
      <c r="I1" s="83"/>
      <c r="J1" s="83"/>
      <c r="K1" s="83"/>
      <c r="L1" s="83"/>
      <c r="M1" s="84"/>
      <c r="N1" s="84"/>
    </row>
    <row r="2" ht="23.25" customHeight="1" spans="1:14" s="81" customFormat="1" x14ac:dyDescent="0.25">
      <c r="A2" s="82"/>
      <c r="B2" s="82"/>
      <c r="C2" s="83" t="s">
        <v>1</v>
      </c>
      <c r="D2" s="83"/>
      <c r="E2" s="83"/>
      <c r="F2" s="83"/>
      <c r="G2" s="83"/>
      <c r="H2" s="83"/>
      <c r="I2" s="83"/>
      <c r="J2" s="83"/>
      <c r="K2" s="83"/>
      <c r="L2" s="83"/>
      <c r="M2" s="85"/>
      <c r="N2" s="85"/>
    </row>
    <row r="3" ht="23.25" customHeight="1" spans="1:14" s="81" customFormat="1" x14ac:dyDescent="0.25">
      <c r="A3" s="82"/>
      <c r="B3" s="82"/>
      <c r="C3" s="86" t="s">
        <v>2</v>
      </c>
      <c r="D3" s="86"/>
      <c r="E3" s="86"/>
      <c r="F3" s="86"/>
      <c r="G3" s="86"/>
      <c r="H3" s="86"/>
      <c r="I3" s="86"/>
      <c r="J3" s="86"/>
      <c r="K3" s="86"/>
      <c r="L3" s="86"/>
      <c r="M3" s="85"/>
      <c r="N3" s="85"/>
    </row>
    <row r="4" ht="23.25" customHeight="1" spans="1:14" s="81" customFormat="1" x14ac:dyDescent="0.25">
      <c r="A4" s="87"/>
      <c r="B4" s="87"/>
      <c r="C4" s="88" t="str">
        <f>'ANÁLIS DE META-LOGRO'!A5</f>
        <v>Meta-Logro de Vacuna Anti Influenza Estacional Temporada Invernal 2025-2026 por Unidad de Salud</v>
      </c>
      <c r="D4" s="88"/>
      <c r="E4" s="88"/>
      <c r="F4" s="88"/>
      <c r="G4" s="88"/>
      <c r="H4" s="88"/>
      <c r="I4" s="88"/>
      <c r="J4" s="88"/>
      <c r="K4" s="88"/>
      <c r="L4" s="88"/>
      <c r="M4" s="89"/>
      <c r="N4" s="89"/>
    </row>
    <row r="5" ht="21" customHeight="1" spans="1:13" s="90" customFormat="1" x14ac:dyDescent="0.25">
      <c r="A5" s="80"/>
      <c r="B5" s="80"/>
      <c r="C5" s="88" t="s">
        <v>58</v>
      </c>
      <c r="D5" s="88"/>
      <c r="E5" s="88"/>
      <c r="F5" s="88"/>
      <c r="G5" s="88"/>
      <c r="H5" s="88"/>
      <c r="I5" s="88"/>
      <c r="J5" s="88"/>
      <c r="K5" s="88"/>
      <c r="L5" s="88"/>
      <c r="M5" s="91"/>
    </row>
    <row r="6" ht="23.25" customHeight="1" spans="1:14" s="92" customFormat="1" x14ac:dyDescent="0.25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N6" s="93"/>
    </row>
    <row r="7" ht="30" customHeight="1" spans="1:14" x14ac:dyDescent="0.25">
      <c r="A7" s="94" t="s">
        <v>5</v>
      </c>
      <c r="B7" s="95"/>
      <c r="C7" s="94" t="s">
        <v>6</v>
      </c>
      <c r="D7" s="96"/>
      <c r="E7" s="96"/>
      <c r="F7" s="96"/>
      <c r="G7" s="97" t="s">
        <v>48</v>
      </c>
      <c r="H7" s="97" t="s">
        <v>49</v>
      </c>
      <c r="I7" s="97" t="s">
        <v>50</v>
      </c>
      <c r="J7" s="97" t="s">
        <v>51</v>
      </c>
      <c r="K7" s="97" t="s">
        <v>52</v>
      </c>
      <c r="L7" s="98" t="s">
        <v>53</v>
      </c>
      <c r="M7" s="99"/>
      <c r="N7" s="100"/>
    </row>
    <row r="8" ht="30" customHeight="1" spans="1:17" x14ac:dyDescent="0.25">
      <c r="A8" s="101" t="s">
        <v>11</v>
      </c>
      <c r="B8" s="102" t="s">
        <v>12</v>
      </c>
      <c r="C8" s="103" t="s">
        <v>13</v>
      </c>
      <c r="D8" s="104"/>
      <c r="E8" s="105"/>
      <c r="F8" s="106" t="s">
        <v>14</v>
      </c>
      <c r="G8" s="107"/>
      <c r="H8" s="107"/>
      <c r="I8" s="107"/>
      <c r="J8" s="107"/>
      <c r="K8" s="107"/>
      <c r="L8" s="108">
        <f>SUM(G8:K8)</f>
        <v>0</v>
      </c>
      <c r="O8" s="109"/>
      <c r="P8" s="110"/>
      <c r="Q8" s="110"/>
    </row>
    <row r="9" ht="30" customHeight="1" spans="1:17" x14ac:dyDescent="0.25">
      <c r="A9" s="101"/>
      <c r="B9" s="102"/>
      <c r="C9" s="111"/>
      <c r="D9" s="112"/>
      <c r="E9" s="113"/>
      <c r="F9" s="114" t="s">
        <v>15</v>
      </c>
      <c r="G9" s="115"/>
      <c r="H9" s="116"/>
      <c r="I9" s="116"/>
      <c r="J9" s="116"/>
      <c r="K9" s="116"/>
      <c r="L9" s="117">
        <f t="shared" ref="L9:L53" si="0">SUM(G9:K9)</f>
        <v>0</v>
      </c>
      <c r="O9" s="109"/>
      <c r="P9" s="110"/>
      <c r="Q9" s="110"/>
    </row>
    <row r="10" ht="30" customHeight="1" spans="1:17" x14ac:dyDescent="0.25">
      <c r="A10" s="101"/>
      <c r="B10" s="102"/>
      <c r="C10" s="111"/>
      <c r="D10" s="112"/>
      <c r="E10" s="113"/>
      <c r="F10" s="114" t="s">
        <v>16</v>
      </c>
      <c r="G10" s="115"/>
      <c r="H10" s="116"/>
      <c r="I10" s="116"/>
      <c r="J10" s="116"/>
      <c r="K10" s="116"/>
      <c r="L10" s="117">
        <f t="shared" si="0"/>
        <v>0</v>
      </c>
      <c r="O10" s="109"/>
      <c r="P10" s="110"/>
      <c r="Q10" s="110"/>
    </row>
    <row r="11" ht="30" customHeight="1" spans="1:17" x14ac:dyDescent="0.25">
      <c r="A11" s="101"/>
      <c r="B11" s="102"/>
      <c r="C11" s="111"/>
      <c r="D11" s="112"/>
      <c r="E11" s="113"/>
      <c r="F11" s="118" t="s">
        <v>17</v>
      </c>
      <c r="G11" s="116"/>
      <c r="H11" s="116"/>
      <c r="I11" s="116"/>
      <c r="J11" s="116"/>
      <c r="K11" s="116"/>
      <c r="L11" s="117">
        <f t="shared" si="0"/>
        <v>0</v>
      </c>
      <c r="O11" s="109"/>
      <c r="P11" s="110"/>
      <c r="Q11" s="110"/>
    </row>
    <row r="12" ht="30" customHeight="1" spans="1:17" x14ac:dyDescent="0.25">
      <c r="A12" s="101"/>
      <c r="B12" s="102"/>
      <c r="C12" s="119"/>
      <c r="D12" s="120"/>
      <c r="E12" s="121"/>
      <c r="F12" s="122" t="s">
        <v>18</v>
      </c>
      <c r="G12" s="123"/>
      <c r="H12" s="123"/>
      <c r="I12" s="123"/>
      <c r="J12" s="123"/>
      <c r="K12" s="123"/>
      <c r="L12" s="124">
        <f t="shared" si="0"/>
        <v>0</v>
      </c>
      <c r="O12" s="109"/>
      <c r="P12" s="110"/>
      <c r="Q12" s="110"/>
    </row>
    <row r="13" ht="30" customHeight="1" spans="1:17" x14ac:dyDescent="0.25">
      <c r="A13" s="101"/>
      <c r="B13" s="102"/>
      <c r="C13" s="103" t="s">
        <v>19</v>
      </c>
      <c r="D13" s="104"/>
      <c r="E13" s="105"/>
      <c r="F13" s="106" t="s">
        <v>20</v>
      </c>
      <c r="G13" s="107"/>
      <c r="H13" s="107"/>
      <c r="I13" s="107"/>
      <c r="J13" s="107"/>
      <c r="K13" s="107"/>
      <c r="L13" s="108">
        <f t="shared" si="0"/>
        <v>0</v>
      </c>
      <c r="O13" s="109"/>
      <c r="P13" s="110"/>
      <c r="Q13" s="110"/>
    </row>
    <row r="14" ht="30" customHeight="1" spans="1:17" x14ac:dyDescent="0.25">
      <c r="A14" s="101"/>
      <c r="B14" s="102"/>
      <c r="C14" s="111"/>
      <c r="D14" s="112"/>
      <c r="E14" s="113"/>
      <c r="F14" s="114" t="s">
        <v>21</v>
      </c>
      <c r="G14" s="115"/>
      <c r="H14" s="116"/>
      <c r="I14" s="116"/>
      <c r="J14" s="116"/>
      <c r="K14" s="116"/>
      <c r="L14" s="117">
        <f t="shared" si="0"/>
        <v>0</v>
      </c>
      <c r="O14" s="109"/>
      <c r="P14" s="110"/>
      <c r="Q14" s="110"/>
    </row>
    <row r="15" ht="30" customHeight="1" spans="1:17" x14ac:dyDescent="0.25">
      <c r="A15" s="101"/>
      <c r="B15" s="102"/>
      <c r="C15" s="111"/>
      <c r="D15" s="112"/>
      <c r="E15" s="113"/>
      <c r="F15" s="114" t="s">
        <v>22</v>
      </c>
      <c r="G15" s="115"/>
      <c r="H15" s="116"/>
      <c r="I15" s="116"/>
      <c r="J15" s="116"/>
      <c r="K15" s="116"/>
      <c r="L15" s="117">
        <f t="shared" si="0"/>
        <v>0</v>
      </c>
      <c r="O15" s="109"/>
      <c r="P15" s="110"/>
      <c r="Q15" s="110"/>
    </row>
    <row r="16" ht="30" customHeight="1" spans="1:17" x14ac:dyDescent="0.25">
      <c r="A16" s="101"/>
      <c r="B16" s="102"/>
      <c r="C16" s="111"/>
      <c r="D16" s="112"/>
      <c r="E16" s="113"/>
      <c r="F16" s="118" t="s">
        <v>23</v>
      </c>
      <c r="G16" s="116"/>
      <c r="H16" s="116"/>
      <c r="I16" s="116"/>
      <c r="J16" s="116"/>
      <c r="K16" s="116"/>
      <c r="L16" s="117">
        <f t="shared" si="0"/>
        <v>0</v>
      </c>
      <c r="O16" s="109"/>
      <c r="P16" s="110"/>
      <c r="Q16" s="110"/>
    </row>
    <row r="17" ht="30" customHeight="1" spans="1:17" x14ac:dyDescent="0.25">
      <c r="A17" s="101"/>
      <c r="B17" s="102"/>
      <c r="C17" s="119"/>
      <c r="D17" s="120"/>
      <c r="E17" s="121"/>
      <c r="F17" s="122" t="s">
        <v>24</v>
      </c>
      <c r="G17" s="123"/>
      <c r="H17" s="123"/>
      <c r="I17" s="123"/>
      <c r="J17" s="123"/>
      <c r="K17" s="123"/>
      <c r="L17" s="124">
        <f t="shared" si="0"/>
        <v>0</v>
      </c>
      <c r="O17" s="109"/>
      <c r="P17" s="110"/>
      <c r="Q17" s="110"/>
    </row>
    <row r="18" ht="30" customHeight="1" spans="1:17" x14ac:dyDescent="0.25">
      <c r="A18" s="101"/>
      <c r="B18" s="102"/>
      <c r="C18" s="103" t="s">
        <v>25</v>
      </c>
      <c r="D18" s="104"/>
      <c r="E18" s="129"/>
      <c r="F18" s="106" t="s">
        <v>26</v>
      </c>
      <c r="G18" s="107"/>
      <c r="H18" s="107"/>
      <c r="I18" s="107"/>
      <c r="J18" s="107"/>
      <c r="K18" s="107"/>
      <c r="L18" s="108">
        <f t="shared" si="0"/>
        <v>0</v>
      </c>
      <c r="O18" s="109"/>
      <c r="P18" s="110"/>
      <c r="Q18" s="110"/>
    </row>
    <row r="19" ht="30" customHeight="1" spans="1:17" x14ac:dyDescent="0.25">
      <c r="A19" s="101"/>
      <c r="B19" s="102"/>
      <c r="C19" s="111"/>
      <c r="D19" s="112"/>
      <c r="E19" s="130"/>
      <c r="F19" s="114" t="s">
        <v>22</v>
      </c>
      <c r="G19" s="115"/>
      <c r="H19" s="116"/>
      <c r="I19" s="116"/>
      <c r="J19" s="116"/>
      <c r="K19" s="116"/>
      <c r="L19" s="117">
        <f t="shared" si="0"/>
        <v>0</v>
      </c>
      <c r="O19" s="109"/>
      <c r="P19" s="110"/>
      <c r="Q19" s="110"/>
    </row>
    <row r="20" ht="30" customHeight="1" spans="1:17" x14ac:dyDescent="0.25">
      <c r="A20" s="101"/>
      <c r="B20" s="102"/>
      <c r="C20" s="111"/>
      <c r="D20" s="112"/>
      <c r="E20" s="130"/>
      <c r="F20" s="114" t="s">
        <v>17</v>
      </c>
      <c r="G20" s="115"/>
      <c r="H20" s="116"/>
      <c r="I20" s="116"/>
      <c r="J20" s="116"/>
      <c r="K20" s="116"/>
      <c r="L20" s="117">
        <f t="shared" si="0"/>
        <v>0</v>
      </c>
      <c r="O20" s="109"/>
      <c r="P20" s="110"/>
      <c r="Q20" s="110"/>
    </row>
    <row r="21" ht="30" customHeight="1" spans="1:17" x14ac:dyDescent="0.25">
      <c r="A21" s="101"/>
      <c r="B21" s="102"/>
      <c r="C21" s="111"/>
      <c r="D21" s="112"/>
      <c r="E21" s="130"/>
      <c r="F21" s="118" t="s">
        <v>18</v>
      </c>
      <c r="G21" s="116"/>
      <c r="H21" s="116"/>
      <c r="I21" s="116"/>
      <c r="J21" s="116"/>
      <c r="K21" s="116"/>
      <c r="L21" s="117">
        <f t="shared" si="0"/>
        <v>0</v>
      </c>
      <c r="O21" s="109"/>
      <c r="P21" s="110"/>
      <c r="Q21" s="110"/>
    </row>
    <row r="22" ht="30" customHeight="1" spans="1:17" x14ac:dyDescent="0.25">
      <c r="A22" s="101"/>
      <c r="B22" s="102"/>
      <c r="C22" s="119"/>
      <c r="D22" s="120"/>
      <c r="E22" s="131"/>
      <c r="F22" s="122" t="s">
        <v>27</v>
      </c>
      <c r="G22" s="123"/>
      <c r="H22" s="123"/>
      <c r="I22" s="123"/>
      <c r="J22" s="123"/>
      <c r="K22" s="123"/>
      <c r="L22" s="124">
        <f t="shared" si="0"/>
        <v>0</v>
      </c>
      <c r="O22" s="109"/>
      <c r="P22" s="110"/>
      <c r="Q22" s="110"/>
    </row>
    <row r="23" ht="30" customHeight="1" spans="1:17" x14ac:dyDescent="0.25">
      <c r="A23" s="101"/>
      <c r="B23" s="102" t="s">
        <v>28</v>
      </c>
      <c r="C23" s="103" t="s">
        <v>29</v>
      </c>
      <c r="D23" s="104"/>
      <c r="E23" s="129"/>
      <c r="F23" s="132" t="s">
        <v>30</v>
      </c>
      <c r="G23" s="133"/>
      <c r="H23" s="133"/>
      <c r="I23" s="133"/>
      <c r="J23" s="133"/>
      <c r="K23" s="133"/>
      <c r="L23" s="134">
        <f t="shared" si="0"/>
        <v>0</v>
      </c>
      <c r="P23" s="110"/>
      <c r="Q23" s="110"/>
    </row>
    <row r="24" ht="51" customHeight="1" spans="1:17" x14ac:dyDescent="0.25">
      <c r="A24" s="101"/>
      <c r="B24" s="102"/>
      <c r="C24" s="119"/>
      <c r="D24" s="120"/>
      <c r="E24" s="131"/>
      <c r="F24" s="135" t="s">
        <v>31</v>
      </c>
      <c r="G24" s="136"/>
      <c r="H24" s="133"/>
      <c r="I24" s="133"/>
      <c r="J24" s="133"/>
      <c r="K24" s="133"/>
      <c r="L24" s="134">
        <f t="shared" si="0"/>
        <v>0</v>
      </c>
      <c r="P24" s="110"/>
      <c r="Q24" s="110"/>
    </row>
    <row r="25" ht="30" customHeight="1" spans="1:17" x14ac:dyDescent="0.25">
      <c r="A25" s="101"/>
      <c r="B25" s="102"/>
      <c r="C25" s="103" t="s">
        <v>32</v>
      </c>
      <c r="D25" s="104"/>
      <c r="E25" s="129"/>
      <c r="F25" s="137" t="s">
        <v>33</v>
      </c>
      <c r="G25" s="107"/>
      <c r="H25" s="107"/>
      <c r="I25" s="107"/>
      <c r="J25" s="107"/>
      <c r="K25" s="107"/>
      <c r="L25" s="108">
        <f t="shared" si="0"/>
        <v>0</v>
      </c>
      <c r="P25" s="110"/>
      <c r="Q25" s="110"/>
    </row>
    <row r="26" ht="30" customHeight="1" spans="1:17" x14ac:dyDescent="0.25">
      <c r="A26" s="101"/>
      <c r="B26" s="102"/>
      <c r="C26" s="111"/>
      <c r="D26" s="112"/>
      <c r="E26" s="130"/>
      <c r="F26" s="138" t="s">
        <v>34</v>
      </c>
      <c r="G26" s="115"/>
      <c r="H26" s="116"/>
      <c r="I26" s="116"/>
      <c r="J26" s="116"/>
      <c r="K26" s="116"/>
      <c r="L26" s="117">
        <f t="shared" si="0"/>
        <v>0</v>
      </c>
      <c r="P26" s="110"/>
      <c r="Q26" s="110"/>
    </row>
    <row r="27" ht="30" customHeight="1" spans="1:17" x14ac:dyDescent="0.25">
      <c r="A27" s="101"/>
      <c r="B27" s="102"/>
      <c r="C27" s="119"/>
      <c r="D27" s="120"/>
      <c r="E27" s="131"/>
      <c r="F27" s="139" t="s">
        <v>35</v>
      </c>
      <c r="G27" s="140"/>
      <c r="H27" s="123"/>
      <c r="I27" s="123"/>
      <c r="J27" s="123"/>
      <c r="K27" s="123"/>
      <c r="L27" s="124">
        <f t="shared" si="0"/>
        <v>0</v>
      </c>
      <c r="P27" s="110"/>
      <c r="Q27" s="110"/>
    </row>
    <row r="28" ht="30" customHeight="1" spans="1:17" x14ac:dyDescent="0.25">
      <c r="A28" s="101"/>
      <c r="B28" s="102"/>
      <c r="C28" s="103" t="s">
        <v>36</v>
      </c>
      <c r="D28" s="104"/>
      <c r="E28" s="129"/>
      <c r="F28" s="137" t="s">
        <v>33</v>
      </c>
      <c r="G28" s="107"/>
      <c r="H28" s="107"/>
      <c r="I28" s="107"/>
      <c r="J28" s="107"/>
      <c r="K28" s="107"/>
      <c r="L28" s="108">
        <f t="shared" si="0"/>
        <v>0</v>
      </c>
      <c r="P28" s="110"/>
      <c r="Q28" s="110"/>
    </row>
    <row r="29" ht="30" customHeight="1" spans="1:17" x14ac:dyDescent="0.25">
      <c r="A29" s="101"/>
      <c r="B29" s="102"/>
      <c r="C29" s="111"/>
      <c r="D29" s="112"/>
      <c r="E29" s="130"/>
      <c r="F29" s="138" t="s">
        <v>34</v>
      </c>
      <c r="G29" s="115"/>
      <c r="H29" s="116"/>
      <c r="I29" s="116"/>
      <c r="J29" s="116"/>
      <c r="K29" s="116"/>
      <c r="L29" s="117">
        <f t="shared" si="0"/>
        <v>0</v>
      </c>
      <c r="P29" s="110"/>
      <c r="Q29" s="110"/>
    </row>
    <row r="30" ht="30" customHeight="1" spans="1:17" x14ac:dyDescent="0.25">
      <c r="A30" s="101"/>
      <c r="B30" s="102"/>
      <c r="C30" s="119"/>
      <c r="D30" s="120"/>
      <c r="E30" s="131"/>
      <c r="F30" s="139" t="s">
        <v>35</v>
      </c>
      <c r="G30" s="140"/>
      <c r="H30" s="123"/>
      <c r="I30" s="123"/>
      <c r="J30" s="123"/>
      <c r="K30" s="123"/>
      <c r="L30" s="124">
        <f t="shared" si="0"/>
        <v>0</v>
      </c>
      <c r="P30" s="110"/>
      <c r="Q30" s="110"/>
    </row>
    <row r="31" ht="30" customHeight="1" spans="1:17" x14ac:dyDescent="0.25">
      <c r="A31" s="101"/>
      <c r="B31" s="102"/>
      <c r="C31" s="103" t="s">
        <v>37</v>
      </c>
      <c r="D31" s="104"/>
      <c r="E31" s="129"/>
      <c r="F31" s="137" t="s">
        <v>33</v>
      </c>
      <c r="G31" s="107"/>
      <c r="H31" s="107"/>
      <c r="I31" s="107"/>
      <c r="J31" s="107"/>
      <c r="K31" s="107"/>
      <c r="L31" s="108">
        <f t="shared" si="0"/>
        <v>0</v>
      </c>
      <c r="P31" s="110"/>
      <c r="Q31" s="110"/>
    </row>
    <row r="32" ht="30" customHeight="1" spans="1:17" x14ac:dyDescent="0.25">
      <c r="A32" s="101"/>
      <c r="B32" s="102"/>
      <c r="C32" s="111"/>
      <c r="D32" s="112"/>
      <c r="E32" s="130"/>
      <c r="F32" s="138" t="s">
        <v>34</v>
      </c>
      <c r="G32" s="115"/>
      <c r="H32" s="116"/>
      <c r="I32" s="116"/>
      <c r="J32" s="116"/>
      <c r="K32" s="116"/>
      <c r="L32" s="117">
        <f t="shared" si="0"/>
        <v>0</v>
      </c>
      <c r="P32" s="110"/>
      <c r="Q32" s="110"/>
    </row>
    <row r="33" ht="30" customHeight="1" spans="1:17" x14ac:dyDescent="0.25">
      <c r="A33" s="101"/>
      <c r="B33" s="102"/>
      <c r="C33" s="119"/>
      <c r="D33" s="120"/>
      <c r="E33" s="131"/>
      <c r="F33" s="139" t="s">
        <v>35</v>
      </c>
      <c r="G33" s="140"/>
      <c r="H33" s="123"/>
      <c r="I33" s="123"/>
      <c r="J33" s="123"/>
      <c r="K33" s="123"/>
      <c r="L33" s="124">
        <f t="shared" si="0"/>
        <v>0</v>
      </c>
      <c r="P33" s="110"/>
      <c r="Q33" s="110"/>
    </row>
    <row r="34" ht="30" customHeight="1" spans="1:17" x14ac:dyDescent="0.25">
      <c r="A34" s="101"/>
      <c r="B34" s="102"/>
      <c r="C34" s="103" t="s">
        <v>38</v>
      </c>
      <c r="D34" s="104"/>
      <c r="E34" s="129"/>
      <c r="F34" s="137" t="s">
        <v>33</v>
      </c>
      <c r="G34" s="107"/>
      <c r="H34" s="107"/>
      <c r="I34" s="107"/>
      <c r="J34" s="107"/>
      <c r="K34" s="107"/>
      <c r="L34" s="108">
        <f t="shared" si="0"/>
        <v>0</v>
      </c>
      <c r="P34" s="110"/>
      <c r="Q34" s="110"/>
    </row>
    <row r="35" ht="30" customHeight="1" spans="1:17" x14ac:dyDescent="0.25">
      <c r="A35" s="101"/>
      <c r="B35" s="102"/>
      <c r="C35" s="111"/>
      <c r="D35" s="112"/>
      <c r="E35" s="130"/>
      <c r="F35" s="138" t="s">
        <v>34</v>
      </c>
      <c r="G35" s="115"/>
      <c r="H35" s="116"/>
      <c r="I35" s="116"/>
      <c r="J35" s="116"/>
      <c r="K35" s="116"/>
      <c r="L35" s="117">
        <f t="shared" si="0"/>
        <v>0</v>
      </c>
      <c r="P35" s="110"/>
      <c r="Q35" s="110"/>
    </row>
    <row r="36" ht="30" customHeight="1" spans="1:17" x14ac:dyDescent="0.25">
      <c r="A36" s="101"/>
      <c r="B36" s="102"/>
      <c r="C36" s="119"/>
      <c r="D36" s="120"/>
      <c r="E36" s="131"/>
      <c r="F36" s="139" t="s">
        <v>35</v>
      </c>
      <c r="G36" s="140"/>
      <c r="H36" s="123"/>
      <c r="I36" s="123"/>
      <c r="J36" s="123"/>
      <c r="K36" s="123"/>
      <c r="L36" s="124">
        <f t="shared" si="0"/>
        <v>0</v>
      </c>
      <c r="O36" s="110"/>
      <c r="P36" s="110"/>
      <c r="Q36" s="110"/>
    </row>
    <row r="37" ht="30" customHeight="1" spans="1:17" x14ac:dyDescent="0.25">
      <c r="A37" s="101"/>
      <c r="B37" s="102"/>
      <c r="C37" s="103" t="s">
        <v>39</v>
      </c>
      <c r="D37" s="104"/>
      <c r="E37" s="129"/>
      <c r="F37" s="137" t="s">
        <v>33</v>
      </c>
      <c r="G37" s="107"/>
      <c r="H37" s="107"/>
      <c r="I37" s="107"/>
      <c r="J37" s="107"/>
      <c r="K37" s="107"/>
      <c r="L37" s="108">
        <f t="shared" si="0"/>
        <v>0</v>
      </c>
      <c r="P37" s="110"/>
      <c r="Q37" s="110"/>
    </row>
    <row r="38" ht="30" customHeight="1" spans="1:17" x14ac:dyDescent="0.25">
      <c r="A38" s="101"/>
      <c r="B38" s="102"/>
      <c r="C38" s="111"/>
      <c r="D38" s="112"/>
      <c r="E38" s="130"/>
      <c r="F38" s="138" t="s">
        <v>34</v>
      </c>
      <c r="G38" s="115"/>
      <c r="H38" s="116"/>
      <c r="I38" s="116"/>
      <c r="J38" s="116"/>
      <c r="K38" s="116"/>
      <c r="L38" s="117">
        <f t="shared" si="0"/>
        <v>0</v>
      </c>
      <c r="P38" s="110"/>
      <c r="Q38" s="110"/>
    </row>
    <row r="39" ht="30" customHeight="1" spans="1:17" x14ac:dyDescent="0.25">
      <c r="A39" s="101"/>
      <c r="B39" s="102"/>
      <c r="C39" s="119"/>
      <c r="D39" s="120"/>
      <c r="E39" s="131"/>
      <c r="F39" s="139" t="s">
        <v>35</v>
      </c>
      <c r="G39" s="140"/>
      <c r="H39" s="123"/>
      <c r="I39" s="123"/>
      <c r="J39" s="123"/>
      <c r="K39" s="123"/>
      <c r="L39" s="124">
        <f t="shared" si="0"/>
        <v>0</v>
      </c>
      <c r="P39" s="110"/>
      <c r="Q39" s="110"/>
    </row>
    <row r="40" ht="30" customHeight="1" spans="1:17" x14ac:dyDescent="0.25">
      <c r="A40" s="101"/>
      <c r="B40" s="102"/>
      <c r="C40" s="103" t="s">
        <v>40</v>
      </c>
      <c r="D40" s="104"/>
      <c r="E40" s="129"/>
      <c r="F40" s="137" t="s">
        <v>33</v>
      </c>
      <c r="G40" s="107"/>
      <c r="H40" s="107"/>
      <c r="I40" s="107"/>
      <c r="J40" s="107"/>
      <c r="K40" s="107"/>
      <c r="L40" s="108">
        <f t="shared" si="0"/>
        <v>0</v>
      </c>
      <c r="P40" s="110"/>
      <c r="Q40" s="110"/>
    </row>
    <row r="41" ht="30" customHeight="1" spans="1:17" x14ac:dyDescent="0.25">
      <c r="A41" s="101"/>
      <c r="B41" s="102"/>
      <c r="C41" s="111"/>
      <c r="D41" s="112"/>
      <c r="E41" s="130"/>
      <c r="F41" s="138" t="s">
        <v>34</v>
      </c>
      <c r="G41" s="116"/>
      <c r="H41" s="116"/>
      <c r="I41" s="116"/>
      <c r="J41" s="116"/>
      <c r="K41" s="116"/>
      <c r="L41" s="117">
        <f t="shared" si="0"/>
        <v>0</v>
      </c>
      <c r="P41" s="110"/>
      <c r="Q41" s="110"/>
    </row>
    <row r="42" ht="30" customHeight="1" spans="1:17" x14ac:dyDescent="0.25">
      <c r="A42" s="101"/>
      <c r="B42" s="102"/>
      <c r="C42" s="119"/>
      <c r="D42" s="120"/>
      <c r="E42" s="131"/>
      <c r="F42" s="139" t="s">
        <v>35</v>
      </c>
      <c r="G42" s="123"/>
      <c r="H42" s="123"/>
      <c r="I42" s="123"/>
      <c r="J42" s="123"/>
      <c r="K42" s="123"/>
      <c r="L42" s="124">
        <f t="shared" si="0"/>
        <v>0</v>
      </c>
      <c r="P42" s="110"/>
      <c r="Q42" s="110"/>
    </row>
    <row r="43" ht="45" customHeight="1" spans="1:17" x14ac:dyDescent="0.25">
      <c r="A43" s="101"/>
      <c r="B43" s="102"/>
      <c r="C43" s="103" t="s">
        <v>41</v>
      </c>
      <c r="D43" s="104"/>
      <c r="E43" s="129"/>
      <c r="F43" s="141" t="s">
        <v>33</v>
      </c>
      <c r="G43" s="107"/>
      <c r="H43" s="107"/>
      <c r="I43" s="107"/>
      <c r="J43" s="107"/>
      <c r="K43" s="107"/>
      <c r="L43" s="117">
        <f t="shared" si="0"/>
        <v>0</v>
      </c>
      <c r="P43" s="110"/>
      <c r="Q43" s="110"/>
    </row>
    <row r="44" ht="45" customHeight="1" spans="1:16" x14ac:dyDescent="0.25">
      <c r="A44" s="101"/>
      <c r="B44" s="102"/>
      <c r="C44" s="111"/>
      <c r="D44" s="112"/>
      <c r="E44" s="130"/>
      <c r="F44" s="139" t="s">
        <v>34</v>
      </c>
      <c r="G44" s="123"/>
      <c r="H44" s="123"/>
      <c r="I44" s="123"/>
      <c r="J44" s="123"/>
      <c r="K44" s="123"/>
      <c r="L44" s="124">
        <f t="shared" si="0"/>
        <v>0</v>
      </c>
      <c r="M44" s="142"/>
      <c r="N44" s="142"/>
      <c r="O44" s="142"/>
      <c r="P44" s="142"/>
    </row>
    <row r="45" ht="30" customHeight="1" spans="1:12" x14ac:dyDescent="0.25">
      <c r="A45" s="101"/>
      <c r="B45" s="102"/>
      <c r="C45" s="103" t="s">
        <v>42</v>
      </c>
      <c r="D45" s="104"/>
      <c r="E45" s="129"/>
      <c r="F45" s="137" t="s">
        <v>33</v>
      </c>
      <c r="G45" s="107"/>
      <c r="H45" s="107"/>
      <c r="I45" s="107"/>
      <c r="J45" s="107"/>
      <c r="K45" s="107"/>
      <c r="L45" s="108">
        <f t="shared" si="0"/>
        <v>0</v>
      </c>
    </row>
    <row r="46" ht="30" customHeight="1" spans="1:12" x14ac:dyDescent="0.25">
      <c r="A46" s="101"/>
      <c r="B46" s="102"/>
      <c r="C46" s="111"/>
      <c r="D46" s="112"/>
      <c r="E46" s="130"/>
      <c r="F46" s="138" t="s">
        <v>34</v>
      </c>
      <c r="G46" s="115"/>
      <c r="H46" s="116"/>
      <c r="I46" s="116"/>
      <c r="J46" s="116"/>
      <c r="K46" s="116"/>
      <c r="L46" s="117">
        <f t="shared" si="0"/>
        <v>0</v>
      </c>
    </row>
    <row r="47" ht="30" customHeight="1" spans="1:12" x14ac:dyDescent="0.25">
      <c r="A47" s="101"/>
      <c r="B47" s="102"/>
      <c r="C47" s="119"/>
      <c r="D47" s="120"/>
      <c r="E47" s="131"/>
      <c r="F47" s="139" t="s">
        <v>35</v>
      </c>
      <c r="G47" s="140"/>
      <c r="H47" s="123"/>
      <c r="I47" s="123"/>
      <c r="J47" s="123"/>
      <c r="K47" s="123"/>
      <c r="L47" s="124">
        <f t="shared" si="0"/>
        <v>0</v>
      </c>
    </row>
    <row r="48" ht="30" customHeight="1" spans="1:22" s="143" customFormat="1" x14ac:dyDescent="0.25">
      <c r="A48" s="101"/>
      <c r="B48" s="102"/>
      <c r="C48" s="103" t="s">
        <v>43</v>
      </c>
      <c r="D48" s="104"/>
      <c r="E48" s="129"/>
      <c r="F48" s="137" t="s">
        <v>33</v>
      </c>
      <c r="G48" s="107"/>
      <c r="H48" s="107"/>
      <c r="I48" s="107"/>
      <c r="J48" s="107"/>
      <c r="K48" s="107"/>
      <c r="L48" s="108">
        <f t="shared" si="0"/>
        <v>0</v>
      </c>
      <c r="M48" s="143"/>
      <c r="N48" s="143"/>
      <c r="O48" s="143"/>
      <c r="P48" s="143"/>
      <c r="Q48" s="143"/>
      <c r="R48" s="143"/>
      <c r="S48" s="143"/>
      <c r="T48" s="143"/>
      <c r="U48" s="143"/>
      <c r="V48" s="143"/>
    </row>
    <row r="49" ht="30" customHeight="1" spans="1:12" x14ac:dyDescent="0.25">
      <c r="A49" s="101"/>
      <c r="B49" s="102"/>
      <c r="C49" s="111"/>
      <c r="D49" s="112"/>
      <c r="E49" s="130"/>
      <c r="F49" s="138" t="s">
        <v>34</v>
      </c>
      <c r="G49" s="115"/>
      <c r="H49" s="116"/>
      <c r="I49" s="116"/>
      <c r="J49" s="116"/>
      <c r="K49" s="116"/>
      <c r="L49" s="117">
        <f t="shared" si="0"/>
        <v>0</v>
      </c>
    </row>
    <row r="50" ht="30" customHeight="1" spans="1:12" x14ac:dyDescent="0.25">
      <c r="A50" s="101"/>
      <c r="B50" s="102"/>
      <c r="C50" s="119"/>
      <c r="D50" s="120"/>
      <c r="E50" s="131"/>
      <c r="F50" s="139" t="s">
        <v>35</v>
      </c>
      <c r="G50" s="140"/>
      <c r="H50" s="123"/>
      <c r="I50" s="123"/>
      <c r="J50" s="123"/>
      <c r="K50" s="123"/>
      <c r="L50" s="124">
        <f t="shared" si="0"/>
        <v>0</v>
      </c>
    </row>
    <row r="51" ht="30" customHeight="1" spans="1:12" x14ac:dyDescent="0.25">
      <c r="A51" s="101"/>
      <c r="B51" s="102"/>
      <c r="C51" s="103" t="s">
        <v>44</v>
      </c>
      <c r="D51" s="104"/>
      <c r="E51" s="129"/>
      <c r="F51" s="137" t="s">
        <v>33</v>
      </c>
      <c r="G51" s="125"/>
      <c r="H51" s="125"/>
      <c r="I51" s="125"/>
      <c r="J51" s="125"/>
      <c r="K51" s="125"/>
      <c r="L51" s="108">
        <f t="shared" si="0"/>
        <v>0</v>
      </c>
    </row>
    <row r="52" ht="30" customHeight="1" spans="1:12" x14ac:dyDescent="0.25">
      <c r="A52" s="101"/>
      <c r="B52" s="102"/>
      <c r="C52" s="111"/>
      <c r="D52" s="112"/>
      <c r="E52" s="130"/>
      <c r="F52" s="138" t="s">
        <v>34</v>
      </c>
      <c r="G52" s="126"/>
      <c r="H52" s="127"/>
      <c r="I52" s="127"/>
      <c r="J52" s="127"/>
      <c r="K52" s="127"/>
      <c r="L52" s="117">
        <f t="shared" si="0"/>
        <v>0</v>
      </c>
    </row>
    <row r="53" ht="18.75" customHeight="1" spans="1:12" x14ac:dyDescent="0.25">
      <c r="A53" s="101"/>
      <c r="B53" s="144"/>
      <c r="C53" s="111"/>
      <c r="D53" s="112"/>
      <c r="E53" s="130"/>
      <c r="F53" s="141" t="s">
        <v>35</v>
      </c>
      <c r="G53" s="145"/>
      <c r="H53" s="145"/>
      <c r="I53" s="145"/>
      <c r="J53" s="145"/>
      <c r="K53" s="145"/>
      <c r="L53" s="146">
        <f t="shared" si="0"/>
        <v>0</v>
      </c>
    </row>
    <row r="54" ht="18.75" customHeight="1" spans="1:12" x14ac:dyDescent="0.25">
      <c r="A54" s="101"/>
      <c r="B54" s="69" t="s">
        <v>45</v>
      </c>
      <c r="C54" s="70"/>
      <c r="D54" s="70"/>
      <c r="E54" s="70"/>
      <c r="F54" s="70"/>
      <c r="G54" s="72">
        <f t="shared" ref="G54:K54" si="1">SUM(G8:G53)</f>
        <v>0</v>
      </c>
      <c r="H54" s="72">
        <f t="shared" si="1"/>
        <v>0</v>
      </c>
      <c r="I54" s="72">
        <f t="shared" si="1"/>
        <v>0</v>
      </c>
      <c r="J54" s="72">
        <f t="shared" si="1"/>
        <v>0</v>
      </c>
      <c r="K54" s="72">
        <f t="shared" si="1"/>
        <v>0</v>
      </c>
      <c r="L54" s="72">
        <f>SUM(L8:L53)</f>
        <v>0</v>
      </c>
    </row>
    <row r="55" ht="18.75" customHeight="1" spans="2:12" x14ac:dyDescent="0.25">
      <c r="B55" s="15"/>
      <c r="C55" s="15"/>
      <c r="D55" s="15"/>
      <c r="E55" s="15"/>
      <c r="F55" s="76" t="s">
        <v>46</v>
      </c>
      <c r="G55" s="77">
        <f>IFERROR(G54/10," ")</f>
        <v>0</v>
      </c>
      <c r="H55" s="77">
        <f t="shared" ref="H55:L55" si="2">IFERROR(H54/10," ")</f>
        <v>0</v>
      </c>
      <c r="I55" s="77">
        <f t="shared" si="2"/>
        <v>0</v>
      </c>
      <c r="J55" s="77">
        <f t="shared" si="2"/>
        <v>0</v>
      </c>
      <c r="K55" s="77">
        <f t="shared" si="2"/>
        <v>0</v>
      </c>
      <c r="L55" s="77">
        <f t="shared" si="2"/>
        <v>0</v>
      </c>
    </row>
    <row r="56" ht="18.75" customHeight="1" spans="3:12" x14ac:dyDescent="0.25">
      <c r="C56" s="143"/>
      <c r="D56" s="143"/>
      <c r="E56" s="143"/>
      <c r="F56" s="143"/>
      <c r="G56" s="143"/>
      <c r="L56" s="109"/>
    </row>
    <row r="57" spans="12:12" x14ac:dyDescent="0.25">
      <c r="L57" s="109"/>
    </row>
    <row r="58" spans="12:12" x14ac:dyDescent="0.25">
      <c r="L58" s="109"/>
    </row>
    <row r="59" spans="12:12" x14ac:dyDescent="0.25">
      <c r="L59" s="109"/>
    </row>
    <row r="60" spans="12:12" x14ac:dyDescent="0.25">
      <c r="L60" s="109"/>
    </row>
    <row r="61" spans="12:12" x14ac:dyDescent="0.25">
      <c r="L61" s="109"/>
    </row>
    <row r="62" spans="12:12" x14ac:dyDescent="0.25">
      <c r="L62" s="109"/>
    </row>
    <row r="63" spans="12:12" x14ac:dyDescent="0.25">
      <c r="L63" s="109"/>
    </row>
    <row r="64" spans="12:12" x14ac:dyDescent="0.25">
      <c r="L64" s="109"/>
    </row>
    <row r="65" spans="12:12" x14ac:dyDescent="0.25">
      <c r="L65" s="109"/>
    </row>
    <row r="66" spans="12:12" x14ac:dyDescent="0.25">
      <c r="L66" s="109"/>
    </row>
    <row r="67" spans="12:12" x14ac:dyDescent="0.25">
      <c r="L67" s="109"/>
    </row>
    <row r="68" spans="12:12" x14ac:dyDescent="0.25">
      <c r="L68" s="109"/>
    </row>
    <row r="69" spans="12:12" x14ac:dyDescent="0.25">
      <c r="L69" s="109"/>
    </row>
    <row r="70" spans="12:12" x14ac:dyDescent="0.25">
      <c r="L70" s="109"/>
    </row>
    <row r="71" spans="12:12" x14ac:dyDescent="0.25">
      <c r="L71" s="109"/>
    </row>
    <row r="72" spans="12:12" x14ac:dyDescent="0.25">
      <c r="L72" s="109"/>
    </row>
    <row r="73" spans="12:12" x14ac:dyDescent="0.25">
      <c r="L73" s="109"/>
    </row>
    <row r="74" spans="12:12" x14ac:dyDescent="0.25">
      <c r="L74" s="109"/>
    </row>
    <row r="75" spans="12:12" x14ac:dyDescent="0.25">
      <c r="L75" s="109"/>
    </row>
    <row r="76" spans="12:12" x14ac:dyDescent="0.25">
      <c r="L76" s="109"/>
    </row>
    <row r="77" spans="12:12" x14ac:dyDescent="0.25">
      <c r="L77" s="109"/>
    </row>
  </sheetData>
  <mergeCells count="25">
    <mergeCell ref="C1:L1"/>
    <mergeCell ref="C2:L2"/>
    <mergeCell ref="C3:L3"/>
    <mergeCell ref="C4:L4"/>
    <mergeCell ref="C5:L5"/>
    <mergeCell ref="A7:B7"/>
    <mergeCell ref="C7:F7"/>
    <mergeCell ref="C8:E12"/>
    <mergeCell ref="A8:A54"/>
    <mergeCell ref="B8:B22"/>
    <mergeCell ref="C13:E17"/>
    <mergeCell ref="C18:E22"/>
    <mergeCell ref="C23:E24"/>
    <mergeCell ref="B23:B53"/>
    <mergeCell ref="C25:E27"/>
    <mergeCell ref="C28:E30"/>
    <mergeCell ref="C31:E33"/>
    <mergeCell ref="C34:E36"/>
    <mergeCell ref="C37:E39"/>
    <mergeCell ref="C40:E42"/>
    <mergeCell ref="C43:E44"/>
    <mergeCell ref="C45:E47"/>
    <mergeCell ref="C48:E50"/>
    <mergeCell ref="C51:E53"/>
    <mergeCell ref="B54:F54"/>
  </mergeCells>
  <printOptions horizontalCentered="1" verticalCentered="1"/>
  <pageMargins left="0" right="0" top="0" bottom="0" header="0" footer="0"/>
  <pageSetup orientation="portrait" horizontalDpi="4294967295" verticalDpi="4294967295" scale="48" fitToWidth="1" fitToHeight="0" firstPageNumber="1" useFirstPageNumber="1" copies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9C9"/>
  </sheetPr>
  <dimension ref="A1:V77"/>
  <sheetViews>
    <sheetView workbookViewId="0" showGridLines="0" zoomScale="90" zoomScaleNormal="90">
      <selection activeCell="G8" sqref="G8"/>
    </sheetView>
  </sheetViews>
  <sheetFormatPr defaultRowHeight="18" outlineLevelRow="0" outlineLevelCol="0" x14ac:dyDescent="0.35" defaultColWidth="11.42578125" customHeight="1"/>
  <cols>
    <col min="1" max="1" width="10.42578125" style="80" customWidth="1"/>
    <col min="2" max="2" width="17.7109375" style="80" customWidth="1"/>
    <col min="3" max="3" width="10.7109375" style="80" customWidth="1"/>
    <col min="4" max="4" width="13.42578125" style="80" customWidth="1"/>
    <col min="5" max="5" width="25.140625" style="80" customWidth="1"/>
    <col min="6" max="6" width="26.140625" style="80" customWidth="1"/>
    <col min="7" max="10" width="19" style="80" customWidth="1"/>
    <col min="11" max="11" width="17.7109375" style="80" customWidth="1"/>
    <col min="12" max="12" width="20.7109375" style="80" customWidth="1"/>
    <col min="13" max="13" width="14" style="80" customWidth="1"/>
    <col min="14" max="14" width="12.28515625" style="80" customWidth="1"/>
    <col min="15" max="15" width="14" style="80" customWidth="1"/>
    <col min="16" max="16" width="12.42578125" style="80" customWidth="1"/>
    <col min="17" max="17" width="13.7109375" style="80" customWidth="1"/>
    <col min="18" max="16384" width="11.42578125" style="80" customWidth="1"/>
  </cols>
  <sheetData>
    <row r="1" ht="27.75" customHeight="1" spans="1:14" s="81" customFormat="1" x14ac:dyDescent="0.25">
      <c r="A1" s="82"/>
      <c r="B1" s="82"/>
      <c r="C1" s="83" t="s">
        <v>0</v>
      </c>
      <c r="D1" s="83"/>
      <c r="E1" s="83"/>
      <c r="F1" s="83"/>
      <c r="G1" s="83"/>
      <c r="H1" s="83"/>
      <c r="I1" s="83"/>
      <c r="J1" s="83"/>
      <c r="K1" s="83"/>
      <c r="L1" s="83"/>
      <c r="M1" s="84"/>
      <c r="N1" s="84"/>
    </row>
    <row r="2" ht="23.25" customHeight="1" spans="1:14" s="81" customFormat="1" x14ac:dyDescent="0.25">
      <c r="A2" s="82"/>
      <c r="B2" s="82"/>
      <c r="C2" s="83" t="s">
        <v>1</v>
      </c>
      <c r="D2" s="83"/>
      <c r="E2" s="83"/>
      <c r="F2" s="83"/>
      <c r="G2" s="83"/>
      <c r="H2" s="83"/>
      <c r="I2" s="83"/>
      <c r="J2" s="83"/>
      <c r="K2" s="83"/>
      <c r="L2" s="83"/>
      <c r="M2" s="85"/>
      <c r="N2" s="85"/>
    </row>
    <row r="3" ht="23.25" customHeight="1" spans="1:14" s="81" customFormat="1" x14ac:dyDescent="0.25">
      <c r="A3" s="82"/>
      <c r="B3" s="82"/>
      <c r="C3" s="86" t="s">
        <v>2</v>
      </c>
      <c r="D3" s="86"/>
      <c r="E3" s="86"/>
      <c r="F3" s="86"/>
      <c r="G3" s="86"/>
      <c r="H3" s="86"/>
      <c r="I3" s="86"/>
      <c r="J3" s="86"/>
      <c r="K3" s="86"/>
      <c r="L3" s="86"/>
      <c r="M3" s="85"/>
      <c r="N3" s="85"/>
    </row>
    <row r="4" ht="23.25" customHeight="1" spans="1:14" s="81" customFormat="1" x14ac:dyDescent="0.25">
      <c r="A4" s="87"/>
      <c r="B4" s="87"/>
      <c r="C4" s="88" t="str">
        <f>'ANÁLIS DE META-LOGRO'!A5</f>
        <v>Meta-Logro de Vacuna Anti Influenza Estacional Temporada Invernal 2025-2026 por Unidad de Salud</v>
      </c>
      <c r="D4" s="88"/>
      <c r="E4" s="88"/>
      <c r="F4" s="88"/>
      <c r="G4" s="88"/>
      <c r="H4" s="88"/>
      <c r="I4" s="88"/>
      <c r="J4" s="88"/>
      <c r="K4" s="88"/>
      <c r="L4" s="88"/>
      <c r="M4" s="89"/>
      <c r="N4" s="89"/>
    </row>
    <row r="5" ht="21" customHeight="1" spans="1:13" s="90" customFormat="1" x14ac:dyDescent="0.25">
      <c r="A5" s="80"/>
      <c r="B5" s="80"/>
      <c r="C5" s="88" t="s">
        <v>59</v>
      </c>
      <c r="D5" s="88"/>
      <c r="E5" s="88"/>
      <c r="F5" s="88"/>
      <c r="G5" s="88"/>
      <c r="H5" s="88"/>
      <c r="I5" s="88"/>
      <c r="J5" s="88"/>
      <c r="K5" s="88"/>
      <c r="L5" s="88"/>
      <c r="M5" s="91"/>
    </row>
    <row r="6" ht="23.25" customHeight="1" spans="1:14" s="92" customFormat="1" x14ac:dyDescent="0.25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N6" s="93"/>
    </row>
    <row r="7" ht="30" customHeight="1" spans="1:14" x14ac:dyDescent="0.25">
      <c r="A7" s="94" t="s">
        <v>5</v>
      </c>
      <c r="B7" s="95"/>
      <c r="C7" s="94" t="s">
        <v>6</v>
      </c>
      <c r="D7" s="96"/>
      <c r="E7" s="96"/>
      <c r="F7" s="96"/>
      <c r="G7" s="97" t="s">
        <v>48</v>
      </c>
      <c r="H7" s="97" t="s">
        <v>49</v>
      </c>
      <c r="I7" s="97" t="s">
        <v>50</v>
      </c>
      <c r="J7" s="97" t="s">
        <v>51</v>
      </c>
      <c r="K7" s="97" t="s">
        <v>52</v>
      </c>
      <c r="L7" s="98" t="s">
        <v>53</v>
      </c>
      <c r="M7" s="99"/>
      <c r="N7" s="100"/>
    </row>
    <row r="8" ht="30" customHeight="1" spans="1:17" x14ac:dyDescent="0.25">
      <c r="A8" s="101" t="s">
        <v>11</v>
      </c>
      <c r="B8" s="102" t="s">
        <v>12</v>
      </c>
      <c r="C8" s="103" t="s">
        <v>13</v>
      </c>
      <c r="D8" s="104"/>
      <c r="E8" s="105"/>
      <c r="F8" s="106" t="s">
        <v>14</v>
      </c>
      <c r="G8" s="107"/>
      <c r="H8" s="107"/>
      <c r="I8" s="107"/>
      <c r="J8" s="107"/>
      <c r="K8" s="107"/>
      <c r="L8" s="108">
        <f>SUM(G8:K8)</f>
        <v>0</v>
      </c>
      <c r="O8" s="109"/>
      <c r="P8" s="110"/>
      <c r="Q8" s="110"/>
    </row>
    <row r="9" ht="30" customHeight="1" spans="1:17" x14ac:dyDescent="0.25">
      <c r="A9" s="101"/>
      <c r="B9" s="102"/>
      <c r="C9" s="111"/>
      <c r="D9" s="112"/>
      <c r="E9" s="113"/>
      <c r="F9" s="114" t="s">
        <v>15</v>
      </c>
      <c r="G9" s="115"/>
      <c r="H9" s="116"/>
      <c r="I9" s="116"/>
      <c r="J9" s="116"/>
      <c r="K9" s="116"/>
      <c r="L9" s="117">
        <f t="shared" ref="L9:L53" si="0">SUM(G9:K9)</f>
        <v>0</v>
      </c>
      <c r="O9" s="109"/>
      <c r="P9" s="110"/>
      <c r="Q9" s="110"/>
    </row>
    <row r="10" ht="30" customHeight="1" spans="1:17" x14ac:dyDescent="0.25">
      <c r="A10" s="101"/>
      <c r="B10" s="102"/>
      <c r="C10" s="111"/>
      <c r="D10" s="112"/>
      <c r="E10" s="113"/>
      <c r="F10" s="114" t="s">
        <v>16</v>
      </c>
      <c r="G10" s="115"/>
      <c r="H10" s="116"/>
      <c r="I10" s="116"/>
      <c r="J10" s="116"/>
      <c r="K10" s="116"/>
      <c r="L10" s="117">
        <f t="shared" si="0"/>
        <v>0</v>
      </c>
      <c r="O10" s="109"/>
      <c r="P10" s="110"/>
      <c r="Q10" s="110"/>
    </row>
    <row r="11" ht="30" customHeight="1" spans="1:17" x14ac:dyDescent="0.25">
      <c r="A11" s="101"/>
      <c r="B11" s="102"/>
      <c r="C11" s="111"/>
      <c r="D11" s="112"/>
      <c r="E11" s="113"/>
      <c r="F11" s="118" t="s">
        <v>17</v>
      </c>
      <c r="G11" s="116"/>
      <c r="H11" s="116"/>
      <c r="I11" s="116"/>
      <c r="J11" s="116"/>
      <c r="K11" s="116"/>
      <c r="L11" s="117">
        <f t="shared" si="0"/>
        <v>0</v>
      </c>
      <c r="O11" s="109"/>
      <c r="P11" s="110"/>
      <c r="Q11" s="110"/>
    </row>
    <row r="12" ht="30" customHeight="1" spans="1:17" x14ac:dyDescent="0.25">
      <c r="A12" s="101"/>
      <c r="B12" s="102"/>
      <c r="C12" s="119"/>
      <c r="D12" s="120"/>
      <c r="E12" s="121"/>
      <c r="F12" s="122" t="s">
        <v>18</v>
      </c>
      <c r="G12" s="123"/>
      <c r="H12" s="123"/>
      <c r="I12" s="123"/>
      <c r="J12" s="123"/>
      <c r="K12" s="123"/>
      <c r="L12" s="124">
        <f t="shared" si="0"/>
        <v>0</v>
      </c>
      <c r="O12" s="109"/>
      <c r="P12" s="110"/>
      <c r="Q12" s="110"/>
    </row>
    <row r="13" ht="30" customHeight="1" spans="1:17" x14ac:dyDescent="0.25">
      <c r="A13" s="101"/>
      <c r="B13" s="102"/>
      <c r="C13" s="103" t="s">
        <v>19</v>
      </c>
      <c r="D13" s="104"/>
      <c r="E13" s="105"/>
      <c r="F13" s="106" t="s">
        <v>20</v>
      </c>
      <c r="G13" s="107"/>
      <c r="H13" s="107"/>
      <c r="I13" s="107"/>
      <c r="J13" s="107"/>
      <c r="K13" s="107"/>
      <c r="L13" s="108">
        <f t="shared" si="0"/>
        <v>0</v>
      </c>
      <c r="O13" s="109"/>
      <c r="P13" s="110"/>
      <c r="Q13" s="110"/>
    </row>
    <row r="14" ht="30" customHeight="1" spans="1:17" x14ac:dyDescent="0.25">
      <c r="A14" s="101"/>
      <c r="B14" s="102"/>
      <c r="C14" s="111"/>
      <c r="D14" s="112"/>
      <c r="E14" s="113"/>
      <c r="F14" s="114" t="s">
        <v>21</v>
      </c>
      <c r="G14" s="115"/>
      <c r="H14" s="116"/>
      <c r="I14" s="116"/>
      <c r="J14" s="116"/>
      <c r="K14" s="116"/>
      <c r="L14" s="117">
        <f t="shared" si="0"/>
        <v>0</v>
      </c>
      <c r="O14" s="109"/>
      <c r="P14" s="110"/>
      <c r="Q14" s="110"/>
    </row>
    <row r="15" ht="30" customHeight="1" spans="1:17" x14ac:dyDescent="0.25">
      <c r="A15" s="101"/>
      <c r="B15" s="102"/>
      <c r="C15" s="111"/>
      <c r="D15" s="112"/>
      <c r="E15" s="113"/>
      <c r="F15" s="114" t="s">
        <v>22</v>
      </c>
      <c r="G15" s="115"/>
      <c r="H15" s="116"/>
      <c r="I15" s="116"/>
      <c r="J15" s="116"/>
      <c r="K15" s="116"/>
      <c r="L15" s="117">
        <f t="shared" si="0"/>
        <v>0</v>
      </c>
      <c r="O15" s="109"/>
      <c r="P15" s="110"/>
      <c r="Q15" s="110"/>
    </row>
    <row r="16" ht="30" customHeight="1" spans="1:17" x14ac:dyDescent="0.25">
      <c r="A16" s="101"/>
      <c r="B16" s="102"/>
      <c r="C16" s="111"/>
      <c r="D16" s="112"/>
      <c r="E16" s="113"/>
      <c r="F16" s="118" t="s">
        <v>23</v>
      </c>
      <c r="G16" s="116"/>
      <c r="H16" s="116"/>
      <c r="I16" s="116"/>
      <c r="J16" s="116"/>
      <c r="K16" s="116"/>
      <c r="L16" s="117">
        <f t="shared" si="0"/>
        <v>0</v>
      </c>
      <c r="O16" s="109"/>
      <c r="P16" s="110"/>
      <c r="Q16" s="110"/>
    </row>
    <row r="17" ht="30" customHeight="1" spans="1:17" x14ac:dyDescent="0.25">
      <c r="A17" s="101"/>
      <c r="B17" s="102"/>
      <c r="C17" s="119"/>
      <c r="D17" s="120"/>
      <c r="E17" s="121"/>
      <c r="F17" s="122" t="s">
        <v>24</v>
      </c>
      <c r="G17" s="123"/>
      <c r="H17" s="123"/>
      <c r="I17" s="123"/>
      <c r="J17" s="123"/>
      <c r="K17" s="123"/>
      <c r="L17" s="124">
        <f t="shared" si="0"/>
        <v>0</v>
      </c>
      <c r="O17" s="109"/>
      <c r="P17" s="110"/>
      <c r="Q17" s="110"/>
    </row>
    <row r="18" ht="30" customHeight="1" spans="1:17" x14ac:dyDescent="0.25">
      <c r="A18" s="101"/>
      <c r="B18" s="102"/>
      <c r="C18" s="103" t="s">
        <v>25</v>
      </c>
      <c r="D18" s="104"/>
      <c r="E18" s="129"/>
      <c r="F18" s="106" t="s">
        <v>26</v>
      </c>
      <c r="G18" s="107"/>
      <c r="H18" s="107"/>
      <c r="I18" s="107"/>
      <c r="J18" s="107"/>
      <c r="K18" s="107"/>
      <c r="L18" s="108">
        <f t="shared" si="0"/>
        <v>0</v>
      </c>
      <c r="O18" s="109"/>
      <c r="P18" s="110"/>
      <c r="Q18" s="110"/>
    </row>
    <row r="19" ht="30" customHeight="1" spans="1:17" x14ac:dyDescent="0.25">
      <c r="A19" s="101"/>
      <c r="B19" s="102"/>
      <c r="C19" s="111"/>
      <c r="D19" s="112"/>
      <c r="E19" s="130"/>
      <c r="F19" s="114" t="s">
        <v>22</v>
      </c>
      <c r="G19" s="115"/>
      <c r="H19" s="116"/>
      <c r="I19" s="116"/>
      <c r="J19" s="116"/>
      <c r="K19" s="116"/>
      <c r="L19" s="117">
        <f t="shared" si="0"/>
        <v>0</v>
      </c>
      <c r="O19" s="109"/>
      <c r="P19" s="110"/>
      <c r="Q19" s="110"/>
    </row>
    <row r="20" ht="30" customHeight="1" spans="1:17" x14ac:dyDescent="0.25">
      <c r="A20" s="101"/>
      <c r="B20" s="102"/>
      <c r="C20" s="111"/>
      <c r="D20" s="112"/>
      <c r="E20" s="130"/>
      <c r="F20" s="114" t="s">
        <v>17</v>
      </c>
      <c r="G20" s="115"/>
      <c r="H20" s="116"/>
      <c r="I20" s="116"/>
      <c r="J20" s="116"/>
      <c r="K20" s="116"/>
      <c r="L20" s="117">
        <f t="shared" si="0"/>
        <v>0</v>
      </c>
      <c r="O20" s="109"/>
      <c r="P20" s="110"/>
      <c r="Q20" s="110"/>
    </row>
    <row r="21" ht="30" customHeight="1" spans="1:17" x14ac:dyDescent="0.25">
      <c r="A21" s="101"/>
      <c r="B21" s="102"/>
      <c r="C21" s="111"/>
      <c r="D21" s="112"/>
      <c r="E21" s="130"/>
      <c r="F21" s="118" t="s">
        <v>18</v>
      </c>
      <c r="G21" s="116"/>
      <c r="H21" s="116"/>
      <c r="I21" s="116"/>
      <c r="J21" s="116"/>
      <c r="K21" s="116"/>
      <c r="L21" s="117">
        <f t="shared" si="0"/>
        <v>0</v>
      </c>
      <c r="O21" s="109"/>
      <c r="P21" s="110"/>
      <c r="Q21" s="110"/>
    </row>
    <row r="22" ht="30" customHeight="1" spans="1:17" x14ac:dyDescent="0.25">
      <c r="A22" s="101"/>
      <c r="B22" s="102"/>
      <c r="C22" s="119"/>
      <c r="D22" s="120"/>
      <c r="E22" s="131"/>
      <c r="F22" s="122" t="s">
        <v>27</v>
      </c>
      <c r="G22" s="123"/>
      <c r="H22" s="123"/>
      <c r="I22" s="123"/>
      <c r="J22" s="123"/>
      <c r="K22" s="123"/>
      <c r="L22" s="124">
        <f t="shared" si="0"/>
        <v>0</v>
      </c>
      <c r="O22" s="109"/>
      <c r="P22" s="110"/>
      <c r="Q22" s="110"/>
    </row>
    <row r="23" ht="30" customHeight="1" spans="1:17" x14ac:dyDescent="0.25">
      <c r="A23" s="101"/>
      <c r="B23" s="102" t="s">
        <v>28</v>
      </c>
      <c r="C23" s="103" t="s">
        <v>29</v>
      </c>
      <c r="D23" s="104"/>
      <c r="E23" s="129"/>
      <c r="F23" s="132" t="s">
        <v>30</v>
      </c>
      <c r="G23" s="133"/>
      <c r="H23" s="133"/>
      <c r="I23" s="133"/>
      <c r="J23" s="133"/>
      <c r="K23" s="133"/>
      <c r="L23" s="134">
        <f t="shared" si="0"/>
        <v>0</v>
      </c>
      <c r="P23" s="110"/>
      <c r="Q23" s="110"/>
    </row>
    <row r="24" ht="51" customHeight="1" spans="1:17" x14ac:dyDescent="0.25">
      <c r="A24" s="101"/>
      <c r="B24" s="102"/>
      <c r="C24" s="119"/>
      <c r="D24" s="120"/>
      <c r="E24" s="131"/>
      <c r="F24" s="135" t="s">
        <v>31</v>
      </c>
      <c r="G24" s="136"/>
      <c r="H24" s="133"/>
      <c r="I24" s="133"/>
      <c r="J24" s="133"/>
      <c r="K24" s="133"/>
      <c r="L24" s="134">
        <f t="shared" si="0"/>
        <v>0</v>
      </c>
      <c r="P24" s="110"/>
      <c r="Q24" s="110"/>
    </row>
    <row r="25" ht="30" customHeight="1" spans="1:17" x14ac:dyDescent="0.25">
      <c r="A25" s="101"/>
      <c r="B25" s="102"/>
      <c r="C25" s="103" t="s">
        <v>32</v>
      </c>
      <c r="D25" s="104"/>
      <c r="E25" s="129"/>
      <c r="F25" s="137" t="s">
        <v>33</v>
      </c>
      <c r="G25" s="107"/>
      <c r="H25" s="107"/>
      <c r="I25" s="107"/>
      <c r="J25" s="107"/>
      <c r="K25" s="107"/>
      <c r="L25" s="108">
        <f t="shared" si="0"/>
        <v>0</v>
      </c>
      <c r="P25" s="110"/>
      <c r="Q25" s="110"/>
    </row>
    <row r="26" ht="30" customHeight="1" spans="1:17" x14ac:dyDescent="0.25">
      <c r="A26" s="101"/>
      <c r="B26" s="102"/>
      <c r="C26" s="111"/>
      <c r="D26" s="112"/>
      <c r="E26" s="130"/>
      <c r="F26" s="138" t="s">
        <v>34</v>
      </c>
      <c r="G26" s="115"/>
      <c r="H26" s="116"/>
      <c r="I26" s="116"/>
      <c r="J26" s="116"/>
      <c r="K26" s="116"/>
      <c r="L26" s="117">
        <f t="shared" si="0"/>
        <v>0</v>
      </c>
      <c r="P26" s="110"/>
      <c r="Q26" s="110"/>
    </row>
    <row r="27" ht="30" customHeight="1" spans="1:17" x14ac:dyDescent="0.25">
      <c r="A27" s="101"/>
      <c r="B27" s="102"/>
      <c r="C27" s="119"/>
      <c r="D27" s="120"/>
      <c r="E27" s="131"/>
      <c r="F27" s="139" t="s">
        <v>35</v>
      </c>
      <c r="G27" s="140"/>
      <c r="H27" s="123"/>
      <c r="I27" s="123"/>
      <c r="J27" s="123"/>
      <c r="K27" s="123"/>
      <c r="L27" s="124">
        <f t="shared" si="0"/>
        <v>0</v>
      </c>
      <c r="P27" s="110"/>
      <c r="Q27" s="110"/>
    </row>
    <row r="28" ht="30" customHeight="1" spans="1:17" x14ac:dyDescent="0.25">
      <c r="A28" s="101"/>
      <c r="B28" s="102"/>
      <c r="C28" s="103" t="s">
        <v>36</v>
      </c>
      <c r="D28" s="104"/>
      <c r="E28" s="129"/>
      <c r="F28" s="137" t="s">
        <v>33</v>
      </c>
      <c r="G28" s="107"/>
      <c r="H28" s="107"/>
      <c r="I28" s="107"/>
      <c r="J28" s="107"/>
      <c r="K28" s="107"/>
      <c r="L28" s="108">
        <f t="shared" si="0"/>
        <v>0</v>
      </c>
      <c r="P28" s="110"/>
      <c r="Q28" s="110"/>
    </row>
    <row r="29" ht="30" customHeight="1" spans="1:17" x14ac:dyDescent="0.25">
      <c r="A29" s="101"/>
      <c r="B29" s="102"/>
      <c r="C29" s="111"/>
      <c r="D29" s="112"/>
      <c r="E29" s="130"/>
      <c r="F29" s="138" t="s">
        <v>34</v>
      </c>
      <c r="G29" s="115"/>
      <c r="H29" s="116"/>
      <c r="I29" s="116"/>
      <c r="J29" s="116"/>
      <c r="K29" s="116"/>
      <c r="L29" s="117">
        <f t="shared" si="0"/>
        <v>0</v>
      </c>
      <c r="P29" s="110"/>
      <c r="Q29" s="110"/>
    </row>
    <row r="30" ht="30" customHeight="1" spans="1:17" x14ac:dyDescent="0.25">
      <c r="A30" s="101"/>
      <c r="B30" s="102"/>
      <c r="C30" s="119"/>
      <c r="D30" s="120"/>
      <c r="E30" s="131"/>
      <c r="F30" s="139" t="s">
        <v>35</v>
      </c>
      <c r="G30" s="140"/>
      <c r="H30" s="123"/>
      <c r="I30" s="123"/>
      <c r="J30" s="123"/>
      <c r="K30" s="123"/>
      <c r="L30" s="124">
        <f t="shared" si="0"/>
        <v>0</v>
      </c>
      <c r="P30" s="110"/>
      <c r="Q30" s="110"/>
    </row>
    <row r="31" ht="30" customHeight="1" spans="1:17" x14ac:dyDescent="0.25">
      <c r="A31" s="101"/>
      <c r="B31" s="102"/>
      <c r="C31" s="103" t="s">
        <v>37</v>
      </c>
      <c r="D31" s="104"/>
      <c r="E31" s="129"/>
      <c r="F31" s="137" t="s">
        <v>33</v>
      </c>
      <c r="G31" s="107"/>
      <c r="H31" s="107"/>
      <c r="I31" s="107"/>
      <c r="J31" s="107"/>
      <c r="K31" s="107"/>
      <c r="L31" s="108">
        <f t="shared" si="0"/>
        <v>0</v>
      </c>
      <c r="P31" s="110"/>
      <c r="Q31" s="110"/>
    </row>
    <row r="32" ht="30" customHeight="1" spans="1:17" x14ac:dyDescent="0.25">
      <c r="A32" s="101"/>
      <c r="B32" s="102"/>
      <c r="C32" s="111"/>
      <c r="D32" s="112"/>
      <c r="E32" s="130"/>
      <c r="F32" s="138" t="s">
        <v>34</v>
      </c>
      <c r="G32" s="115"/>
      <c r="H32" s="116"/>
      <c r="I32" s="116"/>
      <c r="J32" s="116"/>
      <c r="K32" s="116"/>
      <c r="L32" s="117">
        <f t="shared" si="0"/>
        <v>0</v>
      </c>
      <c r="P32" s="110"/>
      <c r="Q32" s="110"/>
    </row>
    <row r="33" ht="30" customHeight="1" spans="1:17" x14ac:dyDescent="0.25">
      <c r="A33" s="101"/>
      <c r="B33" s="102"/>
      <c r="C33" s="119"/>
      <c r="D33" s="120"/>
      <c r="E33" s="131"/>
      <c r="F33" s="139" t="s">
        <v>35</v>
      </c>
      <c r="G33" s="140"/>
      <c r="H33" s="123"/>
      <c r="I33" s="123"/>
      <c r="J33" s="123"/>
      <c r="K33" s="123"/>
      <c r="L33" s="124">
        <f t="shared" si="0"/>
        <v>0</v>
      </c>
      <c r="P33" s="110"/>
      <c r="Q33" s="110"/>
    </row>
    <row r="34" ht="30" customHeight="1" spans="1:17" x14ac:dyDescent="0.25">
      <c r="A34" s="101"/>
      <c r="B34" s="102"/>
      <c r="C34" s="103" t="s">
        <v>38</v>
      </c>
      <c r="D34" s="104"/>
      <c r="E34" s="129"/>
      <c r="F34" s="137" t="s">
        <v>33</v>
      </c>
      <c r="G34" s="107"/>
      <c r="H34" s="107"/>
      <c r="I34" s="107"/>
      <c r="J34" s="107"/>
      <c r="K34" s="107"/>
      <c r="L34" s="108">
        <f t="shared" si="0"/>
        <v>0</v>
      </c>
      <c r="P34" s="110"/>
      <c r="Q34" s="110"/>
    </row>
    <row r="35" ht="30" customHeight="1" spans="1:17" x14ac:dyDescent="0.25">
      <c r="A35" s="101"/>
      <c r="B35" s="102"/>
      <c r="C35" s="111"/>
      <c r="D35" s="112"/>
      <c r="E35" s="130"/>
      <c r="F35" s="138" t="s">
        <v>34</v>
      </c>
      <c r="G35" s="115"/>
      <c r="H35" s="116"/>
      <c r="I35" s="116"/>
      <c r="J35" s="116"/>
      <c r="K35" s="116"/>
      <c r="L35" s="117">
        <f t="shared" si="0"/>
        <v>0</v>
      </c>
      <c r="P35" s="110"/>
      <c r="Q35" s="110"/>
    </row>
    <row r="36" ht="30" customHeight="1" spans="1:17" x14ac:dyDescent="0.25">
      <c r="A36" s="101"/>
      <c r="B36" s="102"/>
      <c r="C36" s="119"/>
      <c r="D36" s="120"/>
      <c r="E36" s="131"/>
      <c r="F36" s="139" t="s">
        <v>35</v>
      </c>
      <c r="G36" s="140"/>
      <c r="H36" s="123"/>
      <c r="I36" s="123"/>
      <c r="J36" s="123"/>
      <c r="K36" s="123"/>
      <c r="L36" s="124">
        <f t="shared" si="0"/>
        <v>0</v>
      </c>
      <c r="O36" s="110"/>
      <c r="P36" s="110"/>
      <c r="Q36" s="110"/>
    </row>
    <row r="37" ht="30" customHeight="1" spans="1:17" x14ac:dyDescent="0.25">
      <c r="A37" s="101"/>
      <c r="B37" s="102"/>
      <c r="C37" s="103" t="s">
        <v>39</v>
      </c>
      <c r="D37" s="104"/>
      <c r="E37" s="129"/>
      <c r="F37" s="137" t="s">
        <v>33</v>
      </c>
      <c r="G37" s="107"/>
      <c r="H37" s="107"/>
      <c r="I37" s="107"/>
      <c r="J37" s="107"/>
      <c r="K37" s="107"/>
      <c r="L37" s="108">
        <f t="shared" si="0"/>
        <v>0</v>
      </c>
      <c r="P37" s="110"/>
      <c r="Q37" s="110"/>
    </row>
    <row r="38" ht="30" customHeight="1" spans="1:17" x14ac:dyDescent="0.25">
      <c r="A38" s="101"/>
      <c r="B38" s="102"/>
      <c r="C38" s="111"/>
      <c r="D38" s="112"/>
      <c r="E38" s="130"/>
      <c r="F38" s="138" t="s">
        <v>34</v>
      </c>
      <c r="G38" s="115"/>
      <c r="H38" s="116"/>
      <c r="I38" s="116"/>
      <c r="J38" s="116"/>
      <c r="K38" s="116"/>
      <c r="L38" s="117">
        <f t="shared" si="0"/>
        <v>0</v>
      </c>
      <c r="P38" s="110"/>
      <c r="Q38" s="110"/>
    </row>
    <row r="39" ht="30" customHeight="1" spans="1:17" x14ac:dyDescent="0.25">
      <c r="A39" s="101"/>
      <c r="B39" s="102"/>
      <c r="C39" s="119"/>
      <c r="D39" s="120"/>
      <c r="E39" s="131"/>
      <c r="F39" s="139" t="s">
        <v>35</v>
      </c>
      <c r="G39" s="140"/>
      <c r="H39" s="123"/>
      <c r="I39" s="123"/>
      <c r="J39" s="123"/>
      <c r="K39" s="123"/>
      <c r="L39" s="124">
        <f t="shared" si="0"/>
        <v>0</v>
      </c>
      <c r="P39" s="110"/>
      <c r="Q39" s="110"/>
    </row>
    <row r="40" ht="30" customHeight="1" spans="1:17" x14ac:dyDescent="0.25">
      <c r="A40" s="101"/>
      <c r="B40" s="102"/>
      <c r="C40" s="103" t="s">
        <v>40</v>
      </c>
      <c r="D40" s="104"/>
      <c r="E40" s="129"/>
      <c r="F40" s="137" t="s">
        <v>33</v>
      </c>
      <c r="G40" s="107"/>
      <c r="H40" s="107"/>
      <c r="I40" s="107"/>
      <c r="J40" s="107"/>
      <c r="K40" s="107"/>
      <c r="L40" s="108">
        <f t="shared" si="0"/>
        <v>0</v>
      </c>
      <c r="P40" s="110"/>
      <c r="Q40" s="110"/>
    </row>
    <row r="41" ht="30" customHeight="1" spans="1:17" x14ac:dyDescent="0.25">
      <c r="A41" s="101"/>
      <c r="B41" s="102"/>
      <c r="C41" s="111"/>
      <c r="D41" s="112"/>
      <c r="E41" s="130"/>
      <c r="F41" s="138" t="s">
        <v>34</v>
      </c>
      <c r="G41" s="116"/>
      <c r="H41" s="116"/>
      <c r="I41" s="116"/>
      <c r="J41" s="116"/>
      <c r="K41" s="116"/>
      <c r="L41" s="117">
        <f t="shared" si="0"/>
        <v>0</v>
      </c>
      <c r="P41" s="110"/>
      <c r="Q41" s="110"/>
    </row>
    <row r="42" ht="30" customHeight="1" spans="1:17" x14ac:dyDescent="0.25">
      <c r="A42" s="101"/>
      <c r="B42" s="102"/>
      <c r="C42" s="119"/>
      <c r="D42" s="120"/>
      <c r="E42" s="131"/>
      <c r="F42" s="139" t="s">
        <v>35</v>
      </c>
      <c r="G42" s="123"/>
      <c r="H42" s="123"/>
      <c r="I42" s="123"/>
      <c r="J42" s="123"/>
      <c r="K42" s="123"/>
      <c r="L42" s="124">
        <f t="shared" si="0"/>
        <v>0</v>
      </c>
      <c r="P42" s="110"/>
      <c r="Q42" s="110"/>
    </row>
    <row r="43" ht="45" customHeight="1" spans="1:17" x14ac:dyDescent="0.25">
      <c r="A43" s="101"/>
      <c r="B43" s="102"/>
      <c r="C43" s="103" t="s">
        <v>41</v>
      </c>
      <c r="D43" s="104"/>
      <c r="E43" s="129"/>
      <c r="F43" s="141" t="s">
        <v>33</v>
      </c>
      <c r="G43" s="107"/>
      <c r="H43" s="107"/>
      <c r="I43" s="107"/>
      <c r="J43" s="107"/>
      <c r="K43" s="107"/>
      <c r="L43" s="117">
        <f t="shared" si="0"/>
        <v>0</v>
      </c>
      <c r="P43" s="110"/>
      <c r="Q43" s="110"/>
    </row>
    <row r="44" ht="45" customHeight="1" spans="1:16" x14ac:dyDescent="0.25">
      <c r="A44" s="101"/>
      <c r="B44" s="102"/>
      <c r="C44" s="111"/>
      <c r="D44" s="112"/>
      <c r="E44" s="130"/>
      <c r="F44" s="139" t="s">
        <v>34</v>
      </c>
      <c r="G44" s="123"/>
      <c r="H44" s="123"/>
      <c r="I44" s="123"/>
      <c r="J44" s="123"/>
      <c r="K44" s="123"/>
      <c r="L44" s="124">
        <f t="shared" si="0"/>
        <v>0</v>
      </c>
      <c r="M44" s="142"/>
      <c r="N44" s="142"/>
      <c r="O44" s="142"/>
      <c r="P44" s="142"/>
    </row>
    <row r="45" ht="30" customHeight="1" spans="1:12" x14ac:dyDescent="0.25">
      <c r="A45" s="101"/>
      <c r="B45" s="102"/>
      <c r="C45" s="103" t="s">
        <v>42</v>
      </c>
      <c r="D45" s="104"/>
      <c r="E45" s="129"/>
      <c r="F45" s="137" t="s">
        <v>33</v>
      </c>
      <c r="G45" s="107"/>
      <c r="H45" s="107"/>
      <c r="I45" s="107"/>
      <c r="J45" s="107"/>
      <c r="K45" s="107"/>
      <c r="L45" s="108">
        <f t="shared" si="0"/>
        <v>0</v>
      </c>
    </row>
    <row r="46" ht="30" customHeight="1" spans="1:12" x14ac:dyDescent="0.25">
      <c r="A46" s="101"/>
      <c r="B46" s="102"/>
      <c r="C46" s="111"/>
      <c r="D46" s="112"/>
      <c r="E46" s="130"/>
      <c r="F46" s="138" t="s">
        <v>34</v>
      </c>
      <c r="G46" s="115"/>
      <c r="H46" s="116"/>
      <c r="I46" s="116"/>
      <c r="J46" s="116"/>
      <c r="K46" s="116"/>
      <c r="L46" s="117">
        <f t="shared" si="0"/>
        <v>0</v>
      </c>
    </row>
    <row r="47" ht="30" customHeight="1" spans="1:12" x14ac:dyDescent="0.25">
      <c r="A47" s="101"/>
      <c r="B47" s="102"/>
      <c r="C47" s="119"/>
      <c r="D47" s="120"/>
      <c r="E47" s="131"/>
      <c r="F47" s="139" t="s">
        <v>35</v>
      </c>
      <c r="G47" s="140"/>
      <c r="H47" s="123"/>
      <c r="I47" s="123"/>
      <c r="J47" s="123"/>
      <c r="K47" s="123"/>
      <c r="L47" s="124">
        <f t="shared" si="0"/>
        <v>0</v>
      </c>
    </row>
    <row r="48" ht="30" customHeight="1" spans="1:22" s="143" customFormat="1" x14ac:dyDescent="0.25">
      <c r="A48" s="101"/>
      <c r="B48" s="102"/>
      <c r="C48" s="103" t="s">
        <v>43</v>
      </c>
      <c r="D48" s="104"/>
      <c r="E48" s="129"/>
      <c r="F48" s="137" t="s">
        <v>33</v>
      </c>
      <c r="G48" s="107"/>
      <c r="H48" s="107"/>
      <c r="I48" s="107"/>
      <c r="J48" s="107"/>
      <c r="K48" s="107"/>
      <c r="L48" s="108">
        <f t="shared" si="0"/>
        <v>0</v>
      </c>
      <c r="M48" s="143"/>
      <c r="N48" s="143"/>
      <c r="O48" s="143"/>
      <c r="P48" s="143"/>
      <c r="Q48" s="143"/>
      <c r="R48" s="143"/>
      <c r="S48" s="143"/>
      <c r="T48" s="143"/>
      <c r="U48" s="143"/>
      <c r="V48" s="143"/>
    </row>
    <row r="49" ht="30" customHeight="1" spans="1:12" x14ac:dyDescent="0.25">
      <c r="A49" s="101"/>
      <c r="B49" s="102"/>
      <c r="C49" s="111"/>
      <c r="D49" s="112"/>
      <c r="E49" s="130"/>
      <c r="F49" s="138" t="s">
        <v>34</v>
      </c>
      <c r="G49" s="115"/>
      <c r="H49" s="116"/>
      <c r="I49" s="116"/>
      <c r="J49" s="116"/>
      <c r="K49" s="116"/>
      <c r="L49" s="117">
        <f t="shared" si="0"/>
        <v>0</v>
      </c>
    </row>
    <row r="50" ht="30" customHeight="1" spans="1:12" x14ac:dyDescent="0.25">
      <c r="A50" s="101"/>
      <c r="B50" s="102"/>
      <c r="C50" s="119"/>
      <c r="D50" s="120"/>
      <c r="E50" s="131"/>
      <c r="F50" s="139" t="s">
        <v>35</v>
      </c>
      <c r="G50" s="140"/>
      <c r="H50" s="123"/>
      <c r="I50" s="123"/>
      <c r="J50" s="123"/>
      <c r="K50" s="123"/>
      <c r="L50" s="124">
        <f t="shared" si="0"/>
        <v>0</v>
      </c>
    </row>
    <row r="51" ht="30" customHeight="1" spans="1:12" x14ac:dyDescent="0.25">
      <c r="A51" s="101"/>
      <c r="B51" s="102"/>
      <c r="C51" s="103" t="s">
        <v>44</v>
      </c>
      <c r="D51" s="104"/>
      <c r="E51" s="129"/>
      <c r="F51" s="137" t="s">
        <v>33</v>
      </c>
      <c r="G51" s="125"/>
      <c r="H51" s="125"/>
      <c r="I51" s="125"/>
      <c r="J51" s="125"/>
      <c r="K51" s="125"/>
      <c r="L51" s="108">
        <f t="shared" si="0"/>
        <v>0</v>
      </c>
    </row>
    <row r="52" ht="30" customHeight="1" spans="1:12" x14ac:dyDescent="0.25">
      <c r="A52" s="101"/>
      <c r="B52" s="102"/>
      <c r="C52" s="111"/>
      <c r="D52" s="112"/>
      <c r="E52" s="130"/>
      <c r="F52" s="138" t="s">
        <v>34</v>
      </c>
      <c r="G52" s="126"/>
      <c r="H52" s="127"/>
      <c r="I52" s="127"/>
      <c r="J52" s="127"/>
      <c r="K52" s="127"/>
      <c r="L52" s="117">
        <f t="shared" si="0"/>
        <v>0</v>
      </c>
    </row>
    <row r="53" ht="18.75" customHeight="1" spans="1:12" x14ac:dyDescent="0.25">
      <c r="A53" s="101"/>
      <c r="B53" s="144"/>
      <c r="C53" s="111"/>
      <c r="D53" s="112"/>
      <c r="E53" s="130"/>
      <c r="F53" s="141" t="s">
        <v>35</v>
      </c>
      <c r="G53" s="145"/>
      <c r="H53" s="145"/>
      <c r="I53" s="145"/>
      <c r="J53" s="145"/>
      <c r="K53" s="145"/>
      <c r="L53" s="146">
        <f t="shared" si="0"/>
        <v>0</v>
      </c>
    </row>
    <row r="54" ht="18.75" customHeight="1" spans="1:12" x14ac:dyDescent="0.25">
      <c r="A54" s="101"/>
      <c r="B54" s="69" t="s">
        <v>45</v>
      </c>
      <c r="C54" s="70"/>
      <c r="D54" s="70"/>
      <c r="E54" s="70"/>
      <c r="F54" s="70"/>
      <c r="G54" s="72">
        <f t="shared" ref="G54:K54" si="1">SUM(G8:G53)</f>
        <v>0</v>
      </c>
      <c r="H54" s="72">
        <f t="shared" si="1"/>
        <v>0</v>
      </c>
      <c r="I54" s="72">
        <f t="shared" si="1"/>
        <v>0</v>
      </c>
      <c r="J54" s="72">
        <f t="shared" si="1"/>
        <v>0</v>
      </c>
      <c r="K54" s="72">
        <f t="shared" si="1"/>
        <v>0</v>
      </c>
      <c r="L54" s="72">
        <f>SUM(L8:L53)</f>
        <v>0</v>
      </c>
    </row>
    <row r="55" ht="18.75" customHeight="1" spans="2:12" x14ac:dyDescent="0.25">
      <c r="B55" s="15"/>
      <c r="C55" s="15"/>
      <c r="D55" s="15"/>
      <c r="E55" s="15"/>
      <c r="F55" s="76" t="s">
        <v>46</v>
      </c>
      <c r="G55" s="77">
        <f>IFERROR(G54/10," ")</f>
        <v>0</v>
      </c>
      <c r="H55" s="77">
        <f t="shared" ref="H55:L55" si="2">IFERROR(H54/10," ")</f>
        <v>0</v>
      </c>
      <c r="I55" s="77">
        <f t="shared" si="2"/>
        <v>0</v>
      </c>
      <c r="J55" s="77">
        <f t="shared" si="2"/>
        <v>0</v>
      </c>
      <c r="K55" s="77">
        <f t="shared" si="2"/>
        <v>0</v>
      </c>
      <c r="L55" s="77">
        <f t="shared" si="2"/>
        <v>0</v>
      </c>
    </row>
    <row r="56" ht="18.75" customHeight="1" spans="3:12" x14ac:dyDescent="0.25">
      <c r="C56" s="143"/>
      <c r="D56" s="143"/>
      <c r="E56" s="143"/>
      <c r="F56" s="143"/>
      <c r="G56" s="143"/>
      <c r="L56" s="109"/>
    </row>
    <row r="57" spans="12:12" x14ac:dyDescent="0.25">
      <c r="L57" s="109"/>
    </row>
    <row r="58" spans="12:12" x14ac:dyDescent="0.25">
      <c r="L58" s="109"/>
    </row>
    <row r="59" spans="12:12" x14ac:dyDescent="0.25">
      <c r="L59" s="109"/>
    </row>
    <row r="60" spans="12:12" x14ac:dyDescent="0.25">
      <c r="L60" s="109"/>
    </row>
    <row r="61" spans="12:12" x14ac:dyDescent="0.25">
      <c r="L61" s="109"/>
    </row>
    <row r="62" spans="12:12" x14ac:dyDescent="0.25">
      <c r="L62" s="109"/>
    </row>
    <row r="63" spans="12:12" x14ac:dyDescent="0.25">
      <c r="L63" s="109"/>
    </row>
    <row r="64" spans="12:12" x14ac:dyDescent="0.25">
      <c r="L64" s="109"/>
    </row>
    <row r="65" spans="12:12" x14ac:dyDescent="0.25">
      <c r="L65" s="109"/>
    </row>
    <row r="66" spans="12:12" x14ac:dyDescent="0.25">
      <c r="L66" s="109"/>
    </row>
    <row r="67" spans="12:12" x14ac:dyDescent="0.25">
      <c r="L67" s="109"/>
    </row>
    <row r="68" spans="12:12" x14ac:dyDescent="0.25">
      <c r="L68" s="109"/>
    </row>
    <row r="69" spans="12:12" x14ac:dyDescent="0.25">
      <c r="L69" s="109"/>
    </row>
    <row r="70" spans="12:12" x14ac:dyDescent="0.25">
      <c r="L70" s="109"/>
    </row>
    <row r="71" spans="12:12" x14ac:dyDescent="0.25">
      <c r="L71" s="109"/>
    </row>
    <row r="72" spans="12:12" x14ac:dyDescent="0.25">
      <c r="L72" s="109"/>
    </row>
    <row r="73" spans="12:12" x14ac:dyDescent="0.25">
      <c r="L73" s="109"/>
    </row>
    <row r="74" spans="12:12" x14ac:dyDescent="0.25">
      <c r="L74" s="109"/>
    </row>
    <row r="75" spans="12:12" x14ac:dyDescent="0.25">
      <c r="L75" s="109"/>
    </row>
    <row r="76" spans="12:12" x14ac:dyDescent="0.25">
      <c r="L76" s="109"/>
    </row>
    <row r="77" spans="12:12" x14ac:dyDescent="0.25">
      <c r="L77" s="109"/>
    </row>
  </sheetData>
  <mergeCells count="25">
    <mergeCell ref="C1:L1"/>
    <mergeCell ref="C2:L2"/>
    <mergeCell ref="C3:L3"/>
    <mergeCell ref="C4:L4"/>
    <mergeCell ref="C5:L5"/>
    <mergeCell ref="A7:B7"/>
    <mergeCell ref="C7:F7"/>
    <mergeCell ref="C8:E12"/>
    <mergeCell ref="A8:A54"/>
    <mergeCell ref="B8:B22"/>
    <mergeCell ref="C13:E17"/>
    <mergeCell ref="C18:E22"/>
    <mergeCell ref="C23:E24"/>
    <mergeCell ref="B23:B53"/>
    <mergeCell ref="C25:E27"/>
    <mergeCell ref="C28:E30"/>
    <mergeCell ref="C31:E33"/>
    <mergeCell ref="C34:E36"/>
    <mergeCell ref="C37:E39"/>
    <mergeCell ref="C40:E42"/>
    <mergeCell ref="C43:E44"/>
    <mergeCell ref="C45:E47"/>
    <mergeCell ref="C48:E50"/>
    <mergeCell ref="C51:E53"/>
    <mergeCell ref="B54:F54"/>
  </mergeCells>
  <printOptions horizontalCentered="1" verticalCentered="1"/>
  <pageMargins left="0" right="0" top="0" bottom="0" header="0" footer="0"/>
  <pageSetup orientation="portrait" horizontalDpi="4294967295" verticalDpi="4294967295" scale="48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ANÁLIS DE META-LOGRO</vt:lpstr>
      <vt:lpstr>OCTUBRE</vt:lpstr>
      <vt:lpstr>NOVIEMBRE</vt:lpstr>
      <vt:lpstr>DICIEMBRE</vt:lpstr>
      <vt:lpstr>ENERO</vt:lpstr>
      <vt:lpstr>FEBRERO</vt:lpstr>
      <vt:lpstr>MARZO</vt:lpstr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Carlos Becerra</cp:lastModifiedBy>
  <cp:lastPrinted>2025-10-10T19:18:05Z</cp:lastPrinted>
  <dcterms:created xsi:type="dcterms:W3CDTF">2022-10-04T00:25:19Z</dcterms:created>
  <dcterms:modified xsi:type="dcterms:W3CDTF">2026-10-17T00:07:24Z</dcterms:modified>
</cp:coreProperties>
</file>