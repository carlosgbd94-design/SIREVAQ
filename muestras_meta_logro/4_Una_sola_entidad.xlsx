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/>
  </bookViews>
  <sheets>
    <sheet sheetId="1" name="ANÁLIS DE META-LOGRO" state="visible" r:id="rId4"/>
  </sheets>
  <definedNames>
    <definedName name="_xlnm.Print_Area" localSheetId="0">'ANÁLIS DE META-LOGRO'!$A1:$J57</definedName>
    <definedName name="_xlnm.Print_Titles" localSheetId="0">'ANÁLIS DE META-LOGRO'!$B:$F</definedName>
  </definedNames>
  <calcPr calcId="171027" fullCalcOnLoad="1"/>
</workbook>
</file>

<file path=xl/sharedStrings.xml><?xml version="1.0" encoding="utf-8"?>
<sst xmlns="http://schemas.openxmlformats.org/spreadsheetml/2006/main" count="76" uniqueCount="47">
  <si>
    <t>Subsecretaria de Prevención y Promoción de la Salud</t>
  </si>
  <si>
    <t>Centro Nacional para la Salud de la Infancia y la Adolescencia</t>
  </si>
  <si>
    <t>Programa de Vacunación Universal</t>
  </si>
  <si>
    <t>Meta-Logro de Vacuna Anti Influenza Estacional Temporada Invernal 2026-2027</t>
  </si>
  <si>
    <t>Unidad: CS JOFRITO DE PRUEBA · Corte al 2026-12-11</t>
  </si>
  <si>
    <t>Población</t>
  </si>
  <si>
    <t xml:space="preserve"> DOSIS / GRUPO POBLACIONAL</t>
  </si>
  <si>
    <t>CS JOFRITO DE PRUEBA</t>
  </si>
  <si>
    <t>LOGRO</t>
  </si>
  <si>
    <t>META</t>
  </si>
  <si>
    <t>%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</si>
  <si>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</si>
  <si>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</si>
  <si>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</si>
  <si>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</si>
  <si>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</si>
  <si>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</si>
  <si>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</si>
  <si>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</si>
  <si>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</si>
  <si>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</si>
  <si>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</si>
  <si>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</si>
  <si>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</si>
  <si>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</si>
  <si>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</si>
  <si>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</si>
  <si>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</si>
  <si>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</si>
  <si>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</si>
  <si>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</si>
  <si>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</si>
  <si>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</si>
  <si>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</si>
  <si>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</si>
  <si>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</si>
  <si>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</si>
  <si>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</si>
  <si>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</si>
  <si>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</si>
  <si>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</si>
  <si>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</si>
  <si>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</si>
  <si>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</si>
  <si>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</si>
  <si>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</si>
  <si>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Frascos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</si>
</sst>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 ;[Red]-#,##0 "/>
    <numFmt numFmtId="165" formatCode="#,##0_ ;-#,##0 "/>
  </numFmts>
  <fonts count="15" x14ac:knownFonts="1">
    <font>
      <color theme="1"/>
      <family val="2"/>
      <scheme val="minor"/>
      <sz val="11"/>
      <name val="Calibri"/>
    </font>
    <font>
      <color indexed="8"/>
      <family val="2"/>
      <sz val="10"/>
      <name val="Arial"/>
    </font>
    <font>
      <b/>
      <color indexed="8"/>
      <family val="3"/>
      <sz val="16"/>
      <name val="Patria"/>
    </font>
    <font>
      <b/>
      <color indexed="8"/>
      <family val="2"/>
      <sz val="14"/>
      <name val="Arial"/>
    </font>
    <font>
      <b/>
      <color indexed="8"/>
      <family val="2"/>
      <sz val="12"/>
      <name val="Arial"/>
    </font>
    <font>
      <color indexed="8"/>
      <family val="2"/>
      <sz val="11"/>
      <name val="Arial"/>
    </font>
    <font>
      <color indexed="8"/>
      <family val="2"/>
      <sz val="12"/>
      <name val="Arial"/>
    </font>
    <font>
      <b/>
      <color indexed="8"/>
      <sz val="12"/>
      <name val="Montserrat"/>
    </font>
    <font>
      <b/>
      <color theme="0"/>
      <sz val="11"/>
      <name val="Montserrat"/>
    </font>
    <font>
      <color theme="1"/>
      <sz val="11"/>
      <name val="Montserrat"/>
    </font>
    <font>
      <b/>
      <color theme="1"/>
      <sz val="11"/>
      <name val="Montserrat"/>
    </font>
    <font>
      <b/>
      <color indexed="8"/>
      <sz val="11"/>
      <name val="Montserrat"/>
    </font>
    <font>
      <b/>
      <sz val="11"/>
      <name val="Montserrat"/>
    </font>
    <font>
      <sz val="11"/>
      <name val="Montserrat"/>
    </font>
    <font>
      <b/>
      <i/>
      <color theme="1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33E55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C9C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8" fillId="2" borderId="3" xfId="0" applyFont="1" applyFill="1" applyBorder="1" applyAlignment="1" applyProtection="1">
      <alignment horizontal="center" vertical="center" wrapText="1"/>
      <protection hidden="1"/>
    </xf>
    <xf numFmtId="0" fontId="8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5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protection hidden="1"/>
    </xf>
    <xf numFmtId="0" fontId="8" fillId="2" borderId="7" xfId="0" applyFont="1" applyFill="1" applyBorder="1" applyAlignment="1" applyProtection="1">
      <alignment horizontal="center" vertical="center" wrapText="1"/>
      <protection hidden="1"/>
    </xf>
    <xf numFmtId="0" fontId="8" fillId="2" borderId="8" xfId="0" applyFont="1" applyFill="1" applyBorder="1" applyAlignment="1" applyProtection="1">
      <alignment horizontal="center" vertical="center" wrapText="1"/>
      <protection hidden="1"/>
    </xf>
    <xf numFmtId="0" fontId="8" fillId="2" borderId="9" xfId="0" applyFont="1" applyFill="1" applyBorder="1" applyAlignment="1" applyProtection="1">
      <alignment horizontal="center" vertical="center" wrapText="1"/>
      <protection hidden="1"/>
    </xf>
    <xf numFmtId="0" fontId="8" fillId="2" borderId="10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 textRotation="90"/>
      <protection hidden="1"/>
    </xf>
    <xf numFmtId="0" fontId="11" fillId="0" borderId="10" xfId="0" applyFont="1" applyBorder="1" applyAlignment="1" applyProtection="1">
      <alignment horizontal="center" vertical="center" wrapText="1" textRotation="90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left" vertical="center" wrapText="1"/>
      <protection hidden="1"/>
    </xf>
    <xf numFmtId="0" fontId="13" fillId="3" borderId="13" xfId="0" applyFont="1" applyFill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9" fontId="12" fillId="0" borderId="13" xfId="0" applyNumberFormat="1" applyFont="1" applyBorder="1" applyAlignment="1" applyProtection="1">
      <alignment horizontal="center" vertical="center"/>
      <protection hidden="1"/>
    </xf>
    <xf numFmtId="1" fontId="9" fillId="0" borderId="0" xfId="0" applyNumberFormat="1" applyFont="1" applyProtection="1">
      <protection hidden="1"/>
    </xf>
    <xf numFmtId="0" fontId="12" fillId="0" borderId="15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16" xfId="0" applyFont="1" applyBorder="1" applyAlignment="1" applyProtection="1">
      <alignment horizontal="center" vertical="center" wrapText="1"/>
      <protection hidden="1"/>
    </xf>
    <xf numFmtId="0" fontId="12" fillId="0" borderId="17" xfId="0" applyFont="1" applyBorder="1" applyAlignment="1" applyProtection="1">
      <alignment horizontal="left" vertical="center" wrapText="1"/>
      <protection hidden="1"/>
    </xf>
    <xf numFmtId="0" fontId="13" fillId="3" borderId="18" xfId="0" applyFont="1" applyFill="1" applyBorder="1" applyAlignment="1" applyProtection="1">
      <alignment horizontal="center" vertical="center" wrapText="1"/>
      <protection hidden="1"/>
    </xf>
    <xf numFmtId="0" fontId="12" fillId="0" borderId="19" xfId="0" applyFont="1" applyBorder="1" applyAlignment="1" applyProtection="1">
      <alignment horizontal="center" vertical="center" wrapText="1"/>
      <protection hidden="1"/>
    </xf>
    <xf numFmtId="9" fontId="12" fillId="0" borderId="18" xfId="0" applyNumberFormat="1" applyFont="1" applyBorder="1" applyAlignment="1" applyProtection="1">
      <alignment horizontal="center" vertical="center"/>
      <protection hidden="1"/>
    </xf>
    <xf numFmtId="0" fontId="12" fillId="0" borderId="20" xfId="0" applyFont="1" applyBorder="1" applyAlignment="1" applyProtection="1">
      <alignment horizontal="left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12" fillId="0" borderId="21" xfId="0" applyFont="1" applyBorder="1" applyAlignment="1" applyProtection="1">
      <alignment horizontal="center" vertical="center" wrapText="1"/>
      <protection hidden="1"/>
    </xf>
    <xf numFmtId="0" fontId="12" fillId="0" borderId="22" xfId="0" applyFont="1" applyBorder="1" applyAlignment="1" applyProtection="1">
      <alignment horizontal="left" vertical="center" wrapText="1"/>
      <protection hidden="1"/>
    </xf>
    <xf numFmtId="0" fontId="13" fillId="3" borderId="23" xfId="0" applyFont="1" applyFill="1" applyBorder="1" applyAlignment="1" applyProtection="1">
      <alignment horizontal="center" vertical="center" wrapText="1"/>
      <protection hidden="1"/>
    </xf>
    <xf numFmtId="0" fontId="12" fillId="0" borderId="24" xfId="0" applyFont="1" applyBorder="1" applyAlignment="1" applyProtection="1">
      <alignment horizontal="center" vertical="center" wrapText="1"/>
      <protection hidden="1"/>
    </xf>
    <xf numFmtId="9" fontId="12" fillId="0" borderId="23" xfId="0" applyNumberFormat="1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25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vertical="center" wrapText="1"/>
      <protection hidden="1"/>
    </xf>
    <xf numFmtId="0" fontId="13" fillId="3" borderId="10" xfId="0" applyFont="1" applyFill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9" fontId="12" fillId="0" borderId="10" xfId="0" applyNumberFormat="1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 wrapText="1"/>
      <protection hidden="1"/>
    </xf>
    <xf numFmtId="0" fontId="12" fillId="0" borderId="26" xfId="0" applyFont="1" applyBorder="1" applyAlignment="1" applyProtection="1">
      <alignment horizontal="left" vertical="center" wrapText="1"/>
      <protection hidden="1"/>
    </xf>
    <xf numFmtId="0" fontId="12" fillId="0" borderId="27" xfId="0" applyFont="1" applyBorder="1" applyAlignment="1" applyProtection="1">
      <alignment horizontal="left" vertical="center" wrapText="1"/>
      <protection hidden="1"/>
    </xf>
    <xf numFmtId="0" fontId="12" fillId="0" borderId="28" xfId="0" applyFont="1" applyBorder="1" applyAlignment="1" applyProtection="1">
      <alignment horizontal="left" vertical="center" wrapText="1"/>
      <protection hidden="1"/>
    </xf>
    <xf numFmtId="0" fontId="12" fillId="0" borderId="29" xfId="0" applyFont="1" applyBorder="1" applyAlignment="1" applyProtection="1">
      <alignment horizontal="center" vertical="center" wrapText="1"/>
      <protection hidden="1"/>
    </xf>
    <xf numFmtId="0" fontId="12" fillId="0" borderId="30" xfId="0" applyFont="1" applyBorder="1" applyAlignment="1" applyProtection="1">
      <alignment horizontal="left" vertical="center" wrapText="1"/>
      <protection hidden="1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32" xfId="0" applyFont="1" applyBorder="1" applyAlignment="1" applyProtection="1">
      <alignment horizontal="center" vertical="center" wrapText="1"/>
      <protection hidden="1"/>
    </xf>
    <xf numFmtId="164" fontId="14" fillId="0" borderId="0" xfId="0" applyNumberFormat="1" applyFont="1" applyProtection="1">
      <protection hidden="1"/>
    </xf>
    <xf numFmtId="0" fontId="11" fillId="0" borderId="33" xfId="0" applyFont="1" applyBorder="1" applyAlignment="1" applyProtection="1">
      <alignment horizontal="center" vertical="center" wrapText="1" textRotation="90"/>
      <protection hidden="1"/>
    </xf>
    <xf numFmtId="9" fontId="12" fillId="0" borderId="34" xfId="0" applyNumberFormat="1" applyFont="1" applyBorder="1" applyAlignment="1" applyProtection="1">
      <alignment horizontal="center" vertical="center"/>
      <protection hidden="1"/>
    </xf>
    <xf numFmtId="0" fontId="8" fillId="2" borderId="4" xfId="0" applyFont="1" applyFill="1" applyBorder="1" applyAlignment="1" applyProtection="1">
      <alignment horizontal="center" vertical="center"/>
      <protection hidden="1"/>
    </xf>
    <xf numFmtId="0" fontId="8" fillId="2" borderId="5" xfId="0" applyFont="1" applyFill="1" applyBorder="1" applyAlignment="1" applyProtection="1">
      <alignment horizontal="center" vertical="center"/>
      <protection hidden="1"/>
    </xf>
    <xf numFmtId="0" fontId="8" fillId="2" borderId="6" xfId="0" applyFont="1" applyFill="1" applyBorder="1" applyAlignment="1" applyProtection="1">
      <alignment horizontal="center" vertical="center"/>
      <protection hidden="1"/>
    </xf>
    <xf numFmtId="165" fontId="8" fillId="2" borderId="10" xfId="0" applyNumberFormat="1" applyFont="1" applyFill="1" applyBorder="1" applyAlignment="1" applyProtection="1">
      <alignment horizontal="center" vertical="center"/>
      <protection hidden="1"/>
    </xf>
    <xf numFmtId="165" fontId="8" fillId="2" borderId="5" xfId="0" applyNumberFormat="1" applyFont="1" applyFill="1" applyBorder="1" applyAlignment="1" applyProtection="1">
      <alignment horizontal="center" vertical="center"/>
      <protection hidden="1"/>
    </xf>
    <xf numFmtId="9" fontId="8" fillId="2" borderId="4" xfId="0" applyNumberFormat="1" applyFont="1" applyFill="1" applyBorder="1" applyAlignment="1" applyProtection="1">
      <alignment horizontal="center" vertical="center"/>
      <protection hidden="1"/>
    </xf>
    <xf numFmtId="0" fontId="12" fillId="4" borderId="4" xfId="0" applyFont="1" applyFill="1" applyBorder="1" applyAlignment="1" applyProtection="1">
      <alignment horizontal="right"/>
      <protection hidden="1"/>
    </xf>
    <xf numFmtId="0" fontId="12" fillId="4" borderId="10" xfId="0" applyFont="1" applyFill="1" applyBorder="1" applyAlignment="1" applyProtection="1">
      <alignment horizontal="center" vertical="center"/>
      <protection hidden="1"/>
    </xf>
    <xf numFmtId="9" fontId="12" fillId="4" borderId="10" xfId="0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Protection="1">
      <protection hidden="1"/>
    </xf>
  </cellXfs>
  <cellStyles count="1">
    <cellStyle name="Normal" xfId="0" builtinId="0"/>
  </cellStyles>
  <dxfs count="4"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2241"/>
    <pageSetUpPr fitToPage="1"/>
  </sheetPr>
  <dimension ref="A1:R79"/>
  <sheetViews>
    <sheetView workbookViewId="0" showGridLines="0" zoomScale="90" zoomScaleNormal="90">
      <selection activeCell="L12" sqref="L12"/>
    </sheetView>
  </sheetViews>
  <sheetFormatPr defaultRowHeight="15" outlineLevelRow="0" outlineLevelCol="0" x14ac:dyDescent="0.25" defaultColWidth="11.42578125"/>
  <cols>
    <col min="1" max="1" width="10.42578125" style="1" customWidth="1"/>
    <col min="2" max="2" width="17.7109375" style="1" customWidth="1"/>
    <col min="3" max="3" width="10.7109375" style="1" customWidth="1"/>
    <col min="4" max="4" width="13.42578125" style="1" customWidth="1"/>
    <col min="5" max="5" width="25.140625" style="1" customWidth="1"/>
    <col min="6" max="6" width="26.140625" style="1" customWidth="1"/>
    <col min="7" max="7" width="18.85546875" style="1" customWidth="1"/>
    <col min="8" max="8" width="17.7109375" style="1" customWidth="1"/>
    <col min="9" max="9" width="20.7109375" style="1" customWidth="1"/>
    <col min="10" max="10" width="18.85546875" style="1" customWidth="1"/>
    <col min="11" max="11" width="17.7109375" style="1" customWidth="1"/>
    <col min="12" max="12" width="20.7109375" style="1" customWidth="1"/>
    <col min="13" max="13" width="13.7109375" style="1" customWidth="1"/>
    <col min="14" max="16384" width="11.42578125" style="1" customWidth="1"/>
  </cols>
  <sheetData>
    <row r="1" ht="27.75" customHeight="1" spans="1:10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ht="23.25" customHeight="1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5"/>
    </row>
    <row r="3" ht="23.25" customHeight="1" spans="1:10" s="2" customForma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5"/>
    </row>
    <row r="4" ht="23.25" customHeight="1" spans="1:12" s="2" customFormat="1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6"/>
      <c r="K4" s="6"/>
      <c r="L4" s="6"/>
    </row>
    <row r="5" ht="23.25" customHeight="1" spans="1:10" s="2" customForma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9"/>
    </row>
    <row r="6" ht="57.75" customHeight="1" spans="1:12" s="10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3.25" customHeight="1" spans="1:12" s="11" customForma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ht="23.25" customHeight="1" spans="1:12" s="11" customFormat="1" x14ac:dyDescent="0.25">
      <c r="A8" s="13" t="s">
        <v>5</v>
      </c>
      <c r="B8" s="14"/>
      <c r="C8" s="13" t="s">
        <v>6</v>
      </c>
      <c r="D8" s="15"/>
      <c r="E8" s="15"/>
      <c r="F8" s="14"/>
      <c r="G8" s="16" t="s">
        <v>7</v>
      </c>
      <c r="H8" s="17"/>
      <c r="I8" s="18"/>
    </row>
    <row r="9" ht="30" customHeight="1" spans="1:12" s="19" customFormat="1" x14ac:dyDescent="0.25">
      <c r="A9" s="20"/>
      <c r="B9" s="21"/>
      <c r="C9" s="20"/>
      <c r="D9" s="22"/>
      <c r="E9" s="22"/>
      <c r="F9" s="21"/>
      <c r="G9" s="18" t="s">
        <v>8</v>
      </c>
      <c r="H9" s="18" t="s">
        <v>9</v>
      </c>
      <c r="I9" s="23" t="s">
        <v>10</v>
      </c>
    </row>
    <row r="10" ht="30" customHeight="1" spans="1:13" s="19" customFormat="1" x14ac:dyDescent="0.25">
      <c r="A10" s="24" t="s">
        <v>11</v>
      </c>
      <c r="B10" s="25" t="s">
        <v>12</v>
      </c>
      <c r="C10" s="26" t="s">
        <v>13</v>
      </c>
      <c r="D10" s="27"/>
      <c r="E10" s="28"/>
      <c r="F10" s="29" t="s">
        <v>14</v>
      </c>
      <c r="G10" s="30">
        <v>21</v>
      </c>
      <c r="H10" s="31">
        <v>40</v>
      </c>
      <c r="I10" s="32">
        <f>IFERROR(G10/H10," ")</f>
        <v>0.525</v>
      </c>
      <c r="M10" s="33"/>
    </row>
    <row r="11" ht="30" customHeight="1" spans="1:13" s="19" customFormat="1" x14ac:dyDescent="0.25">
      <c r="A11" s="24"/>
      <c r="B11" s="25"/>
      <c r="C11" s="34"/>
      <c r="D11" s="35"/>
      <c r="E11" s="36"/>
      <c r="F11" s="37" t="s">
        <v>15</v>
      </c>
      <c r="G11" s="38">
        <v>31</v>
      </c>
      <c r="H11" s="39">
        <v>60</v>
      </c>
      <c r="I11" s="40">
        <f>IFERROR(G11/H11," ")</f>
        <v>0.5166666666666667</v>
      </c>
      <c r="M11" s="33"/>
    </row>
    <row r="12" ht="30" customHeight="1" spans="1:13" s="19" customFormat="1" x14ac:dyDescent="0.25">
      <c r="A12" s="24"/>
      <c r="B12" s="25"/>
      <c r="C12" s="34"/>
      <c r="D12" s="35"/>
      <c r="E12" s="36"/>
      <c r="F12" s="37" t="s">
        <v>16</v>
      </c>
      <c r="G12" s="38">
        <v>23</v>
      </c>
      <c r="H12" s="39">
        <v>50</v>
      </c>
      <c r="I12" s="40">
        <f>IFERROR(G12/H12," ")</f>
        <v>0.46</v>
      </c>
      <c r="M12" s="33"/>
    </row>
    <row r="13" ht="30" customHeight="1" spans="1:13" s="19" customFormat="1" x14ac:dyDescent="0.25">
      <c r="A13" s="24"/>
      <c r="B13" s="25"/>
      <c r="C13" s="34"/>
      <c r="D13" s="35"/>
      <c r="E13" s="36"/>
      <c r="F13" s="41" t="s">
        <v>17</v>
      </c>
      <c r="G13" s="38">
        <v>22</v>
      </c>
      <c r="H13" s="39">
        <v>45</v>
      </c>
      <c r="I13" s="40">
        <f>IFERROR(G13/H13," ")</f>
        <v>0.4888888888888889</v>
      </c>
      <c r="M13" s="33"/>
    </row>
    <row r="14" ht="30" customHeight="1" spans="1:13" s="19" customFormat="1" x14ac:dyDescent="0.25">
      <c r="A14" s="24"/>
      <c r="B14" s="25"/>
      <c r="C14" s="42"/>
      <c r="D14" s="43"/>
      <c r="E14" s="44"/>
      <c r="F14" s="45" t="s">
        <v>18</v>
      </c>
      <c r="G14" s="46">
        <v>20</v>
      </c>
      <c r="H14" s="47">
        <v>35</v>
      </c>
      <c r="I14" s="48">
        <f>IFERROR(G14/H14," ")</f>
        <v>0.5714285714285714</v>
      </c>
      <c r="M14" s="33"/>
    </row>
    <row r="15" ht="30" customHeight="1" spans="1:13" s="19" customFormat="1" x14ac:dyDescent="0.25">
      <c r="A15" s="24"/>
      <c r="B15" s="25"/>
      <c r="C15" s="26" t="s">
        <v>19</v>
      </c>
      <c r="D15" s="27"/>
      <c r="E15" s="28"/>
      <c r="F15" s="29" t="s">
        <v>20</v>
      </c>
      <c r="G15" s="30">
        <v>18</v>
      </c>
      <c r="H15" s="31">
        <v>30</v>
      </c>
      <c r="I15" s="32">
        <f>IFERROR(G15/H15," ")</f>
        <v>0.6</v>
      </c>
      <c r="M15" s="33"/>
    </row>
    <row r="16" ht="30" customHeight="1" spans="1:13" s="19" customFormat="1" x14ac:dyDescent="0.25">
      <c r="A16" s="24"/>
      <c r="B16" s="25"/>
      <c r="C16" s="34"/>
      <c r="D16" s="35"/>
      <c r="E16" s="36"/>
      <c r="F16" s="37" t="s">
        <v>21</v>
      </c>
      <c r="G16" s="38">
        <v>13</v>
      </c>
      <c r="H16" s="39">
        <v>25</v>
      </c>
      <c r="I16" s="40">
        <f>IFERROR(G16/H16," ")</f>
        <v>0.52</v>
      </c>
      <c r="M16" s="33"/>
    </row>
    <row r="17" ht="30" customHeight="1" spans="1:13" s="19" customFormat="1" x14ac:dyDescent="0.25">
      <c r="A17" s="24"/>
      <c r="B17" s="25"/>
      <c r="C17" s="34"/>
      <c r="D17" s="35"/>
      <c r="E17" s="36"/>
      <c r="F17" s="37" t="s">
        <v>22</v>
      </c>
      <c r="G17" s="38">
        <v>10</v>
      </c>
      <c r="H17" s="39">
        <v>20</v>
      </c>
      <c r="I17" s="40">
        <f>IFERROR(G17/H17," ")</f>
        <v>0.5</v>
      </c>
      <c r="M17" s="33"/>
    </row>
    <row r="18" ht="30" customHeight="1" spans="1:13" s="19" customFormat="1" x14ac:dyDescent="0.25">
      <c r="A18" s="24"/>
      <c r="B18" s="25"/>
      <c r="C18" s="34"/>
      <c r="D18" s="35"/>
      <c r="E18" s="36"/>
      <c r="F18" s="41" t="s">
        <v>23</v>
      </c>
      <c r="G18" s="38">
        <v>10</v>
      </c>
      <c r="H18" s="39">
        <v>18</v>
      </c>
      <c r="I18" s="40">
        <f>IFERROR(G18/H18," ")</f>
        <v>0.5555555555555556</v>
      </c>
      <c r="M18" s="33"/>
    </row>
    <row r="19" ht="30" customHeight="1" spans="1:13" s="19" customFormat="1" x14ac:dyDescent="0.25">
      <c r="A19" s="24"/>
      <c r="B19" s="25"/>
      <c r="C19" s="42"/>
      <c r="D19" s="43"/>
      <c r="E19" s="44"/>
      <c r="F19" s="45" t="s">
        <v>24</v>
      </c>
      <c r="G19" s="46">
        <v>7</v>
      </c>
      <c r="H19" s="47">
        <v>15</v>
      </c>
      <c r="I19" s="48">
        <f>IFERROR(G19/H19," ")</f>
        <v>0.4666666666666667</v>
      </c>
      <c r="M19" s="33"/>
    </row>
    <row r="20" ht="30" customHeight="1" spans="1:13" s="19" customFormat="1" x14ac:dyDescent="0.25">
      <c r="A20" s="24"/>
      <c r="B20" s="25"/>
      <c r="C20" s="26" t="s">
        <v>25</v>
      </c>
      <c r="D20" s="27"/>
      <c r="E20" s="49"/>
      <c r="F20" s="29" t="s">
        <v>26</v>
      </c>
      <c r="G20" s="30">
        <v>11</v>
      </c>
      <c r="H20" s="31">
        <v>22</v>
      </c>
      <c r="I20" s="32">
        <f>IFERROR(G20/H20," ")</f>
        <v>0.5</v>
      </c>
      <c r="M20" s="33"/>
    </row>
    <row r="21" ht="30" customHeight="1" spans="1:13" s="19" customFormat="1" x14ac:dyDescent="0.25">
      <c r="A21" s="24"/>
      <c r="B21" s="25"/>
      <c r="C21" s="34"/>
      <c r="D21" s="35"/>
      <c r="E21" s="50"/>
      <c r="F21" s="37" t="s">
        <v>22</v>
      </c>
      <c r="G21" s="38">
        <v>10</v>
      </c>
      <c r="H21" s="39">
        <v>20</v>
      </c>
      <c r="I21" s="40">
        <f>IFERROR(G21/H21," ")</f>
        <v>0.5</v>
      </c>
      <c r="M21" s="33"/>
    </row>
    <row r="22" ht="30" customHeight="1" spans="1:13" s="19" customFormat="1" x14ac:dyDescent="0.25">
      <c r="A22" s="24"/>
      <c r="B22" s="25"/>
      <c r="C22" s="34"/>
      <c r="D22" s="35"/>
      <c r="E22" s="50"/>
      <c r="F22" s="37" t="s">
        <v>17</v>
      </c>
      <c r="G22" s="38">
        <v>9</v>
      </c>
      <c r="H22" s="39">
        <v>16</v>
      </c>
      <c r="I22" s="40">
        <f>IFERROR(G22/H22," ")</f>
        <v>0.5625</v>
      </c>
      <c r="M22" s="33"/>
    </row>
    <row r="23" ht="30" customHeight="1" spans="1:13" s="19" customFormat="1" x14ac:dyDescent="0.25">
      <c r="A23" s="24"/>
      <c r="B23" s="25"/>
      <c r="C23" s="34"/>
      <c r="D23" s="35"/>
      <c r="E23" s="50"/>
      <c r="F23" s="41" t="s">
        <v>18</v>
      </c>
      <c r="G23" s="38">
        <v>8</v>
      </c>
      <c r="H23" s="39">
        <v>14</v>
      </c>
      <c r="I23" s="40">
        <f>IFERROR(G23/H23," ")</f>
        <v>0.5714285714285714</v>
      </c>
      <c r="M23" s="33"/>
    </row>
    <row r="24" ht="30" customHeight="1" spans="1:13" s="19" customFormat="1" x14ac:dyDescent="0.25">
      <c r="A24" s="24"/>
      <c r="B24" s="25"/>
      <c r="C24" s="42"/>
      <c r="D24" s="43"/>
      <c r="E24" s="51"/>
      <c r="F24" s="45" t="s">
        <v>27</v>
      </c>
      <c r="G24" s="46">
        <v>35</v>
      </c>
      <c r="H24" s="47">
        <v>60</v>
      </c>
      <c r="I24" s="48">
        <f>IFERROR(G24/H24," ")</f>
        <v>0.5833333333333334</v>
      </c>
      <c r="M24" s="33"/>
    </row>
    <row r="25" ht="30" customHeight="1" spans="1:13" s="19" customFormat="1" x14ac:dyDescent="0.25">
      <c r="A25" s="24"/>
      <c r="B25" s="25" t="s">
        <v>28</v>
      </c>
      <c r="C25" s="26" t="s">
        <v>29</v>
      </c>
      <c r="D25" s="27"/>
      <c r="E25" s="49"/>
      <c r="F25" s="52" t="s">
        <v>30</v>
      </c>
      <c r="G25" s="53">
        <v>5</v>
      </c>
      <c r="H25" s="54">
        <v>12</v>
      </c>
      <c r="I25" s="55">
        <f>IFERROR(G25/H25," ")</f>
        <v>0.4166666666666667</v>
      </c>
      <c r="M25" s="33"/>
    </row>
    <row r="26" ht="51" customHeight="1" spans="1:13" s="19" customFormat="1" x14ac:dyDescent="0.25">
      <c r="A26" s="24"/>
      <c r="B26" s="25"/>
      <c r="C26" s="42"/>
      <c r="D26" s="43"/>
      <c r="E26" s="51"/>
      <c r="F26" s="56" t="s">
        <v>31</v>
      </c>
      <c r="G26" s="53">
        <v>44</v>
      </c>
      <c r="H26" s="54">
        <v>80</v>
      </c>
      <c r="I26" s="55">
        <f>IFERROR(G26/H26," ")</f>
        <v>0.55</v>
      </c>
      <c r="M26" s="33"/>
    </row>
    <row r="27" ht="30" customHeight="1" spans="1:13" s="19" customFormat="1" x14ac:dyDescent="0.25">
      <c r="A27" s="24"/>
      <c r="B27" s="25"/>
      <c r="C27" s="26" t="s">
        <v>32</v>
      </c>
      <c r="D27" s="27"/>
      <c r="E27" s="49"/>
      <c r="F27" s="57" t="s">
        <v>33</v>
      </c>
      <c r="G27" s="30">
        <v>3</v>
      </c>
      <c r="H27" s="31">
        <v>6</v>
      </c>
      <c r="I27" s="32">
        <f>IFERROR(G27/H27," ")</f>
        <v>0.5</v>
      </c>
      <c r="M27" s="33"/>
    </row>
    <row r="28" ht="30" customHeight="1" spans="1:13" s="19" customFormat="1" x14ac:dyDescent="0.25">
      <c r="A28" s="24"/>
      <c r="B28" s="25"/>
      <c r="C28" s="34"/>
      <c r="D28" s="35"/>
      <c r="E28" s="50"/>
      <c r="F28" s="58" t="s">
        <v>34</v>
      </c>
      <c r="G28" s="38">
        <v>3</v>
      </c>
      <c r="H28" s="39">
        <v>8</v>
      </c>
      <c r="I28" s="40">
        <f>IFERROR(G28/H28," ")</f>
        <v>0.375</v>
      </c>
      <c r="M28" s="33"/>
    </row>
    <row r="29" ht="30" customHeight="1" spans="1:13" s="19" customFormat="1" x14ac:dyDescent="0.25">
      <c r="A29" s="24"/>
      <c r="B29" s="25"/>
      <c r="C29" s="42"/>
      <c r="D29" s="43"/>
      <c r="E29" s="51"/>
      <c r="F29" s="59" t="s">
        <v>35</v>
      </c>
      <c r="G29" s="46">
        <v>5</v>
      </c>
      <c r="H29" s="47">
        <v>10</v>
      </c>
      <c r="I29" s="48">
        <f>IFERROR(G29/H29," ")</f>
        <v>0.5</v>
      </c>
      <c r="M29" s="33"/>
    </row>
    <row r="30" ht="30" customHeight="1" spans="1:13" s="19" customFormat="1" x14ac:dyDescent="0.25">
      <c r="A30" s="24"/>
      <c r="B30" s="25"/>
      <c r="C30" s="26" t="s">
        <v>36</v>
      </c>
      <c r="D30" s="27"/>
      <c r="E30" s="49"/>
      <c r="F30" s="57" t="s">
        <v>33</v>
      </c>
      <c r="G30" s="30">
        <v>3</v>
      </c>
      <c r="H30" s="31">
        <v>5</v>
      </c>
      <c r="I30" s="32">
        <f>IFERROR(G30/H30," ")</f>
        <v>0.6</v>
      </c>
      <c r="M30" s="33"/>
    </row>
    <row r="31" ht="30" customHeight="1" spans="1:13" s="19" customFormat="1" x14ac:dyDescent="0.25">
      <c r="A31" s="24"/>
      <c r="B31" s="25"/>
      <c r="C31" s="34"/>
      <c r="D31" s="35"/>
      <c r="E31" s="50"/>
      <c r="F31" s="58" t="s">
        <v>34</v>
      </c>
      <c r="G31" s="38">
        <v>4</v>
      </c>
      <c r="H31" s="39">
        <v>7</v>
      </c>
      <c r="I31" s="40">
        <f>IFERROR(G31/H31," ")</f>
        <v>0.5714285714285714</v>
      </c>
      <c r="M31" s="33"/>
    </row>
    <row r="32" ht="30" customHeight="1" spans="1:13" s="19" customFormat="1" x14ac:dyDescent="0.25">
      <c r="A32" s="24"/>
      <c r="B32" s="25"/>
      <c r="C32" s="42"/>
      <c r="D32" s="43"/>
      <c r="E32" s="51"/>
      <c r="F32" s="59" t="s">
        <v>35</v>
      </c>
      <c r="G32" s="46">
        <v>4</v>
      </c>
      <c r="H32" s="47">
        <v>9</v>
      </c>
      <c r="I32" s="48">
        <f>IFERROR(G32/H32," ")</f>
        <v>0.4444444444444444</v>
      </c>
      <c r="M32" s="33"/>
    </row>
    <row r="33" ht="30" customHeight="1" spans="1:13" s="19" customFormat="1" x14ac:dyDescent="0.25">
      <c r="A33" s="24"/>
      <c r="B33" s="25"/>
      <c r="C33" s="26" t="s">
        <v>37</v>
      </c>
      <c r="D33" s="27"/>
      <c r="E33" s="49"/>
      <c r="F33" s="57" t="s">
        <v>33</v>
      </c>
      <c r="G33" s="30">
        <v>2</v>
      </c>
      <c r="H33" s="31">
        <v>4</v>
      </c>
      <c r="I33" s="32">
        <f>IFERROR(G33/H33," ")</f>
        <v>0.5</v>
      </c>
      <c r="M33" s="33"/>
    </row>
    <row r="34" ht="30" customHeight="1" spans="1:13" s="19" customFormat="1" x14ac:dyDescent="0.25">
      <c r="A34" s="24"/>
      <c r="B34" s="25"/>
      <c r="C34" s="34"/>
      <c r="D34" s="35"/>
      <c r="E34" s="50"/>
      <c r="F34" s="58" t="s">
        <v>34</v>
      </c>
      <c r="G34" s="38">
        <v>3</v>
      </c>
      <c r="H34" s="39">
        <v>5</v>
      </c>
      <c r="I34" s="40">
        <f>IFERROR(G34/H34," ")</f>
        <v>0.6</v>
      </c>
      <c r="M34" s="33"/>
    </row>
    <row r="35" ht="30" customHeight="1" spans="1:13" s="19" customFormat="1" x14ac:dyDescent="0.25">
      <c r="A35" s="24"/>
      <c r="B35" s="25"/>
      <c r="C35" s="42"/>
      <c r="D35" s="43"/>
      <c r="E35" s="51"/>
      <c r="F35" s="59" t="s">
        <v>35</v>
      </c>
      <c r="G35" s="46">
        <v>3</v>
      </c>
      <c r="H35" s="47">
        <v>6</v>
      </c>
      <c r="I35" s="48">
        <f>IFERROR(G35/H35," ")</f>
        <v>0.5</v>
      </c>
      <c r="M35" s="33"/>
    </row>
    <row r="36" ht="30" customHeight="1" spans="1:13" s="19" customFormat="1" x14ac:dyDescent="0.25">
      <c r="A36" s="24"/>
      <c r="B36" s="25"/>
      <c r="C36" s="26" t="s">
        <v>38</v>
      </c>
      <c r="D36" s="27"/>
      <c r="E36" s="49"/>
      <c r="F36" s="57" t="s">
        <v>33</v>
      </c>
      <c r="G36" s="30">
        <v>1</v>
      </c>
      <c r="H36" s="31">
        <v>3</v>
      </c>
      <c r="I36" s="32">
        <f>IFERROR(G36/H36," ")</f>
        <v>0.3333333333333333</v>
      </c>
      <c r="M36" s="33"/>
    </row>
    <row r="37" ht="30" customHeight="1" spans="1:13" s="19" customFormat="1" x14ac:dyDescent="0.25">
      <c r="A37" s="24"/>
      <c r="B37" s="25"/>
      <c r="C37" s="34"/>
      <c r="D37" s="35"/>
      <c r="E37" s="50"/>
      <c r="F37" s="58" t="s">
        <v>34</v>
      </c>
      <c r="G37" s="38">
        <v>2</v>
      </c>
      <c r="H37" s="39">
        <v>4</v>
      </c>
      <c r="I37" s="40">
        <f>IFERROR(G37/H37," ")</f>
        <v>0.5</v>
      </c>
      <c r="M37" s="33"/>
    </row>
    <row r="38" ht="30" customHeight="1" spans="1:13" s="19" customFormat="1" x14ac:dyDescent="0.25">
      <c r="A38" s="24"/>
      <c r="B38" s="25"/>
      <c r="C38" s="42"/>
      <c r="D38" s="43"/>
      <c r="E38" s="51"/>
      <c r="F38" s="59" t="s">
        <v>35</v>
      </c>
      <c r="G38" s="46">
        <v>3</v>
      </c>
      <c r="H38" s="47">
        <v>5</v>
      </c>
      <c r="I38" s="48">
        <f>IFERROR(G38/H38," ")</f>
        <v>0.6</v>
      </c>
      <c r="M38" s="33"/>
    </row>
    <row r="39" ht="30" customHeight="1" spans="1:13" s="19" customFormat="1" x14ac:dyDescent="0.25">
      <c r="A39" s="24"/>
      <c r="B39" s="25"/>
      <c r="C39" s="26" t="s">
        <v>39</v>
      </c>
      <c r="D39" s="27"/>
      <c r="E39" s="49"/>
      <c r="F39" s="57" t="s">
        <v>33</v>
      </c>
      <c r="G39" s="30">
        <v>3</v>
      </c>
      <c r="H39" s="31">
        <v>6</v>
      </c>
      <c r="I39" s="32">
        <f>IFERROR(G39/H39," ")</f>
        <v>0.5</v>
      </c>
      <c r="M39" s="33"/>
    </row>
    <row r="40" ht="30" customHeight="1" spans="1:13" s="19" customFormat="1" x14ac:dyDescent="0.25">
      <c r="A40" s="24"/>
      <c r="B40" s="25"/>
      <c r="C40" s="34"/>
      <c r="D40" s="35"/>
      <c r="E40" s="50"/>
      <c r="F40" s="58" t="s">
        <v>34</v>
      </c>
      <c r="G40" s="38">
        <v>1</v>
      </c>
      <c r="H40" s="39">
        <v>3</v>
      </c>
      <c r="I40" s="40">
        <f>IFERROR(G40/H40," ")</f>
        <v>0.3333333333333333</v>
      </c>
      <c r="M40" s="33"/>
    </row>
    <row r="41" ht="30" customHeight="1" spans="1:13" s="19" customFormat="1" x14ac:dyDescent="0.25">
      <c r="A41" s="24"/>
      <c r="B41" s="25"/>
      <c r="C41" s="42"/>
      <c r="D41" s="43"/>
      <c r="E41" s="51"/>
      <c r="F41" s="59" t="s">
        <v>35</v>
      </c>
      <c r="G41" s="46">
        <v>2</v>
      </c>
      <c r="H41" s="47">
        <v>4</v>
      </c>
      <c r="I41" s="48">
        <f>IFERROR(G41/H41," ")</f>
        <v>0.5</v>
      </c>
      <c r="M41" s="33"/>
    </row>
    <row r="42" ht="30" customHeight="1" spans="1:13" s="19" customFormat="1" x14ac:dyDescent="0.25">
      <c r="A42" s="24"/>
      <c r="B42" s="25"/>
      <c r="C42" s="26" t="s">
        <v>40</v>
      </c>
      <c r="D42" s="27"/>
      <c r="E42" s="49"/>
      <c r="F42" s="57" t="s">
        <v>33</v>
      </c>
      <c r="G42" s="30">
        <v>3</v>
      </c>
      <c r="H42" s="31">
        <v>5</v>
      </c>
      <c r="I42" s="32">
        <f>IFERROR(G42/H42," ")</f>
        <v>0.6</v>
      </c>
      <c r="M42" s="33"/>
    </row>
    <row r="43" ht="30" customHeight="1" spans="1:13" s="19" customFormat="1" x14ac:dyDescent="0.25">
      <c r="A43" s="24"/>
      <c r="B43" s="25"/>
      <c r="C43" s="34"/>
      <c r="D43" s="35"/>
      <c r="E43" s="50"/>
      <c r="F43" s="58" t="s">
        <v>34</v>
      </c>
      <c r="G43" s="38">
        <v>1</v>
      </c>
      <c r="H43" s="39">
        <v>2</v>
      </c>
      <c r="I43" s="40">
        <f>IFERROR(G43/H43," ")</f>
        <v>0.5</v>
      </c>
      <c r="M43" s="33"/>
    </row>
    <row r="44" ht="30" customHeight="1" spans="1:13" s="19" customFormat="1" x14ac:dyDescent="0.25">
      <c r="A44" s="24"/>
      <c r="B44" s="25"/>
      <c r="C44" s="42"/>
      <c r="D44" s="43"/>
      <c r="E44" s="51"/>
      <c r="F44" s="59" t="s">
        <v>35</v>
      </c>
      <c r="G44" s="46">
        <v>2</v>
      </c>
      <c r="H44" s="60">
        <v>3</v>
      </c>
      <c r="I44" s="48">
        <f>IFERROR(G44/H44," ")</f>
        <v>0.6666666666666666</v>
      </c>
      <c r="M44" s="33"/>
    </row>
    <row r="45" ht="45" customHeight="1" spans="1:13" s="19" customFormat="1" x14ac:dyDescent="0.25">
      <c r="A45" s="24"/>
      <c r="B45" s="25"/>
      <c r="C45" s="26" t="s">
        <v>41</v>
      </c>
      <c r="D45" s="27"/>
      <c r="E45" s="49"/>
      <c r="F45" s="61" t="s">
        <v>33</v>
      </c>
      <c r="G45" s="30">
        <v>1</v>
      </c>
      <c r="H45" s="62">
        <v>2</v>
      </c>
      <c r="I45" s="40">
        <f>IFERROR(G45/H45," ")</f>
        <v>0.5</v>
      </c>
      <c r="M45" s="33"/>
    </row>
    <row r="46" ht="45" customHeight="1" spans="1:12" s="19" customFormat="1" x14ac:dyDescent="0.25">
      <c r="A46" s="24"/>
      <c r="B46" s="25"/>
      <c r="C46" s="34"/>
      <c r="D46" s="35"/>
      <c r="E46" s="50"/>
      <c r="F46" s="59" t="s">
        <v>34</v>
      </c>
      <c r="G46" s="46">
        <v>1</v>
      </c>
      <c r="H46" s="60">
        <v>3</v>
      </c>
      <c r="I46" s="48">
        <f>IFERROR(G46/H46," ")</f>
        <v>0.3333333333333333</v>
      </c>
    </row>
    <row r="47" ht="30" customHeight="1" spans="1:12" x14ac:dyDescent="0.25">
      <c r="A47" s="24"/>
      <c r="B47" s="25"/>
      <c r="C47" s="26" t="s">
        <v>42</v>
      </c>
      <c r="D47" s="27"/>
      <c r="E47" s="49"/>
      <c r="F47" s="57" t="s">
        <v>33</v>
      </c>
      <c r="G47" s="30">
        <v>2</v>
      </c>
      <c r="H47" s="62">
        <v>4</v>
      </c>
      <c r="I47" s="32">
        <f>IFERROR(G47/H47," ")</f>
        <v>0.5</v>
      </c>
    </row>
    <row r="48" ht="30" customHeight="1" spans="1:12" x14ac:dyDescent="0.25">
      <c r="A48" s="24"/>
      <c r="B48" s="25"/>
      <c r="C48" s="34"/>
      <c r="D48" s="35"/>
      <c r="E48" s="50"/>
      <c r="F48" s="58" t="s">
        <v>34</v>
      </c>
      <c r="G48" s="38">
        <v>1</v>
      </c>
      <c r="H48" s="63">
        <v>2</v>
      </c>
      <c r="I48" s="40">
        <f>IFERROR(G48/H48," ")</f>
        <v>0.5</v>
      </c>
    </row>
    <row r="49" ht="30" customHeight="1" spans="1:12" x14ac:dyDescent="0.25">
      <c r="A49" s="24"/>
      <c r="B49" s="25"/>
      <c r="C49" s="42"/>
      <c r="D49" s="43"/>
      <c r="E49" s="51"/>
      <c r="F49" s="59" t="s">
        <v>35</v>
      </c>
      <c r="G49" s="46">
        <v>2</v>
      </c>
      <c r="H49" s="60">
        <v>3</v>
      </c>
      <c r="I49" s="48">
        <f>IFERROR(G49/H49," ")</f>
        <v>0.6666666666666666</v>
      </c>
    </row>
    <row r="50" ht="30" customHeight="1" spans="1:18" s="64" customFormat="1" x14ac:dyDescent="0.25">
      <c r="A50" s="24"/>
      <c r="B50" s="25"/>
      <c r="C50" s="26" t="s">
        <v>43</v>
      </c>
      <c r="D50" s="27"/>
      <c r="E50" s="49"/>
      <c r="F50" s="57" t="s">
        <v>33</v>
      </c>
      <c r="G50" s="30">
        <v>1</v>
      </c>
      <c r="H50" s="62">
        <v>2</v>
      </c>
      <c r="I50" s="32">
        <f>IFERROR(G50/H50," ")</f>
        <v>0.5</v>
      </c>
      <c r="M50" s="64"/>
      <c r="N50" s="64"/>
      <c r="O50" s="64"/>
      <c r="P50" s="64"/>
      <c r="Q50" s="64"/>
      <c r="R50" s="64"/>
    </row>
    <row r="51" ht="30" customHeight="1" spans="1:12" x14ac:dyDescent="0.25">
      <c r="A51" s="24"/>
      <c r="B51" s="25"/>
      <c r="C51" s="34"/>
      <c r="D51" s="35"/>
      <c r="E51" s="50"/>
      <c r="F51" s="58" t="s">
        <v>34</v>
      </c>
      <c r="G51" s="38">
        <v>1</v>
      </c>
      <c r="H51" s="63">
        <v>3</v>
      </c>
      <c r="I51" s="40">
        <f>IFERROR(G51/H51," ")</f>
        <v>0.3333333333333333</v>
      </c>
    </row>
    <row r="52" ht="30" customHeight="1" spans="1:12" x14ac:dyDescent="0.25">
      <c r="A52" s="24"/>
      <c r="B52" s="25"/>
      <c r="C52" s="42"/>
      <c r="D52" s="43"/>
      <c r="E52" s="51"/>
      <c r="F52" s="59" t="s">
        <v>35</v>
      </c>
      <c r="G52" s="46">
        <v>1</v>
      </c>
      <c r="H52" s="60">
        <v>1</v>
      </c>
      <c r="I52" s="48">
        <f>IFERROR(G52/H52," ")</f>
        <v>1</v>
      </c>
    </row>
    <row r="53" ht="30" customHeight="1" spans="1:12" x14ac:dyDescent="0.25">
      <c r="A53" s="24"/>
      <c r="B53" s="25"/>
      <c r="C53" s="26" t="s">
        <v>44</v>
      </c>
      <c r="D53" s="27"/>
      <c r="E53" s="49"/>
      <c r="F53" s="57" t="s">
        <v>33</v>
      </c>
      <c r="G53" s="30">
        <v>1</v>
      </c>
      <c r="H53" s="62">
        <v>2</v>
      </c>
      <c r="I53" s="32">
        <f>IFERROR(G53/H53," ")</f>
        <v>0.5</v>
      </c>
    </row>
    <row r="54" ht="30" customHeight="1" spans="1:12" x14ac:dyDescent="0.25">
      <c r="A54" s="24"/>
      <c r="B54" s="25"/>
      <c r="C54" s="34"/>
      <c r="D54" s="35"/>
      <c r="E54" s="50"/>
      <c r="F54" s="58" t="s">
        <v>34</v>
      </c>
      <c r="G54" s="38">
        <v>1</v>
      </c>
      <c r="H54" s="63">
        <v>3</v>
      </c>
      <c r="I54" s="40">
        <f>IFERROR(G54/H54," ")</f>
        <v>0.3333333333333333</v>
      </c>
    </row>
    <row r="55" ht="18.75" customHeight="1" spans="1:12" x14ac:dyDescent="0.25">
      <c r="A55" s="24"/>
      <c r="B55" s="65"/>
      <c r="C55" s="34"/>
      <c r="D55" s="35"/>
      <c r="E55" s="50"/>
      <c r="F55" s="61" t="s">
        <v>35</v>
      </c>
      <c r="G55" s="46">
        <v>0</v>
      </c>
      <c r="H55" s="60">
        <v>0</v>
      </c>
      <c r="I55" s="66" t="str">
        <f>IFERROR(G55/H55," ")</f>
        <v> </v>
      </c>
    </row>
    <row r="56" ht="18.75" customHeight="1" spans="1:12" x14ac:dyDescent="0.25">
      <c r="A56" s="24"/>
      <c r="B56" s="67" t="s">
        <v>45</v>
      </c>
      <c r="C56" s="68"/>
      <c r="D56" s="68"/>
      <c r="E56" s="68"/>
      <c r="F56" s="69"/>
      <c r="G56" s="70">
        <f>SUM(G10:G55)</f>
        <v>357</v>
      </c>
      <c r="H56" s="71">
        <f>SUM(H10:H55)</f>
        <v>682</v>
      </c>
      <c r="I56" s="72">
        <f>IFERROR(G56/H56," ")</f>
        <v>0.5234604105571847</v>
      </c>
    </row>
    <row r="57" ht="18.75" customHeight="1" spans="6:12" x14ac:dyDescent="0.25">
      <c r="F57" s="73" t="s">
        <v>46</v>
      </c>
      <c r="G57" s="74">
        <f>IFERROR(G56/10," ")</f>
        <v>35.7</v>
      </c>
      <c r="H57" s="74">
        <f>IFERROR(H56/10," ")</f>
        <v>68.2</v>
      </c>
      <c r="I57" s="75">
        <f>IFERROR(G57/H57," ")</f>
        <v>0.5234604105571847</v>
      </c>
    </row>
    <row r="58" ht="15.75" customHeight="1" spans="3:12" x14ac:dyDescent="0.25">
      <c r="C58" s="64"/>
      <c r="D58" s="64"/>
      <c r="E58" s="64"/>
      <c r="F58" s="64"/>
      <c r="I58" s="76"/>
      <c r="L58" s="76"/>
    </row>
    <row r="59" spans="9:12" x14ac:dyDescent="0.25">
      <c r="I59" s="76"/>
      <c r="L59" s="76"/>
    </row>
    <row r="60" spans="9:12" x14ac:dyDescent="0.25">
      <c r="I60" s="76"/>
      <c r="L60" s="76"/>
    </row>
    <row r="61" spans="9:12" x14ac:dyDescent="0.25">
      <c r="I61" s="76"/>
      <c r="L61" s="76"/>
    </row>
    <row r="62" spans="9:12" x14ac:dyDescent="0.25">
      <c r="I62" s="76"/>
      <c r="L62" s="76"/>
    </row>
    <row r="63" spans="9:12" x14ac:dyDescent="0.25">
      <c r="I63" s="76"/>
      <c r="L63" s="76"/>
    </row>
    <row r="64" spans="9:12" x14ac:dyDescent="0.25">
      <c r="I64" s="76"/>
      <c r="L64" s="76"/>
    </row>
    <row r="65" spans="9:12" x14ac:dyDescent="0.25">
      <c r="I65" s="76"/>
      <c r="L65" s="76"/>
    </row>
    <row r="66" spans="9:12" x14ac:dyDescent="0.25">
      <c r="I66" s="76"/>
      <c r="L66" s="76"/>
    </row>
    <row r="67" spans="9:12" x14ac:dyDescent="0.25">
      <c r="I67" s="76"/>
      <c r="L67" s="76"/>
    </row>
    <row r="68" spans="9:12" x14ac:dyDescent="0.25">
      <c r="I68" s="76"/>
      <c r="L68" s="76"/>
    </row>
    <row r="69" spans="9:12" x14ac:dyDescent="0.25">
      <c r="I69" s="76"/>
      <c r="L69" s="76"/>
    </row>
    <row r="70" spans="9:12" x14ac:dyDescent="0.25">
      <c r="I70" s="76"/>
      <c r="L70" s="76"/>
    </row>
    <row r="71" spans="9:12" x14ac:dyDescent="0.25">
      <c r="I71" s="76"/>
      <c r="L71" s="76"/>
    </row>
    <row r="72" spans="9:12" x14ac:dyDescent="0.25">
      <c r="I72" s="76"/>
      <c r="L72" s="76"/>
    </row>
    <row r="73" spans="9:12" x14ac:dyDescent="0.25">
      <c r="I73" s="76"/>
      <c r="L73" s="76"/>
    </row>
    <row r="74" spans="9:12" x14ac:dyDescent="0.25">
      <c r="I74" s="76"/>
      <c r="L74" s="76"/>
    </row>
    <row r="75" spans="9:12" x14ac:dyDescent="0.25">
      <c r="I75" s="76"/>
      <c r="L75" s="76"/>
    </row>
    <row r="76" spans="9:12" x14ac:dyDescent="0.25">
      <c r="I76" s="76"/>
      <c r="L76" s="76"/>
    </row>
    <row r="77" spans="9:12" x14ac:dyDescent="0.25">
      <c r="I77" s="76"/>
      <c r="L77" s="76"/>
    </row>
    <row r="78" spans="9:12" x14ac:dyDescent="0.25">
      <c r="I78" s="76"/>
      <c r="L78" s="76"/>
    </row>
    <row r="79" spans="9:12" x14ac:dyDescent="0.25">
      <c r="I79" s="76"/>
      <c r="L79" s="76"/>
    </row>
  </sheetData>
  <mergeCells count="26">
    <mergeCell ref="A1:I1"/>
    <mergeCell ref="A2:I2"/>
    <mergeCell ref="A3:I3"/>
    <mergeCell ref="A4:I4"/>
    <mergeCell ref="A5:I5"/>
    <mergeCell ref="A8:B9"/>
    <mergeCell ref="C8:F9"/>
    <mergeCell ref="G8:I8"/>
    <mergeCell ref="C10:E14"/>
    <mergeCell ref="A10:A56"/>
    <mergeCell ref="B10:B24"/>
    <mergeCell ref="C15:E19"/>
    <mergeCell ref="C20:E24"/>
    <mergeCell ref="C25:E26"/>
    <mergeCell ref="B25:B55"/>
    <mergeCell ref="C27:E29"/>
    <mergeCell ref="C30:E32"/>
    <mergeCell ref="C33:E35"/>
    <mergeCell ref="C36:E38"/>
    <mergeCell ref="C39:E41"/>
    <mergeCell ref="C42:E44"/>
    <mergeCell ref="C45:E46"/>
    <mergeCell ref="C47:E49"/>
    <mergeCell ref="C50:E52"/>
    <mergeCell ref="C53:E55"/>
    <mergeCell ref="B56:F56"/>
  </mergeCells>
  <conditionalFormatting sqref="I10:I56">
    <cfRule type="expression" dxfId="0" priority="1">
      <formula>AND(ISNUMBER(I10),I10&gt;1)</formula>
    </cfRule>
    <cfRule type="expression" dxfId="1" priority="2">
      <formula>AND(ISNUMBER(I10),I10&gt;=0.7,I10&lt;=1)</formula>
    </cfRule>
    <cfRule type="expression" dxfId="2" priority="3">
      <formula>AND(ISNUMBER(I10),I10&gt;=0.4,I10&lt;0.7)</formula>
    </cfRule>
    <cfRule type="expression" dxfId="3" priority="4">
      <formula>AND(ISNUMBER(I10),I10&lt;0.4)</formula>
    </cfRule>
  </conditionalFormatting>
  <printOptions horizontalCentered="1" verticalCentered="1"/>
  <pageMargins left="0" right="0" top="0" bottom="0" header="0" footer="0"/>
  <pageSetup orientation="landscape" horizontalDpi="4294967295" verticalDpi="4294967295" scale="46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 DE META-LOGRO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2026-10-17T00:09:31Z</dcterms:modified>
</cp:coreProperties>
</file>