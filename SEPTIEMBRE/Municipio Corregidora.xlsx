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SEPTIEMBRE\"/>
    </mc:Choice>
  </mc:AlternateContent>
  <xr:revisionPtr revIDLastSave="0" documentId="13_ncr:1_{EF19EB96-9A33-433B-9692-427DDBC18EEE}" xr6:coauthVersionLast="47" xr6:coauthVersionMax="47" xr10:uidLastSave="{00000000-0000-0000-0000-000000000000}"/>
  <bookViews>
    <workbookView xWindow="-120" yWindow="-120" windowWidth="24240" windowHeight="13140" tabRatio="868" firstSheet="1" activeTab="9" xr2:uid="{00000000-000D-0000-FFFF-FFFF00000000}"/>
  </bookViews>
  <sheets>
    <sheet name="SANTA BÁRBARA" sheetId="20" r:id="rId1"/>
    <sheet name="LOS ÁNGELES" sheetId="45" r:id="rId2"/>
    <sheet name="JOAQUÍN H." sheetId="46" r:id="rId3"/>
    <sheet name="LOS OLVERA" sheetId="47" r:id="rId4"/>
    <sheet name="SAN JOSÉ DE LOS OLVERA" sheetId="48" r:id="rId5"/>
    <sheet name="PRESA DE BRAVO" sheetId="49" r:id="rId6"/>
    <sheet name="LA NEGRETA" sheetId="50" r:id="rId7"/>
    <sheet name="FAM CORREGIDORA" sheetId="51" r:id="rId8"/>
    <sheet name="EMILIANO ZAPATA" sheetId="52" r:id="rId9"/>
    <sheet name="GENERAL" sheetId="44" r:id="rId10"/>
  </sheets>
  <definedNames>
    <definedName name="_xlnm.Print_Area" localSheetId="8">'EMILIANO ZAPATA'!$A$1:$P$86</definedName>
    <definedName name="_xlnm.Print_Area" localSheetId="7">'FAM CORREGIDORA'!$A$1:$P$86</definedName>
    <definedName name="_xlnm.Print_Area" localSheetId="9">GENERAL!$A$1:$P$87</definedName>
    <definedName name="_xlnm.Print_Area" localSheetId="2">'JOAQUÍN H.'!$A$1:$P$86</definedName>
    <definedName name="_xlnm.Print_Area" localSheetId="6">'LA NEGRETA'!$A$1:$P$86</definedName>
    <definedName name="_xlnm.Print_Area" localSheetId="1">'LOS ÁNGELES'!$A$1:$P$86</definedName>
    <definedName name="_xlnm.Print_Area" localSheetId="3">'LOS OLVERA'!$A$1:$P$86</definedName>
    <definedName name="_xlnm.Print_Area" localSheetId="5">'PRESA DE BRAVO'!$A$1:$P$86</definedName>
    <definedName name="_xlnm.Print_Area" localSheetId="4">'SAN JOSÉ DE LOS OLVERA'!$A$1:$P$86</definedName>
    <definedName name="_xlnm.Print_Area" localSheetId="0">'SANTA BÁRBARA'!$A$1:$P$86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46" l="1"/>
  <c r="I52" i="46"/>
  <c r="F48" i="44" l="1"/>
  <c r="J40" i="20"/>
  <c r="I40" i="20"/>
  <c r="J38" i="20"/>
  <c r="I38" i="20"/>
  <c r="J26" i="20"/>
  <c r="I26" i="20"/>
  <c r="J48" i="45"/>
  <c r="I48" i="45"/>
  <c r="J26" i="45"/>
  <c r="I26" i="45"/>
  <c r="J14" i="45"/>
  <c r="I14" i="45"/>
  <c r="J48" i="46"/>
  <c r="I48" i="46"/>
  <c r="J34" i="46"/>
  <c r="I34" i="46"/>
  <c r="J26" i="46"/>
  <c r="I26" i="46"/>
  <c r="J48" i="47"/>
  <c r="I48" i="47"/>
  <c r="J32" i="47"/>
  <c r="I32" i="47"/>
  <c r="J30" i="48"/>
  <c r="I30" i="48"/>
  <c r="J26" i="48"/>
  <c r="I26" i="48"/>
  <c r="J48" i="49"/>
  <c r="I48" i="49"/>
  <c r="J34" i="49"/>
  <c r="I34" i="49"/>
  <c r="J48" i="50"/>
  <c r="I48" i="50"/>
  <c r="J32" i="50"/>
  <c r="I32" i="50"/>
  <c r="J26" i="50"/>
  <c r="I26" i="50"/>
  <c r="J14" i="50"/>
  <c r="I14" i="50"/>
  <c r="J48" i="51"/>
  <c r="I48" i="51"/>
  <c r="J24" i="51"/>
  <c r="I24" i="51"/>
  <c r="I22" i="52"/>
  <c r="F14" i="44"/>
  <c r="J50" i="52"/>
  <c r="J52" i="20" l="1"/>
  <c r="I52" i="20"/>
  <c r="J50" i="20"/>
  <c r="I50" i="20"/>
  <c r="J48" i="20"/>
  <c r="I48" i="20"/>
  <c r="H52" i="20"/>
  <c r="G52" i="20"/>
  <c r="J52" i="45"/>
  <c r="I52" i="45"/>
  <c r="H52" i="45"/>
  <c r="G52" i="45"/>
  <c r="H52" i="46"/>
  <c r="G52" i="46"/>
  <c r="H52" i="47"/>
  <c r="G52" i="47"/>
  <c r="J52" i="48"/>
  <c r="I52" i="48"/>
  <c r="H52" i="48"/>
  <c r="G52" i="48"/>
  <c r="J52" i="49"/>
  <c r="I52" i="49"/>
  <c r="H52" i="49"/>
  <c r="G52" i="49"/>
  <c r="J50" i="51"/>
  <c r="I50" i="51"/>
  <c r="H52" i="51"/>
  <c r="G52" i="51"/>
  <c r="J52" i="50"/>
  <c r="I52" i="50"/>
  <c r="H52" i="50"/>
  <c r="G52" i="50"/>
  <c r="J52" i="52"/>
  <c r="I52" i="52"/>
  <c r="H52" i="52"/>
  <c r="G52" i="52"/>
  <c r="F52" i="44"/>
  <c r="H52" i="44" s="1"/>
  <c r="G52" i="44" l="1"/>
  <c r="H16" i="49"/>
  <c r="G16" i="49"/>
  <c r="J30" i="20"/>
  <c r="J30" i="45"/>
  <c r="J20" i="45"/>
  <c r="J30" i="47"/>
  <c r="F40" i="44"/>
  <c r="H40" i="44" s="1"/>
  <c r="J30" i="52"/>
  <c r="J14" i="52"/>
  <c r="J16" i="52"/>
  <c r="I16" i="52"/>
  <c r="H16" i="52"/>
  <c r="G16" i="52"/>
  <c r="H40" i="52"/>
  <c r="G40" i="52"/>
  <c r="H38" i="52"/>
  <c r="G38" i="52"/>
  <c r="H26" i="51"/>
  <c r="G26" i="51"/>
  <c r="H22" i="51"/>
  <c r="G22" i="51"/>
  <c r="H18" i="51"/>
  <c r="G18" i="51"/>
  <c r="J14" i="51"/>
  <c r="I14" i="51"/>
  <c r="H14" i="51"/>
  <c r="G14" i="51"/>
  <c r="H28" i="51"/>
  <c r="G28" i="51"/>
  <c r="H34" i="51"/>
  <c r="G34" i="51"/>
  <c r="H40" i="51"/>
  <c r="G40" i="51"/>
  <c r="J36" i="51"/>
  <c r="I36" i="51"/>
  <c r="H36" i="51"/>
  <c r="G36" i="51"/>
  <c r="J38" i="51"/>
  <c r="I38" i="51"/>
  <c r="H38" i="51"/>
  <c r="G38" i="51"/>
  <c r="J30" i="50"/>
  <c r="I30" i="50"/>
  <c r="I22" i="50"/>
  <c r="J40" i="50"/>
  <c r="I40" i="50"/>
  <c r="H40" i="50"/>
  <c r="G40" i="50"/>
  <c r="J38" i="50"/>
  <c r="I38" i="50"/>
  <c r="H38" i="50"/>
  <c r="G38" i="50"/>
  <c r="J30" i="49"/>
  <c r="J40" i="49"/>
  <c r="I40" i="49"/>
  <c r="J36" i="49"/>
  <c r="I36" i="49"/>
  <c r="J32" i="49"/>
  <c r="I32" i="49"/>
  <c r="J14" i="49"/>
  <c r="I14" i="49"/>
  <c r="H40" i="49"/>
  <c r="G40" i="49"/>
  <c r="H38" i="49"/>
  <c r="G38" i="49"/>
  <c r="J14" i="48"/>
  <c r="I14" i="48"/>
  <c r="J40" i="48"/>
  <c r="I40" i="48"/>
  <c r="H40" i="48"/>
  <c r="G40" i="48"/>
  <c r="J14" i="47"/>
  <c r="I14" i="47"/>
  <c r="H40" i="47"/>
  <c r="G40" i="47"/>
  <c r="J47" i="46"/>
  <c r="I47" i="46"/>
  <c r="J40" i="46"/>
  <c r="I40" i="46"/>
  <c r="J32" i="46"/>
  <c r="I32" i="46"/>
  <c r="J30" i="46"/>
  <c r="I30" i="46"/>
  <c r="J28" i="46"/>
  <c r="I28" i="46"/>
  <c r="J18" i="46"/>
  <c r="I18" i="46"/>
  <c r="J14" i="46"/>
  <c r="I14" i="46"/>
  <c r="J46" i="20"/>
  <c r="I46" i="20"/>
  <c r="I22" i="20"/>
  <c r="J14" i="20"/>
  <c r="I14" i="20"/>
  <c r="H40" i="46"/>
  <c r="G40" i="46"/>
  <c r="G40" i="45"/>
  <c r="J18" i="45"/>
  <c r="I18" i="45"/>
  <c r="H40" i="20"/>
  <c r="H40" i="45"/>
  <c r="G38" i="45"/>
  <c r="G40" i="20"/>
  <c r="J16" i="20"/>
  <c r="I16" i="20"/>
  <c r="J45" i="20"/>
  <c r="I45" i="20"/>
  <c r="J44" i="20"/>
  <c r="I44" i="20"/>
  <c r="J43" i="20"/>
  <c r="I43" i="20"/>
  <c r="J42" i="20"/>
  <c r="I42" i="20"/>
  <c r="J35" i="20"/>
  <c r="I35" i="20"/>
  <c r="J34" i="20"/>
  <c r="I34" i="20"/>
  <c r="J33" i="20"/>
  <c r="I33" i="20"/>
  <c r="J32" i="20"/>
  <c r="I32" i="20"/>
  <c r="J31" i="20"/>
  <c r="I31" i="20"/>
  <c r="I30" i="20"/>
  <c r="J27" i="20"/>
  <c r="I27" i="20"/>
  <c r="J25" i="20"/>
  <c r="I25" i="20"/>
  <c r="J24" i="20"/>
  <c r="I24" i="20"/>
  <c r="J23" i="20"/>
  <c r="I23" i="20"/>
  <c r="J21" i="20"/>
  <c r="I21" i="20"/>
  <c r="J20" i="20"/>
  <c r="I20" i="20"/>
  <c r="J19" i="20"/>
  <c r="I19" i="20"/>
  <c r="J18" i="20"/>
  <c r="I18" i="20"/>
  <c r="J15" i="20"/>
  <c r="I15" i="20"/>
  <c r="J51" i="45"/>
  <c r="I51" i="45"/>
  <c r="J50" i="45"/>
  <c r="I50" i="45"/>
  <c r="J47" i="45"/>
  <c r="I47" i="45"/>
  <c r="J46" i="45"/>
  <c r="I46" i="45"/>
  <c r="J45" i="45"/>
  <c r="I45" i="45"/>
  <c r="J44" i="45"/>
  <c r="I44" i="45"/>
  <c r="J38" i="45"/>
  <c r="I38" i="45"/>
  <c r="J37" i="45"/>
  <c r="I37" i="45"/>
  <c r="J36" i="45"/>
  <c r="I36" i="45"/>
  <c r="J33" i="45"/>
  <c r="I33" i="45"/>
  <c r="J32" i="45"/>
  <c r="I32" i="45"/>
  <c r="J31" i="45"/>
  <c r="I31" i="45"/>
  <c r="I30" i="45"/>
  <c r="J29" i="45"/>
  <c r="I29" i="45"/>
  <c r="J28" i="45"/>
  <c r="I28" i="45"/>
  <c r="J27" i="45"/>
  <c r="I27" i="45"/>
  <c r="J25" i="45"/>
  <c r="I25" i="45"/>
  <c r="J24" i="45"/>
  <c r="I24" i="45"/>
  <c r="J21" i="45"/>
  <c r="I21" i="45"/>
  <c r="I20" i="45"/>
  <c r="J16" i="45"/>
  <c r="I16" i="45"/>
  <c r="J15" i="45"/>
  <c r="I15" i="45"/>
  <c r="J51" i="46"/>
  <c r="I51" i="46"/>
  <c r="J50" i="46"/>
  <c r="I50" i="46"/>
  <c r="J46" i="46"/>
  <c r="I46" i="46"/>
  <c r="J45" i="46"/>
  <c r="I45" i="46"/>
  <c r="J44" i="46"/>
  <c r="I44" i="46"/>
  <c r="J43" i="46"/>
  <c r="I43" i="46"/>
  <c r="J42" i="46"/>
  <c r="I42" i="46"/>
  <c r="J39" i="46"/>
  <c r="I39" i="46"/>
  <c r="J38" i="46"/>
  <c r="I38" i="46"/>
  <c r="J37" i="46"/>
  <c r="I37" i="46"/>
  <c r="J36" i="46"/>
  <c r="I36" i="46"/>
  <c r="J33" i="46"/>
  <c r="I33" i="46"/>
  <c r="J25" i="46"/>
  <c r="I25" i="46"/>
  <c r="J24" i="46"/>
  <c r="I24" i="46"/>
  <c r="J21" i="46"/>
  <c r="I21" i="46"/>
  <c r="J20" i="46"/>
  <c r="I20" i="46"/>
  <c r="J19" i="46"/>
  <c r="I19" i="46"/>
  <c r="J16" i="46"/>
  <c r="I16" i="46"/>
  <c r="J51" i="47"/>
  <c r="I51" i="47"/>
  <c r="J50" i="47"/>
  <c r="I50" i="47"/>
  <c r="J47" i="47"/>
  <c r="I47" i="47"/>
  <c r="J46" i="47"/>
  <c r="I46" i="47"/>
  <c r="J45" i="47"/>
  <c r="I45" i="47"/>
  <c r="J44" i="47"/>
  <c r="I44" i="47"/>
  <c r="J43" i="47"/>
  <c r="I43" i="47"/>
  <c r="J31" i="47"/>
  <c r="I31" i="47"/>
  <c r="I30" i="47"/>
  <c r="J29" i="47"/>
  <c r="I29" i="47"/>
  <c r="J28" i="47"/>
  <c r="I28" i="47"/>
  <c r="J27" i="47"/>
  <c r="I27" i="47"/>
  <c r="J21" i="47"/>
  <c r="I21" i="47"/>
  <c r="J20" i="47"/>
  <c r="I20" i="47"/>
  <c r="J19" i="47"/>
  <c r="I19" i="47"/>
  <c r="J18" i="47"/>
  <c r="I18" i="47"/>
  <c r="J15" i="47"/>
  <c r="I15" i="47"/>
  <c r="J51" i="48"/>
  <c r="I51" i="48"/>
  <c r="J50" i="48"/>
  <c r="I50" i="48"/>
  <c r="J49" i="48"/>
  <c r="I49" i="48"/>
  <c r="J48" i="48"/>
  <c r="I48" i="48"/>
  <c r="J47" i="48"/>
  <c r="I47" i="48"/>
  <c r="J46" i="48"/>
  <c r="I46" i="48"/>
  <c r="J45" i="48"/>
  <c r="I45" i="48"/>
  <c r="J44" i="48"/>
  <c r="I44" i="48"/>
  <c r="J43" i="48"/>
  <c r="I43" i="48"/>
  <c r="J42" i="48"/>
  <c r="I42" i="48"/>
  <c r="J39" i="48"/>
  <c r="I39" i="48"/>
  <c r="J38" i="48"/>
  <c r="I38" i="48"/>
  <c r="J37" i="48"/>
  <c r="I37" i="48"/>
  <c r="J36" i="48"/>
  <c r="I36" i="48"/>
  <c r="J35" i="48"/>
  <c r="I35" i="48"/>
  <c r="J34" i="48"/>
  <c r="I34" i="48"/>
  <c r="J31" i="48"/>
  <c r="I31" i="48"/>
  <c r="J29" i="48"/>
  <c r="I29" i="48"/>
  <c r="J28" i="48"/>
  <c r="I28" i="48"/>
  <c r="J27" i="48"/>
  <c r="I27" i="48"/>
  <c r="J25" i="48"/>
  <c r="I25" i="48"/>
  <c r="J24" i="48"/>
  <c r="I24" i="48"/>
  <c r="J23" i="48"/>
  <c r="I23" i="48"/>
  <c r="I22" i="48"/>
  <c r="J21" i="48"/>
  <c r="I21" i="48"/>
  <c r="J20" i="48"/>
  <c r="I20" i="48"/>
  <c r="J19" i="48"/>
  <c r="I19" i="48"/>
  <c r="J18" i="48"/>
  <c r="I18" i="48"/>
  <c r="J16" i="48"/>
  <c r="I16" i="48"/>
  <c r="J15" i="48"/>
  <c r="I15" i="48"/>
  <c r="J51" i="49"/>
  <c r="I51" i="49"/>
  <c r="J50" i="49"/>
  <c r="I50" i="49"/>
  <c r="J47" i="49"/>
  <c r="I47" i="49"/>
  <c r="J46" i="49"/>
  <c r="I46" i="49"/>
  <c r="J45" i="49"/>
  <c r="I45" i="49"/>
  <c r="J44" i="49"/>
  <c r="I44" i="49"/>
  <c r="J43" i="49"/>
  <c r="I43" i="49"/>
  <c r="J42" i="49"/>
  <c r="I42" i="49"/>
  <c r="I41" i="49"/>
  <c r="J39" i="49"/>
  <c r="I39" i="49"/>
  <c r="J38" i="49"/>
  <c r="I38" i="49"/>
  <c r="J37" i="49"/>
  <c r="I37" i="49"/>
  <c r="J31" i="49"/>
  <c r="I31" i="49"/>
  <c r="I30" i="49"/>
  <c r="J29" i="49"/>
  <c r="I29" i="49"/>
  <c r="J28" i="49"/>
  <c r="I28" i="49"/>
  <c r="J27" i="49"/>
  <c r="I27" i="49"/>
  <c r="J26" i="49"/>
  <c r="I26" i="49"/>
  <c r="J25" i="49"/>
  <c r="I25" i="49"/>
  <c r="J24" i="49"/>
  <c r="I24" i="49"/>
  <c r="J23" i="49"/>
  <c r="I23" i="49"/>
  <c r="I22" i="49"/>
  <c r="J21" i="49"/>
  <c r="I21" i="49"/>
  <c r="J20" i="49"/>
  <c r="I20" i="49"/>
  <c r="J19" i="49"/>
  <c r="I19" i="49"/>
  <c r="J18" i="49"/>
  <c r="I18" i="49"/>
  <c r="J16" i="49"/>
  <c r="I16" i="49"/>
  <c r="J15" i="49"/>
  <c r="I15" i="49"/>
  <c r="J51" i="50"/>
  <c r="I51" i="50"/>
  <c r="J50" i="50"/>
  <c r="I50" i="50"/>
  <c r="J49" i="50"/>
  <c r="I49" i="50"/>
  <c r="J47" i="50"/>
  <c r="I47" i="50"/>
  <c r="J46" i="50"/>
  <c r="I46" i="50"/>
  <c r="J45" i="50"/>
  <c r="I45" i="50"/>
  <c r="J44" i="50"/>
  <c r="I44" i="50"/>
  <c r="J43" i="50"/>
  <c r="I43" i="50"/>
  <c r="J42" i="50"/>
  <c r="I42" i="50"/>
  <c r="I41" i="50"/>
  <c r="J39" i="50"/>
  <c r="I39" i="50"/>
  <c r="J37" i="50"/>
  <c r="I37" i="50"/>
  <c r="J36" i="50"/>
  <c r="I36" i="50"/>
  <c r="J35" i="50"/>
  <c r="I35" i="50"/>
  <c r="J34" i="50"/>
  <c r="I34" i="50"/>
  <c r="J33" i="50"/>
  <c r="I33" i="50"/>
  <c r="J31" i="50"/>
  <c r="I31" i="50"/>
  <c r="J29" i="50"/>
  <c r="I29" i="50"/>
  <c r="J28" i="50"/>
  <c r="I28" i="50"/>
  <c r="J27" i="50"/>
  <c r="I27" i="50"/>
  <c r="J25" i="50"/>
  <c r="I25" i="50"/>
  <c r="J24" i="50"/>
  <c r="I24" i="50"/>
  <c r="J23" i="50"/>
  <c r="I23" i="50"/>
  <c r="J21" i="50"/>
  <c r="I21" i="50"/>
  <c r="J20" i="50"/>
  <c r="I20" i="50"/>
  <c r="J19" i="50"/>
  <c r="I19" i="50"/>
  <c r="J18" i="50"/>
  <c r="I18" i="50"/>
  <c r="J16" i="50"/>
  <c r="I16" i="50"/>
  <c r="J51" i="51"/>
  <c r="I51" i="51"/>
  <c r="J47" i="51"/>
  <c r="I47" i="51"/>
  <c r="J46" i="51"/>
  <c r="I46" i="51"/>
  <c r="J45" i="51"/>
  <c r="I45" i="51"/>
  <c r="J44" i="51"/>
  <c r="I44" i="51"/>
  <c r="J43" i="51"/>
  <c r="I43" i="51"/>
  <c r="J42" i="51"/>
  <c r="I42" i="51"/>
  <c r="J39" i="51"/>
  <c r="I39" i="51"/>
  <c r="J15" i="51"/>
  <c r="I15" i="51"/>
  <c r="J51" i="52"/>
  <c r="I51" i="52"/>
  <c r="I50" i="52"/>
  <c r="J49" i="52"/>
  <c r="I49" i="52"/>
  <c r="J48" i="52"/>
  <c r="I48" i="52"/>
  <c r="J47" i="52"/>
  <c r="I47" i="52"/>
  <c r="J46" i="52"/>
  <c r="I46" i="52"/>
  <c r="J45" i="52"/>
  <c r="I45" i="52"/>
  <c r="J37" i="52"/>
  <c r="I37" i="52"/>
  <c r="J36" i="52"/>
  <c r="I36" i="52"/>
  <c r="J35" i="52"/>
  <c r="I35" i="52"/>
  <c r="J34" i="52"/>
  <c r="I34" i="52"/>
  <c r="J33" i="52"/>
  <c r="I33" i="52"/>
  <c r="J32" i="52"/>
  <c r="I32" i="52"/>
  <c r="J31" i="52"/>
  <c r="I31" i="52"/>
  <c r="I30" i="52"/>
  <c r="J29" i="52"/>
  <c r="I29" i="52"/>
  <c r="J28" i="52"/>
  <c r="I28" i="52"/>
  <c r="J27" i="52"/>
  <c r="I27" i="52"/>
  <c r="J21" i="52"/>
  <c r="I21" i="52"/>
  <c r="J20" i="52"/>
  <c r="I20" i="52"/>
  <c r="J19" i="52"/>
  <c r="I19" i="52"/>
  <c r="J18" i="52"/>
  <c r="I18" i="52"/>
  <c r="J15" i="52"/>
  <c r="I15" i="52"/>
  <c r="I14" i="52"/>
  <c r="H50" i="20"/>
  <c r="G50" i="20"/>
  <c r="H50" i="45"/>
  <c r="G50" i="45"/>
  <c r="H50" i="46"/>
  <c r="G50" i="46"/>
  <c r="H50" i="47"/>
  <c r="G50" i="47"/>
  <c r="H50" i="48"/>
  <c r="G50" i="48"/>
  <c r="H50" i="49"/>
  <c r="G50" i="49"/>
  <c r="H50" i="50"/>
  <c r="G50" i="50"/>
  <c r="H50" i="51"/>
  <c r="G50" i="51"/>
  <c r="H50" i="52"/>
  <c r="G50" i="52"/>
  <c r="H48" i="20"/>
  <c r="G48" i="20"/>
  <c r="H48" i="45"/>
  <c r="G48" i="45"/>
  <c r="H48" i="46"/>
  <c r="G48" i="46"/>
  <c r="H48" i="47"/>
  <c r="G48" i="47"/>
  <c r="H48" i="48"/>
  <c r="G48" i="48"/>
  <c r="H48" i="49"/>
  <c r="G48" i="49"/>
  <c r="H48" i="50"/>
  <c r="G48" i="50"/>
  <c r="H48" i="51"/>
  <c r="G48" i="51"/>
  <c r="H48" i="52"/>
  <c r="G48" i="52"/>
  <c r="H46" i="20"/>
  <c r="G46" i="20"/>
  <c r="H46" i="45"/>
  <c r="G46" i="45"/>
  <c r="H46" i="46"/>
  <c r="G46" i="46"/>
  <c r="H46" i="47"/>
  <c r="G46" i="47"/>
  <c r="H46" i="48"/>
  <c r="G46" i="48"/>
  <c r="H46" i="49"/>
  <c r="G46" i="49"/>
  <c r="H46" i="50"/>
  <c r="G46" i="50"/>
  <c r="H46" i="51"/>
  <c r="G46" i="51"/>
  <c r="H46" i="52"/>
  <c r="G46" i="52"/>
  <c r="H44" i="20"/>
  <c r="G44" i="20"/>
  <c r="H44" i="45"/>
  <c r="G44" i="45"/>
  <c r="H44" i="46"/>
  <c r="G44" i="46"/>
  <c r="H44" i="47"/>
  <c r="G44" i="47"/>
  <c r="H44" i="48"/>
  <c r="G44" i="48"/>
  <c r="H44" i="49"/>
  <c r="G44" i="49"/>
  <c r="H44" i="50"/>
  <c r="G44" i="50"/>
  <c r="H44" i="51"/>
  <c r="G44" i="51"/>
  <c r="H44" i="52"/>
  <c r="G44" i="52"/>
  <c r="H42" i="20"/>
  <c r="G42" i="20"/>
  <c r="H42" i="45"/>
  <c r="G42" i="45"/>
  <c r="H42" i="46"/>
  <c r="G42" i="46"/>
  <c r="H42" i="47"/>
  <c r="G42" i="47"/>
  <c r="H42" i="48"/>
  <c r="G42" i="48"/>
  <c r="H42" i="49"/>
  <c r="G42" i="49"/>
  <c r="H42" i="50"/>
  <c r="G42" i="50"/>
  <c r="H42" i="51"/>
  <c r="G42" i="51"/>
  <c r="H42" i="52"/>
  <c r="G42" i="52"/>
  <c r="H38" i="20"/>
  <c r="G38" i="20"/>
  <c r="H38" i="45"/>
  <c r="H38" i="46"/>
  <c r="G38" i="46"/>
  <c r="H38" i="47"/>
  <c r="G38" i="47"/>
  <c r="H38" i="48"/>
  <c r="G38" i="48"/>
  <c r="H36" i="20"/>
  <c r="G36" i="20"/>
  <c r="H36" i="45"/>
  <c r="G36" i="45"/>
  <c r="H36" i="46"/>
  <c r="G36" i="46"/>
  <c r="H36" i="47"/>
  <c r="G36" i="47"/>
  <c r="H36" i="48"/>
  <c r="G36" i="48"/>
  <c r="H36" i="49"/>
  <c r="G36" i="49"/>
  <c r="H36" i="50"/>
  <c r="G36" i="50"/>
  <c r="H36" i="52"/>
  <c r="G36" i="52"/>
  <c r="H34" i="20"/>
  <c r="G34" i="20"/>
  <c r="H34" i="45"/>
  <c r="G34" i="45"/>
  <c r="H34" i="46"/>
  <c r="G34" i="46"/>
  <c r="H34" i="47"/>
  <c r="G34" i="47"/>
  <c r="H34" i="48"/>
  <c r="G34" i="48"/>
  <c r="H34" i="49"/>
  <c r="G34" i="49"/>
  <c r="H34" i="50"/>
  <c r="G34" i="50"/>
  <c r="H34" i="52"/>
  <c r="G34" i="52"/>
  <c r="H32" i="20"/>
  <c r="G32" i="20"/>
  <c r="H32" i="45"/>
  <c r="G32" i="45"/>
  <c r="H32" i="46"/>
  <c r="G32" i="46"/>
  <c r="H32" i="47"/>
  <c r="G32" i="47"/>
  <c r="H32" i="48"/>
  <c r="G32" i="48"/>
  <c r="H32" i="49"/>
  <c r="G32" i="49"/>
  <c r="H32" i="50"/>
  <c r="G32" i="50"/>
  <c r="H32" i="51"/>
  <c r="G32" i="51"/>
  <c r="H32" i="52"/>
  <c r="G32" i="52"/>
  <c r="H30" i="20"/>
  <c r="G30" i="20"/>
  <c r="H30" i="45"/>
  <c r="G30" i="45"/>
  <c r="H30" i="46"/>
  <c r="G30" i="46"/>
  <c r="H30" i="47"/>
  <c r="G30" i="47"/>
  <c r="H30" i="48"/>
  <c r="G30" i="48"/>
  <c r="H30" i="49"/>
  <c r="G30" i="49"/>
  <c r="H30" i="50"/>
  <c r="G30" i="50"/>
  <c r="H30" i="51"/>
  <c r="G30" i="51"/>
  <c r="H30" i="52"/>
  <c r="G30" i="52"/>
  <c r="H28" i="20"/>
  <c r="G28" i="20"/>
  <c r="H28" i="45"/>
  <c r="G28" i="45"/>
  <c r="H28" i="46"/>
  <c r="G28" i="46"/>
  <c r="H28" i="47"/>
  <c r="G28" i="47"/>
  <c r="H28" i="48"/>
  <c r="G28" i="48"/>
  <c r="H28" i="49"/>
  <c r="G28" i="49"/>
  <c r="H28" i="50"/>
  <c r="G28" i="50"/>
  <c r="H28" i="52"/>
  <c r="G28" i="52"/>
  <c r="H26" i="20"/>
  <c r="G26" i="20"/>
  <c r="H26" i="45"/>
  <c r="G26" i="45"/>
  <c r="H26" i="46"/>
  <c r="G26" i="46"/>
  <c r="H26" i="47"/>
  <c r="G26" i="47"/>
  <c r="H26" i="48"/>
  <c r="G26" i="48"/>
  <c r="H26" i="49"/>
  <c r="G26" i="49"/>
  <c r="H26" i="50"/>
  <c r="G26" i="50"/>
  <c r="H26" i="52"/>
  <c r="G26" i="52"/>
  <c r="H24" i="20"/>
  <c r="G24" i="20"/>
  <c r="H24" i="45"/>
  <c r="G24" i="45"/>
  <c r="H24" i="46"/>
  <c r="G24" i="46"/>
  <c r="H24" i="47"/>
  <c r="G24" i="47"/>
  <c r="H24" i="48"/>
  <c r="G24" i="48"/>
  <c r="H24" i="49"/>
  <c r="G24" i="49"/>
  <c r="H24" i="50"/>
  <c r="G24" i="50"/>
  <c r="H24" i="51"/>
  <c r="G24" i="51"/>
  <c r="H24" i="52"/>
  <c r="G24" i="52"/>
  <c r="H22" i="20"/>
  <c r="G22" i="20"/>
  <c r="H22" i="45"/>
  <c r="G22" i="45"/>
  <c r="H22" i="46"/>
  <c r="G22" i="46"/>
  <c r="H22" i="47"/>
  <c r="G22" i="47"/>
  <c r="H22" i="48"/>
  <c r="G22" i="48"/>
  <c r="H22" i="49"/>
  <c r="G22" i="49"/>
  <c r="H22" i="50"/>
  <c r="G22" i="50"/>
  <c r="H22" i="52"/>
  <c r="G22" i="52"/>
  <c r="H20" i="20"/>
  <c r="G20" i="20"/>
  <c r="H20" i="45"/>
  <c r="G20" i="45"/>
  <c r="H20" i="46"/>
  <c r="G20" i="46"/>
  <c r="H20" i="47"/>
  <c r="G20" i="47"/>
  <c r="H20" i="48"/>
  <c r="G20" i="48"/>
  <c r="H20" i="49"/>
  <c r="G20" i="49"/>
  <c r="H20" i="50"/>
  <c r="G20" i="50"/>
  <c r="H20" i="51"/>
  <c r="G20" i="51"/>
  <c r="H20" i="52"/>
  <c r="G20" i="52"/>
  <c r="H18" i="20"/>
  <c r="G18" i="20"/>
  <c r="H18" i="45"/>
  <c r="G18" i="45"/>
  <c r="H18" i="46"/>
  <c r="G18" i="46"/>
  <c r="H18" i="47"/>
  <c r="G18" i="47"/>
  <c r="H18" i="48"/>
  <c r="G18" i="48"/>
  <c r="H18" i="49"/>
  <c r="G18" i="49"/>
  <c r="H18" i="50"/>
  <c r="G18" i="50"/>
  <c r="H18" i="52"/>
  <c r="G18" i="52"/>
  <c r="H16" i="20"/>
  <c r="G16" i="20"/>
  <c r="H16" i="45"/>
  <c r="G16" i="45"/>
  <c r="H16" i="46"/>
  <c r="G16" i="46"/>
  <c r="H16" i="47"/>
  <c r="G16" i="47"/>
  <c r="H16" i="48"/>
  <c r="G16" i="48"/>
  <c r="H16" i="50"/>
  <c r="G16" i="50"/>
  <c r="H16" i="51"/>
  <c r="G16" i="51"/>
  <c r="H14" i="20"/>
  <c r="H14" i="45"/>
  <c r="H14" i="46"/>
  <c r="H14" i="47"/>
  <c r="H14" i="48"/>
  <c r="H14" i="49"/>
  <c r="H14" i="50"/>
  <c r="H14" i="52"/>
  <c r="G14" i="20"/>
  <c r="G14" i="45"/>
  <c r="G14" i="46"/>
  <c r="G14" i="47"/>
  <c r="G14" i="48"/>
  <c r="G14" i="49"/>
  <c r="G14" i="50"/>
  <c r="G14" i="52"/>
  <c r="G40" i="44" l="1"/>
  <c r="H10" i="20"/>
  <c r="F16" i="44"/>
  <c r="F18" i="44"/>
  <c r="F20" i="44"/>
  <c r="F22" i="44"/>
  <c r="F24" i="44"/>
  <c r="F26" i="44"/>
  <c r="F28" i="44"/>
  <c r="F30" i="44"/>
  <c r="F32" i="44"/>
  <c r="F34" i="44"/>
  <c r="F36" i="44"/>
  <c r="F38" i="44"/>
  <c r="F42" i="44"/>
  <c r="F44" i="44"/>
  <c r="F46" i="44"/>
  <c r="F50" i="44"/>
  <c r="M15" i="44"/>
  <c r="M17" i="44"/>
  <c r="H16" i="44" l="1"/>
  <c r="G16" i="44"/>
  <c r="G48" i="44"/>
  <c r="H48" i="44"/>
  <c r="G50" i="44"/>
  <c r="H50" i="44"/>
  <c r="H14" i="44"/>
  <c r="G14" i="44"/>
  <c r="H46" i="44"/>
  <c r="G46" i="44"/>
  <c r="H44" i="44"/>
  <c r="G44" i="44"/>
  <c r="H42" i="44"/>
  <c r="G42" i="44"/>
  <c r="H28" i="44"/>
  <c r="G28" i="44"/>
  <c r="H20" i="44"/>
  <c r="G20" i="44"/>
  <c r="H26" i="44"/>
  <c r="G26" i="44"/>
  <c r="H32" i="44"/>
  <c r="G32" i="44"/>
  <c r="H24" i="44"/>
  <c r="G24" i="44"/>
  <c r="H36" i="44"/>
  <c r="G36" i="44"/>
  <c r="G34" i="44"/>
  <c r="H34" i="44"/>
  <c r="G18" i="44"/>
  <c r="H18" i="44"/>
  <c r="H38" i="44"/>
  <c r="G38" i="44"/>
  <c r="H30" i="44"/>
  <c r="G30" i="44"/>
  <c r="H22" i="44"/>
  <c r="G22" i="44"/>
  <c r="M16" i="44"/>
  <c r="M18" i="44"/>
  <c r="M14" i="44"/>
  <c r="M18" i="52"/>
  <c r="M17" i="52"/>
  <c r="M16" i="52"/>
  <c r="M15" i="52"/>
  <c r="M14" i="52"/>
  <c r="H10" i="52"/>
  <c r="H8" i="52"/>
  <c r="M18" i="51"/>
  <c r="M17" i="51"/>
  <c r="M16" i="51"/>
  <c r="M15" i="51"/>
  <c r="M14" i="51"/>
  <c r="H10" i="51"/>
  <c r="H8" i="51"/>
  <c r="M18" i="50"/>
  <c r="M17" i="50"/>
  <c r="M16" i="50"/>
  <c r="M15" i="50"/>
  <c r="M14" i="50"/>
  <c r="H10" i="50"/>
  <c r="H8" i="50"/>
  <c r="M18" i="49"/>
  <c r="M17" i="49"/>
  <c r="M16" i="49"/>
  <c r="M15" i="49"/>
  <c r="M14" i="49"/>
  <c r="H10" i="49"/>
  <c r="H8" i="49"/>
  <c r="M18" i="48"/>
  <c r="M17" i="48"/>
  <c r="M16" i="48"/>
  <c r="M15" i="48"/>
  <c r="M14" i="48"/>
  <c r="H10" i="48"/>
  <c r="H8" i="48"/>
  <c r="M18" i="47"/>
  <c r="M17" i="47"/>
  <c r="M16" i="47"/>
  <c r="M15" i="47"/>
  <c r="M14" i="47"/>
  <c r="H10" i="47"/>
  <c r="H8" i="47"/>
  <c r="M18" i="46"/>
  <c r="M17" i="46"/>
  <c r="M16" i="46"/>
  <c r="M15" i="46"/>
  <c r="M14" i="46"/>
  <c r="H10" i="46"/>
  <c r="H8" i="46"/>
  <c r="M18" i="45"/>
  <c r="M17" i="45"/>
  <c r="M16" i="45"/>
  <c r="M15" i="45"/>
  <c r="M14" i="45"/>
  <c r="H10" i="45"/>
  <c r="H8" i="45"/>
  <c r="H8" i="20"/>
  <c r="M15" i="20" l="1"/>
  <c r="M14" i="20" l="1"/>
  <c r="M18" i="20"/>
  <c r="M17" i="20"/>
  <c r="M16" i="20"/>
</calcChain>
</file>

<file path=xl/sharedStrings.xml><?xml version="1.0" encoding="utf-8"?>
<sst xmlns="http://schemas.openxmlformats.org/spreadsheetml/2006/main" count="1331" uniqueCount="123">
  <si>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</si>
  <si>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</si>
  <si>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</si>
  <si>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</si>
  <si>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</si>
  <si>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</si>
  <si>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</si>
  <si>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</si>
  <si>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</si>
  <si>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</si>
  <si>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</si>
  <si>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</si>
  <si>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</si>
  <si>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</si>
  <si>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</si>
  <si>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</si>
  <si>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</si>
  <si>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</si>
  <si>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</si>
  <si>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</si>
  <si>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</si>
  <si>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</si>
  <si>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</si>
  <si>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</si>
  <si>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</si>
  <si>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</si>
  <si>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</si>
  <si>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</si>
  <si>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</si>
  <si>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</si>
  <si>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</si>
  <si>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</si>
  <si>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</si>
  <si>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</si>
  <si>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</si>
  <si>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</si>
  <si>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</si>
  <si>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</si>
  <si>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</si>
  <si>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</si>
  <si>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</si>
  <si>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</si>
  <si>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</si>
  <si>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</si>
  <si>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</si>
  <si>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</si>
  <si>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</si>
  <si>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</si>
  <si>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</si>
  <si>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</si>
  <si>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</si>
  <si>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</si>
  <si>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</si>
  <si>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</si>
  <si>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</si>
  <si>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</si>
  <si>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</si>
  <si>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</si>
  <si>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</si>
  <si>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</si>
  <si>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</si>
  <si>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</si>
  <si>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</si>
  <si>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t>TEMPERATURA A LA RECEPCIÓN:</t>
  </si>
  <si>
    <t>FECHA DE  RECEPCIÓN: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</si>
  <si>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</si>
  <si>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</si>
  <si>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</si>
  <si>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</si>
  <si>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</si>
  <si>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</si>
  <si>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</si>
  <si>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</si>
  <si>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</si>
  <si>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</si>
  <si>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</si>
  <si>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</si>
  <si>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</si>
  <si>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JURISDICCIÓN SANITARIA N.1</t>
  </si>
  <si>
    <t>LIC. LESLIE LÓPEZ ENCISO</t>
  </si>
  <si>
    <t>C.S SANTA BÁRBARA</t>
  </si>
  <si>
    <t>C.S LOS ÁNGELES</t>
  </si>
  <si>
    <t>C.S JOAQUÍN HERRERA (LA CUEVA)</t>
  </si>
  <si>
    <t>C.S LOS OLVERA</t>
  </si>
  <si>
    <t>C.S. SAN JOSÉ DE LOS OLVERA</t>
  </si>
  <si>
    <t>C.S PRESA DE BRAVO</t>
  </si>
  <si>
    <t>C.S LA NEGRETA</t>
  </si>
  <si>
    <t>EMILIANO ZAPATA</t>
  </si>
  <si>
    <t>MUNICIPIO CORREGIDORA</t>
  </si>
  <si>
    <t>San Francisco S/N, Los Angeles, Corregidora.</t>
  </si>
  <si>
    <t xml:space="preserve">SIN DOMICILIO </t>
  </si>
  <si>
    <t>Sabino S/N, Los Olvera, Corregidora.</t>
  </si>
  <si>
    <t>Monterrey S/N, San José de los Olvera, Corregidora</t>
  </si>
  <si>
    <t>21 de Marzo S/N, La Negreta, Corregidora</t>
  </si>
  <si>
    <t>Av. El Jacal S/N, Emiliano Zapata, Corregidora.</t>
  </si>
  <si>
    <t>25311.020-000-0150-05</t>
  </si>
  <si>
    <t>25311.020-000-0146-03</t>
  </si>
  <si>
    <t>Luis Echeverria S/N, Santa Barbara, Corregidora.</t>
  </si>
  <si>
    <t>Carretera a Coronero S/N, KM 13.5, Corregidora</t>
  </si>
  <si>
    <t>25311.020-000-3808-02</t>
  </si>
  <si>
    <t>FAM CORREGIDORA</t>
  </si>
  <si>
    <t>L.E LIZBETH URIBE PANTOJA</t>
  </si>
  <si>
    <t>ENF. ALMA DELIA HERNÁNDEZ ESQUIVEL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</si>
  <si>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</si>
  <si>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25311.020-000-6317-01</t>
  </si>
  <si>
    <t>25311.020-000-6501-02</t>
  </si>
  <si>
    <t>VACUNA HEPATITIS A UNIDOSIS</t>
  </si>
  <si>
    <t>25311.020-000-6056-00</t>
  </si>
  <si>
    <t>25311.020-000-6509-01</t>
  </si>
  <si>
    <t>VACUNA VRS</t>
  </si>
  <si>
    <t>SEPTIEMBRE</t>
  </si>
  <si>
    <t>LC5884</t>
  </si>
  <si>
    <t>AROLE168AH</t>
  </si>
  <si>
    <t>Y3C48D1</t>
  </si>
  <si>
    <t>AHAVC215AA</t>
  </si>
  <si>
    <t>0125N120A</t>
  </si>
  <si>
    <t>0374MA108</t>
  </si>
  <si>
    <t>2825Q001A</t>
  </si>
  <si>
    <t>AC37B542BD</t>
  </si>
  <si>
    <t>2805X003A</t>
  </si>
  <si>
    <t>0135N027B</t>
  </si>
  <si>
    <t>MK3145</t>
  </si>
  <si>
    <t>25311.020-000-3825-01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</si>
</sst>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21" x14ac:knownFonts="1">
    <font>
      <sz val="10"/>
      <name val="Arial"/>
    </font>
    <font>
      <sz val="10"/>
      <name val="Arial"/>
      <family val="2"/>
    </font>
    <font>
      <sz val="16"/>
      <name val="Arial Nova"/>
      <family val="2"/>
    </font>
    <font>
      <b/>
      <sz val="16"/>
      <name val="Arial Nova"/>
      <family val="2"/>
    </font>
    <font>
      <b/>
      <sz val="18"/>
      <color indexed="8"/>
      <name val="Arial Nova"/>
      <family val="2"/>
    </font>
    <font>
      <b/>
      <sz val="18"/>
      <name val="Arial Nova"/>
      <family val="2"/>
    </font>
    <font>
      <b/>
      <u/>
      <sz val="16"/>
      <name val="Arial Nova"/>
      <family val="2"/>
    </font>
    <font>
      <sz val="18"/>
      <name val="Arial Nova"/>
      <family val="2"/>
    </font>
    <font>
      <b/>
      <sz val="16"/>
      <color indexed="8"/>
      <name val="Arial Nova"/>
      <family val="2"/>
    </font>
    <font>
      <sz val="10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  <font>
      <b/>
      <sz val="10"/>
      <name val="Arial Nova"/>
      <family val="2"/>
    </font>
    <font>
      <b/>
      <sz val="24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sz val="20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9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13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2" fillId="0" borderId="0" xfId="0" applyFont="1" applyAlignment="1">
      <alignment vertical="center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>
      <alignment horizontal="right"/>
    </xf>
    <xf numFmtId="0" fontId="15" fillId="0" borderId="0" xfId="0" applyFont="1" applyAlignment="1" applyProtection="1">
      <alignment horizontal="center"/>
      <protection locked="0"/>
    </xf>
    <xf numFmtId="0" fontId="3" fillId="0" borderId="0" xfId="0" applyFont="1"/>
    <xf numFmtId="0" fontId="15" fillId="0" borderId="0" xfId="0" applyFont="1" applyAlignment="1" applyProtection="1">
      <alignment horizontal="center" wrapText="1"/>
      <protection locked="0"/>
    </xf>
    <xf numFmtId="0" fontId="14" fillId="0" borderId="4" xfId="0" applyFont="1" applyBorder="1" applyAlignment="1">
      <alignment vertical="center"/>
    </xf>
    <xf numFmtId="0" fontId="9" fillId="0" borderId="0" xfId="0" applyFont="1"/>
    <xf numFmtId="0" fontId="3" fillId="2" borderId="13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3" fontId="15" fillId="0" borderId="5" xfId="1" applyNumberFormat="1" applyFont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17" fontId="15" fillId="0" borderId="5" xfId="1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3" fontId="15" fillId="0" borderId="3" xfId="1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3" fontId="15" fillId="0" borderId="6" xfId="1" applyNumberFormat="1" applyFont="1" applyBorder="1" applyAlignment="1">
      <alignment horizontal="center" vertical="center" wrapText="1"/>
    </xf>
    <xf numFmtId="3" fontId="15" fillId="0" borderId="6" xfId="0" applyNumberFormat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17" fontId="15" fillId="0" borderId="6" xfId="1" applyNumberFormat="1" applyFont="1" applyBorder="1" applyAlignment="1">
      <alignment horizontal="center" vertical="center"/>
    </xf>
    <xf numFmtId="17" fontId="15" fillId="0" borderId="3" xfId="1" applyNumberFormat="1" applyFont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/>
    </xf>
    <xf numFmtId="17" fontId="15" fillId="0" borderId="6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 wrapText="1"/>
    </xf>
    <xf numFmtId="3" fontId="17" fillId="0" borderId="3" xfId="1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" fontId="14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3" fontId="15" fillId="0" borderId="0" xfId="0" applyNumberFormat="1" applyFont="1" applyAlignment="1" applyProtection="1">
      <alignment horizontal="center" vertical="center"/>
      <protection locked="0"/>
    </xf>
    <xf numFmtId="3" fontId="15" fillId="0" borderId="0" xfId="1" applyNumberFormat="1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7" fontId="15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" fontId="14" fillId="0" borderId="0" xfId="0" applyNumberFormat="1" applyFont="1" applyAlignment="1">
      <alignment horizontal="center" vertical="center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17" fontId="2" fillId="0" borderId="0" xfId="0" applyNumberFormat="1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wrapText="1"/>
    </xf>
    <xf numFmtId="0" fontId="15" fillId="0" borderId="15" xfId="1" applyFont="1" applyBorder="1" applyAlignment="1">
      <alignment horizontal="center" vertical="center"/>
    </xf>
    <xf numFmtId="17" fontId="15" fillId="0" borderId="15" xfId="1" applyNumberFormat="1" applyFont="1" applyBorder="1" applyAlignment="1">
      <alignment horizontal="center" vertical="center"/>
    </xf>
    <xf numFmtId="3" fontId="20" fillId="0" borderId="6" xfId="1" applyNumberFormat="1" applyFont="1" applyBorder="1" applyAlignment="1">
      <alignment horizontal="center" vertical="center" wrapText="1"/>
    </xf>
    <xf numFmtId="3" fontId="20" fillId="0" borderId="3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6" fontId="15" fillId="0" borderId="1" xfId="0" applyNumberFormat="1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2" xfId="0" applyFont="1" applyBorder="1" applyAlignment="1">
      <alignment horizontal="center" wrapText="1"/>
    </xf>
    <xf numFmtId="14" fontId="15" fillId="0" borderId="24" xfId="1" applyNumberFormat="1" applyFont="1" applyBorder="1" applyAlignment="1">
      <alignment horizontal="center" vertical="center" wrapText="1"/>
    </xf>
    <xf numFmtId="14" fontId="15" fillId="0" borderId="12" xfId="1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3" fontId="16" fillId="0" borderId="14" xfId="0" applyNumberFormat="1" applyFont="1" applyBorder="1" applyAlignment="1">
      <alignment horizontal="center" vertical="center"/>
    </xf>
    <xf numFmtId="3" fontId="16" fillId="0" borderId="15" xfId="0" applyNumberFormat="1" applyFont="1" applyBorder="1" applyAlignment="1">
      <alignment horizontal="center" vertical="center"/>
    </xf>
    <xf numFmtId="14" fontId="15" fillId="0" borderId="11" xfId="1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4" fontId="15" fillId="0" borderId="21" xfId="1" applyNumberFormat="1" applyFont="1" applyBorder="1" applyAlignment="1">
      <alignment horizontal="center" vertical="center" wrapText="1"/>
    </xf>
    <xf numFmtId="14" fontId="15" fillId="0" borderId="22" xfId="1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7" fontId="15" fillId="0" borderId="21" xfId="0" applyNumberFormat="1" applyFont="1" applyBorder="1" applyAlignment="1">
      <alignment horizontal="center" vertical="center"/>
    </xf>
    <xf numFmtId="17" fontId="15" fillId="0" borderId="22" xfId="0" applyNumberFormat="1" applyFont="1" applyBorder="1" applyAlignment="1">
      <alignment horizontal="center" vertical="center"/>
    </xf>
    <xf numFmtId="14" fontId="15" fillId="0" borderId="21" xfId="0" applyNumberFormat="1" applyFont="1" applyBorder="1" applyAlignment="1">
      <alignment horizontal="center" vertical="center"/>
    </xf>
    <xf numFmtId="14" fontId="15" fillId="0" borderId="22" xfId="0" applyNumberFormat="1" applyFont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3" fontId="14" fillId="0" borderId="14" xfId="0" applyNumberFormat="1" applyFont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1" fontId="5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5" fillId="4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15" fontId="15" fillId="0" borderId="11" xfId="1" applyNumberFormat="1" applyFont="1" applyBorder="1" applyAlignment="1">
      <alignment horizontal="center" vertical="center" wrapText="1"/>
    </xf>
    <xf numFmtId="15" fontId="15" fillId="0" borderId="12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7" xfId="0" applyFont="1" applyBorder="1" applyAlignment="1" applyProtection="1">
      <alignment horizontal="center" vertical="center"/>
      <protection locked="0"/>
    </xf>
    <xf numFmtId="15" fontId="15" fillId="0" borderId="5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62102" name="Line 31">
          <a:extLst>
            <a:ext uri="{FF2B5EF4-FFF2-40B4-BE49-F238E27FC236}">
              <a16:creationId xmlns:a16="http://schemas.microsoft.com/office/drawing/2014/main" id="{5105B88D-BDCD-46AF-9464-09E6639B0F26}"/>
            </a:ext>
          </a:extLst>
        </xdr:cNvPr>
        <xdr:cNvSpPr>
          <a:spLocks noChangeShapeType="1"/>
        </xdr:cNvSpPr>
      </xdr:nvSpPr>
      <xdr:spPr bwMode="auto">
        <a:xfrm>
          <a:off x="15163800" y="134397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ADDBBB4-7144-48C7-A6D0-641150CA4B69}"/>
            </a:ext>
          </a:extLst>
        </xdr:cNvPr>
        <xdr:cNvSpPr txBox="1"/>
      </xdr:nvSpPr>
      <xdr:spPr>
        <a:xfrm>
          <a:off x="34924" y="25576440"/>
          <a:ext cx="856521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DA22C670-2F78-458A-9E3E-874F09625023}"/>
            </a:ext>
          </a:extLst>
        </xdr:cNvPr>
        <xdr:cNvSpPr txBox="1"/>
      </xdr:nvSpPr>
      <xdr:spPr>
        <a:xfrm>
          <a:off x="16099960" y="25459899"/>
          <a:ext cx="797532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17318</xdr:colOff>
      <xdr:row>0</xdr:row>
      <xdr:rowOff>69272</xdr:rowOff>
    </xdr:from>
    <xdr:to>
      <xdr:col>2</xdr:col>
      <xdr:colOff>986798</xdr:colOff>
      <xdr:row>5</xdr:row>
      <xdr:rowOff>348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A515232-3547-43BC-A03F-E53F6408E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58E133-3238-4746-BB3E-A2A684BE5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0F47D63-6310-4073-8C5C-5BCCBED5D85C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9E074D-F6F4-4D08-A51C-F0E559826CC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51955</xdr:rowOff>
    </xdr:from>
    <xdr:to>
      <xdr:col>2</xdr:col>
      <xdr:colOff>1021435</xdr:colOff>
      <xdr:row>4</xdr:row>
      <xdr:rowOff>364031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EE965D5-1855-4F5D-919C-4E70A7D0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51955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17316</xdr:colOff>
      <xdr:row>0</xdr:row>
      <xdr:rowOff>34636</xdr:rowOff>
    </xdr:from>
    <xdr:to>
      <xdr:col>10</xdr:col>
      <xdr:colOff>2669011</xdr:colOff>
      <xdr:row>4</xdr:row>
      <xdr:rowOff>346363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B96D6A-8A9F-428B-AFF3-8ABBBC4BE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9152C22-C898-4D5D-9AE0-8A569C6987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42FEDF0-E194-4D70-9AAA-0D4C92B4373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7FD4D13-1553-4F3D-AB0F-E13E362596E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34637</xdr:colOff>
      <xdr:row>0</xdr:row>
      <xdr:rowOff>51955</xdr:rowOff>
    </xdr:from>
    <xdr:to>
      <xdr:col>2</xdr:col>
      <xdr:colOff>1004117</xdr:colOff>
      <xdr:row>4</xdr:row>
      <xdr:rowOff>364031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3CD880-7BDC-46DC-AE01-9D007D02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7" y="51955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51955</xdr:rowOff>
    </xdr:from>
    <xdr:to>
      <xdr:col>10</xdr:col>
      <xdr:colOff>2669012</xdr:colOff>
      <xdr:row>4</xdr:row>
      <xdr:rowOff>363682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C809F6-3668-4455-A11E-26AF695C6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5"/>
          <a:ext cx="6375104" cy="1835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FF68AD7-3F36-426D-8546-0B2C92946C1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5536AC1-811C-4868-8F9B-6824DE40A81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6D21BAE-07C5-4439-8AA3-7D5E22F75413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17318</xdr:colOff>
      <xdr:row>0</xdr:row>
      <xdr:rowOff>86590</xdr:rowOff>
    </xdr:from>
    <xdr:to>
      <xdr:col>2</xdr:col>
      <xdr:colOff>986798</xdr:colOff>
      <xdr:row>5</xdr:row>
      <xdr:rowOff>17666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B4E16B-5C8D-45F7-BEE4-BBEB36D1E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" y="8659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69272</xdr:colOff>
      <xdr:row>0</xdr:row>
      <xdr:rowOff>34637</xdr:rowOff>
    </xdr:from>
    <xdr:to>
      <xdr:col>11</xdr:col>
      <xdr:colOff>36649</xdr:colOff>
      <xdr:row>4</xdr:row>
      <xdr:rowOff>346364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9D24D8-1865-4C78-A0AD-4A97A243A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1136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BEA7FF3-EF7F-44EC-AF0B-6357B9B8CD3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293866D-00A2-41B6-8690-67222113200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E5C22A9-96E7-43F1-A961-F737EA98AEB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34637</xdr:colOff>
      <xdr:row>0</xdr:row>
      <xdr:rowOff>51956</xdr:rowOff>
    </xdr:from>
    <xdr:to>
      <xdr:col>2</xdr:col>
      <xdr:colOff>1004117</xdr:colOff>
      <xdr:row>4</xdr:row>
      <xdr:rowOff>364032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4B1E69E-2468-472A-9CCC-B503FC53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7" y="51956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34636</xdr:rowOff>
    </xdr:from>
    <xdr:to>
      <xdr:col>11</xdr:col>
      <xdr:colOff>2013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C3E47-5E27-4F1F-834D-548BE9686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F29E8F0-3119-4895-8D2F-EB4AFCD114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AA08A3FA-64E7-4482-A586-8797534C7AD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6783BCD-B56C-4FBF-93A8-69256D8F538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34637</xdr:colOff>
      <xdr:row>0</xdr:row>
      <xdr:rowOff>51956</xdr:rowOff>
    </xdr:from>
    <xdr:to>
      <xdr:col>2</xdr:col>
      <xdr:colOff>1004117</xdr:colOff>
      <xdr:row>4</xdr:row>
      <xdr:rowOff>364032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7F1CB19-91C2-411B-94A4-D718A13DD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7" y="51956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34637</xdr:rowOff>
    </xdr:from>
    <xdr:to>
      <xdr:col>11</xdr:col>
      <xdr:colOff>2013</xdr:colOff>
      <xdr:row>4</xdr:row>
      <xdr:rowOff>346364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DF1FA7-B419-4FB8-A8A5-E65E1866B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BFFC83C-D502-433A-9108-5FE781BFF56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797DC20-7688-44D0-8BE2-FBB9EDEF92A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54F1B3-DCDD-42AE-BB35-9AF816A0F60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34637</xdr:colOff>
      <xdr:row>0</xdr:row>
      <xdr:rowOff>69274</xdr:rowOff>
    </xdr:from>
    <xdr:to>
      <xdr:col>2</xdr:col>
      <xdr:colOff>1004117</xdr:colOff>
      <xdr:row>5</xdr:row>
      <xdr:rowOff>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CE4F9F8-06AA-4458-9FFF-09CE8F268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7" y="6927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51954</xdr:rowOff>
    </xdr:from>
    <xdr:to>
      <xdr:col>11</xdr:col>
      <xdr:colOff>2013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784191-13F4-45BD-93E7-CE23C04A5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A71C5E8-9A91-4F4F-9B14-FEC3FA46144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438B2AD-E5AF-4192-9290-0E182C0E778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37BE26-5F88-4E53-93F8-2D97D031EE7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51956</xdr:colOff>
      <xdr:row>0</xdr:row>
      <xdr:rowOff>69272</xdr:rowOff>
    </xdr:from>
    <xdr:to>
      <xdr:col>2</xdr:col>
      <xdr:colOff>1021436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ED14B01-1F31-40C2-B29C-BDBE1760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6" y="69272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34636</xdr:colOff>
      <xdr:row>0</xdr:row>
      <xdr:rowOff>51955</xdr:rowOff>
    </xdr:from>
    <xdr:to>
      <xdr:col>11</xdr:col>
      <xdr:colOff>2013</xdr:colOff>
      <xdr:row>4</xdr:row>
      <xdr:rowOff>363682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0C8E3-8809-4692-A42A-B49D7436A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51955"/>
          <a:ext cx="6375104" cy="18357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146B493-BF6C-41D2-B871-A982315536E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73</xdr:row>
      <xdr:rowOff>30390</xdr:rowOff>
    </xdr:from>
    <xdr:to>
      <xdr:col>2</xdr:col>
      <xdr:colOff>4199585</xdr:colOff>
      <xdr:row>85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42B3CB8-59E0-44CF-A258-198ED31276A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73</xdr:row>
      <xdr:rowOff>11340</xdr:rowOff>
    </xdr:from>
    <xdr:to>
      <xdr:col>10</xdr:col>
      <xdr:colOff>2672046</xdr:colOff>
      <xdr:row>85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0BB8FA-F722-4C3C-8F82-D67AAC71FFC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51956</xdr:colOff>
      <xdr:row>0</xdr:row>
      <xdr:rowOff>51954</xdr:rowOff>
    </xdr:from>
    <xdr:to>
      <xdr:col>2</xdr:col>
      <xdr:colOff>1021436</xdr:colOff>
      <xdr:row>4</xdr:row>
      <xdr:rowOff>364030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AA64FF-4D00-44F8-94DC-E5FE1E431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6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17318</xdr:colOff>
      <xdr:row>0</xdr:row>
      <xdr:rowOff>51954</xdr:rowOff>
    </xdr:from>
    <xdr:to>
      <xdr:col>10</xdr:col>
      <xdr:colOff>2669013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C9468C-4989-4B03-9A1F-7BE6F5CE5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958851B-991A-4666-AD28-024455BB803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70F8214-93D2-4F88-93B0-C515472C07D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2D8C97-0EAB-47CA-B721-3CB6F07BD85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45530</xdr:colOff>
      <xdr:row>0</xdr:row>
      <xdr:rowOff>34288</xdr:rowOff>
    </xdr:from>
    <xdr:to>
      <xdr:col>2</xdr:col>
      <xdr:colOff>1015010</xdr:colOff>
      <xdr:row>4</xdr:row>
      <xdr:rowOff>346364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3CCDC3-9961-497E-9D1B-13116B207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0" y="34288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250FE3CE-96A1-492C-ADCD-13AF0E1D69C3}"/>
            </a:ext>
          </a:extLst>
        </xdr:cNvPr>
        <xdr:cNvSpPr txBox="1"/>
      </xdr:nvSpPr>
      <xdr:spPr>
        <a:xfrm>
          <a:off x="34924" y="252621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62A388D5-F61C-4CEF-8CA0-A35BE03FABF0}"/>
            </a:ext>
          </a:extLst>
        </xdr:cNvPr>
        <xdr:cNvSpPr txBox="1"/>
      </xdr:nvSpPr>
      <xdr:spPr>
        <a:xfrm>
          <a:off x="16103882" y="252430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8</xdr:col>
      <xdr:colOff>17316</xdr:colOff>
      <xdr:row>0</xdr:row>
      <xdr:rowOff>51954</xdr:rowOff>
    </xdr:from>
    <xdr:to>
      <xdr:col>10</xdr:col>
      <xdr:colOff>2669011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BFBCD4B-66E3-4D8C-A7FA-14EB12E78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4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view="pageBreakPreview" zoomScale="55" zoomScaleNormal="50" zoomScaleSheetLayoutView="55" workbookViewId="0">
      <selection activeCell="I20" sqref="I20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80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97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31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52" t="str">
        <f>IF(GENERAL!J15=0," ",GENERAL!J15)</f>
        <v xml:space="preserve"> </v>
      </c>
      <c r="K15" s="101"/>
      <c r="M15" s="43">
        <f>SUM((F44/3)*20+F20)</f>
        <v>70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50</v>
      </c>
      <c r="G16" s="48">
        <f>IF(F16=0," ",F16)</f>
        <v>50</v>
      </c>
      <c r="H16" s="49">
        <f>IF(F16=0," ",F16)</f>
        <v>50</v>
      </c>
      <c r="I16" s="50" t="str">
        <f>IF(GENERAL!I16=0," ",GENERAL!I16)</f>
        <v>LC5884</v>
      </c>
      <c r="J16" s="51">
        <f>IF(GENERAL!J16=0," ",GENERAL!J16)</f>
        <v>46388</v>
      </c>
      <c r="K16" s="114"/>
      <c r="M16" s="43">
        <f>SUM(F24)</f>
        <v>15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79"/>
      <c r="J17" s="80"/>
      <c r="K17" s="101"/>
      <c r="M17" s="43">
        <f>SUM(F26+F40)</f>
        <v>52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30</v>
      </c>
      <c r="G18" s="48">
        <f>IF(F18=0," ",F18)</f>
        <v>30</v>
      </c>
      <c r="H18" s="49">
        <f>IF(F18=0," ",F18)</f>
        <v>30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70</v>
      </c>
      <c r="G20" s="48">
        <f>IF(F20=0," ",F20)</f>
        <v>70</v>
      </c>
      <c r="H20" s="49">
        <f>IF(F20=0," ",F20)</f>
        <v>70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>
        <v>1</v>
      </c>
      <c r="G22" s="48">
        <f>IF(F22=0," ",F22)</f>
        <v>1</v>
      </c>
      <c r="H22" s="49">
        <f>IF(F22=0," ",F22)</f>
        <v>1</v>
      </c>
      <c r="I22" s="50">
        <f>IF(GENERAL!I22=0," ",GENERAL!I22)</f>
        <v>2526250606</v>
      </c>
      <c r="J22" s="158">
        <v>46919</v>
      </c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 t="str">
        <f>IF(GENERAL!I23=0," ",GENERAL!I23)</f>
        <v xml:space="preserve"> </v>
      </c>
      <c r="J23" s="53" t="str">
        <f>IF(GENERAL!J23=0," ",GENERAL!J23)</f>
        <v xml:space="preserve"> </v>
      </c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15</v>
      </c>
      <c r="G24" s="48">
        <f>IF(F24=0," ",F24)</f>
        <v>15</v>
      </c>
      <c r="H24" s="49">
        <f>IF(F24=0," ",F24)</f>
        <v>15</v>
      </c>
      <c r="I24" s="50" t="str">
        <f>IF(GENERAL!I24=0," ",GENERAL!I24)</f>
        <v>AHAVC215AA</v>
      </c>
      <c r="J24" s="54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 t="str">
        <f>IF(GENERAL!I25=0," ",GENERAL!I25)</f>
        <v xml:space="preserve"> </v>
      </c>
      <c r="J25" s="53" t="str">
        <f>IF(GENERAL!J25=0," ",GENERAL!J25)</f>
        <v xml:space="preserve"> </v>
      </c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v>2</v>
      </c>
      <c r="G26" s="48">
        <f>IF(F26=0," ",F26)</f>
        <v>2</v>
      </c>
      <c r="H26" s="49">
        <f>IF(F26=0," ",F26)</f>
        <v>2</v>
      </c>
      <c r="I26" s="50" t="str">
        <f>IF(GENERAL!I26=0," ",GENERAL!I26)</f>
        <v>0125N120A</v>
      </c>
      <c r="J26" s="54">
        <f>IF(GENERAL!J26=0," ",GENERAL!J26)</f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/>
      <c r="G28" s="48" t="str">
        <f>IF(F28=0," ",F28)</f>
        <v xml:space="preserve"> </v>
      </c>
      <c r="H28" s="49" t="str">
        <f>IF(F28=0," ",F28)</f>
        <v xml:space="preserve"> </v>
      </c>
      <c r="I28" s="50"/>
      <c r="J28" s="54"/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/>
      <c r="J29" s="53"/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4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1</v>
      </c>
      <c r="G32" s="48">
        <f>IF(F32=0," ",F32)</f>
        <v>1</v>
      </c>
      <c r="H32" s="49">
        <f>IF(F32=0," ",F32)</f>
        <v>1</v>
      </c>
      <c r="I32" s="50" t="str">
        <f>IF(GENERAL!I32=0," ",GENERAL!I32)</f>
        <v>2825Q001A</v>
      </c>
      <c r="J32" s="54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 t="str">
        <f>IF(GENERAL!I33=0," ",GENERAL!I33)</f>
        <v xml:space="preserve"> </v>
      </c>
      <c r="J33" s="55" t="str">
        <f>IF(GENERAL!J33=0," ",GENERAL!J33)</f>
        <v xml:space="preserve"> </v>
      </c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v>20</v>
      </c>
      <c r="G34" s="48">
        <f>IF(F34=0," ",F34)</f>
        <v>20</v>
      </c>
      <c r="H34" s="49">
        <f>IF(F34=0," ",F34)</f>
        <v>20</v>
      </c>
      <c r="I34" s="50" t="str">
        <f>IF(GENERAL!I34=0," ",GENERAL!I34)</f>
        <v>AC37B542BD</v>
      </c>
      <c r="J34" s="54">
        <f>IF(GENERAL!J34=0," ",GENERAL!J34)</f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 t="str">
        <f>IF(GENERAL!I35=0," ",GENERAL!I35)</f>
        <v xml:space="preserve"> </v>
      </c>
      <c r="J35" s="55" t="str">
        <f>IF(GENERAL!J35=0," ",GENERAL!J35)</f>
        <v xml:space="preserve"> </v>
      </c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/>
      <c r="G36" s="48" t="str">
        <f>IF(F36=0," ",F36)</f>
        <v xml:space="preserve"> </v>
      </c>
      <c r="H36" s="49" t="str">
        <f>IF(F36=0," ",F36)</f>
        <v xml:space="preserve"> </v>
      </c>
      <c r="I36" s="50"/>
      <c r="J36" s="54"/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/>
      <c r="J37" s="55"/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81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82"/>
      <c r="H39" s="46"/>
      <c r="I39" s="47"/>
      <c r="J39" s="53"/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>
        <v>50</v>
      </c>
      <c r="G40" s="81">
        <f>IF(F40=0," ",F40)</f>
        <v>50</v>
      </c>
      <c r="H40" s="49">
        <f>IF(F40=0," ",F40)</f>
        <v>50</v>
      </c>
      <c r="I40" s="50" t="str">
        <f>IF(GENERAL!I40=0," ",GENERAL!I40)</f>
        <v>0135N027B</v>
      </c>
      <c r="J40" s="54">
        <f>IF(GENERAL!J40=0," ",GENERAL!J40)</f>
        <v>46600</v>
      </c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 t="str">
        <f>IF(GENERAL!I42=0," ",GENERAL!I42)</f>
        <v xml:space="preserve"> </v>
      </c>
      <c r="J42" s="54" t="str">
        <f>IF(GENERAL!J42=0," ",GENERAL!J42)</f>
        <v xml:space="preserve"> </v>
      </c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1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/>
      <c r="J47" s="53"/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/>
      <c r="J49" s="53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0" t="str">
        <f>IF(GENERAL!I50=0," ",GENERAL!I50)</f>
        <v xml:space="preserve"> </v>
      </c>
      <c r="J50" s="51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/>
      <c r="J51" s="53"/>
      <c r="K51" s="132"/>
    </row>
    <row r="52" spans="1:13" ht="25.5" customHeight="1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10</v>
      </c>
      <c r="G52" s="49">
        <f>IF(F52=0," ",F52)</f>
        <v>10</v>
      </c>
      <c r="H52" s="49">
        <f>IF(F52=0," ",F52)</f>
        <v>10</v>
      </c>
      <c r="I52" s="50" t="str">
        <f>IF(GENERAL!I52=0," ",GENERAL!I52)</f>
        <v>MK3145</v>
      </c>
      <c r="J52" s="51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H65:K65"/>
    <mergeCell ref="H66:K66"/>
    <mergeCell ref="H71:K71"/>
    <mergeCell ref="A73:C73"/>
    <mergeCell ref="B74:C74"/>
    <mergeCell ref="D12:D13"/>
    <mergeCell ref="D14:D15"/>
    <mergeCell ref="E14:E15"/>
    <mergeCell ref="D16:D17"/>
    <mergeCell ref="E16:E17"/>
    <mergeCell ref="D18:D19"/>
    <mergeCell ref="A65:C65"/>
    <mergeCell ref="A66:C66"/>
    <mergeCell ref="A71:C71"/>
    <mergeCell ref="B54:J54"/>
    <mergeCell ref="G56:H56"/>
    <mergeCell ref="A58:K58"/>
    <mergeCell ref="B59:J59"/>
    <mergeCell ref="B60:J60"/>
    <mergeCell ref="B61:J61"/>
    <mergeCell ref="A48:A49"/>
    <mergeCell ref="B48:B49"/>
    <mergeCell ref="C48:C49"/>
    <mergeCell ref="F48:F49"/>
    <mergeCell ref="K48:K49"/>
    <mergeCell ref="A50:A51"/>
    <mergeCell ref="B50:B51"/>
    <mergeCell ref="C50:C51"/>
    <mergeCell ref="F50:F51"/>
    <mergeCell ref="K50:K51"/>
    <mergeCell ref="D48:D49"/>
    <mergeCell ref="E48:E49"/>
    <mergeCell ref="D50:D51"/>
    <mergeCell ref="E50:E51"/>
    <mergeCell ref="A44:A45"/>
    <mergeCell ref="B44:B45"/>
    <mergeCell ref="C44:C45"/>
    <mergeCell ref="F44:F45"/>
    <mergeCell ref="K44:K45"/>
    <mergeCell ref="A46:A47"/>
    <mergeCell ref="B46:B47"/>
    <mergeCell ref="C46:C47"/>
    <mergeCell ref="F46:F47"/>
    <mergeCell ref="K46:K47"/>
    <mergeCell ref="D46:D47"/>
    <mergeCell ref="E46:E47"/>
    <mergeCell ref="D44:D45"/>
    <mergeCell ref="E44:E45"/>
    <mergeCell ref="A40:A41"/>
    <mergeCell ref="B40:B41"/>
    <mergeCell ref="C40:C41"/>
    <mergeCell ref="F40:F41"/>
    <mergeCell ref="K40:K41"/>
    <mergeCell ref="A42:A43"/>
    <mergeCell ref="B42:B43"/>
    <mergeCell ref="C42:C43"/>
    <mergeCell ref="F42:F43"/>
    <mergeCell ref="K42:K43"/>
    <mergeCell ref="D40:D41"/>
    <mergeCell ref="E40:E41"/>
    <mergeCell ref="D42:D43"/>
    <mergeCell ref="E42:E43"/>
    <mergeCell ref="A36:A37"/>
    <mergeCell ref="B36:B37"/>
    <mergeCell ref="C36:C37"/>
    <mergeCell ref="F36:F37"/>
    <mergeCell ref="K36:K37"/>
    <mergeCell ref="A38:A39"/>
    <mergeCell ref="B38:B39"/>
    <mergeCell ref="C38:C39"/>
    <mergeCell ref="F38:F39"/>
    <mergeCell ref="K38:K39"/>
    <mergeCell ref="D36:D37"/>
    <mergeCell ref="E36:E37"/>
    <mergeCell ref="D38:D39"/>
    <mergeCell ref="E38:E39"/>
    <mergeCell ref="A32:A33"/>
    <mergeCell ref="B32:B33"/>
    <mergeCell ref="C32:C33"/>
    <mergeCell ref="F32:F33"/>
    <mergeCell ref="K32:K33"/>
    <mergeCell ref="A34:A35"/>
    <mergeCell ref="B34:B35"/>
    <mergeCell ref="C34:C35"/>
    <mergeCell ref="F34:F35"/>
    <mergeCell ref="K34:K35"/>
    <mergeCell ref="D34:D35"/>
    <mergeCell ref="E34:E35"/>
    <mergeCell ref="D32:D33"/>
    <mergeCell ref="E32:E33"/>
    <mergeCell ref="D26:D27"/>
    <mergeCell ref="A28:A29"/>
    <mergeCell ref="B28:B29"/>
    <mergeCell ref="C28:C29"/>
    <mergeCell ref="F28:F29"/>
    <mergeCell ref="K28:K29"/>
    <mergeCell ref="A30:A31"/>
    <mergeCell ref="B30:B31"/>
    <mergeCell ref="C30:C31"/>
    <mergeCell ref="F30:F31"/>
    <mergeCell ref="K30:K31"/>
    <mergeCell ref="D28:D29"/>
    <mergeCell ref="E28:E29"/>
    <mergeCell ref="D30:D31"/>
    <mergeCell ref="E30:E31"/>
    <mergeCell ref="C26:C27"/>
    <mergeCell ref="F26:F27"/>
    <mergeCell ref="K26:K27"/>
    <mergeCell ref="E22:E23"/>
    <mergeCell ref="E26:E27"/>
    <mergeCell ref="A20:A21"/>
    <mergeCell ref="B20:B21"/>
    <mergeCell ref="C20:C21"/>
    <mergeCell ref="F20:F21"/>
    <mergeCell ref="K20:K21"/>
    <mergeCell ref="A22:A23"/>
    <mergeCell ref="B22:B23"/>
    <mergeCell ref="D20:D21"/>
    <mergeCell ref="E20:E21"/>
    <mergeCell ref="D22:D23"/>
    <mergeCell ref="A24:A25"/>
    <mergeCell ref="B24:B25"/>
    <mergeCell ref="C24:C25"/>
    <mergeCell ref="F24:F25"/>
    <mergeCell ref="K24:K25"/>
    <mergeCell ref="A26:A27"/>
    <mergeCell ref="B26:B27"/>
    <mergeCell ref="D24:D25"/>
    <mergeCell ref="C22:C23"/>
    <mergeCell ref="F22:F23"/>
    <mergeCell ref="K22:K23"/>
    <mergeCell ref="E24:E25"/>
    <mergeCell ref="A16:A17"/>
    <mergeCell ref="B16:B17"/>
    <mergeCell ref="C16:C17"/>
    <mergeCell ref="F16:F17"/>
    <mergeCell ref="K16:K17"/>
    <mergeCell ref="C18:C19"/>
    <mergeCell ref="F18:F19"/>
    <mergeCell ref="F12:J12"/>
    <mergeCell ref="K18:K19"/>
    <mergeCell ref="K12:K13"/>
    <mergeCell ref="A12:A13"/>
    <mergeCell ref="B12:B13"/>
    <mergeCell ref="C12:C13"/>
    <mergeCell ref="A14:A15"/>
    <mergeCell ref="B14:B15"/>
    <mergeCell ref="C14:C15"/>
    <mergeCell ref="F14:F15"/>
    <mergeCell ref="K14:K15"/>
    <mergeCell ref="A18:A19"/>
    <mergeCell ref="B18:B19"/>
    <mergeCell ref="E18:E19"/>
    <mergeCell ref="B10:D10"/>
    <mergeCell ref="H10:J10"/>
    <mergeCell ref="A1:K1"/>
    <mergeCell ref="A2:K2"/>
    <mergeCell ref="A3:K3"/>
    <mergeCell ref="A5:K5"/>
    <mergeCell ref="B7:D7"/>
    <mergeCell ref="H7:J7"/>
    <mergeCell ref="B8:D8"/>
    <mergeCell ref="H8:J8"/>
    <mergeCell ref="B9:D9"/>
    <mergeCell ref="H9:J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ignoredErrors>
    <ignoredError sqref="H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350-0F8D-4838-9C03-837C0D45CB2E}">
  <dimension ref="A1:P86"/>
  <sheetViews>
    <sheetView view="pageBreakPreview" zoomScale="55" zoomScaleNormal="50" zoomScaleSheetLayoutView="55" workbookViewId="0">
      <selection activeCell="I39" sqref="I39:J43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81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89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30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47" t="str">
        <f>IF(GENERAL!J15=0," ",GENERAL!J15)</f>
        <v xml:space="preserve"> </v>
      </c>
      <c r="K15" s="101"/>
      <c r="M15" s="43">
        <f>SUM((F44/3)*20+F20)</f>
        <v>10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10</v>
      </c>
      <c r="G16" s="48">
        <f>IF(F16=0," ",F16)</f>
        <v>10</v>
      </c>
      <c r="H16" s="49">
        <f>IF(F16=0," ",F16)</f>
        <v>10</v>
      </c>
      <c r="I16" s="50" t="str">
        <f>IF(GENERAL!I16=0," ",GENERAL!I16)</f>
        <v>LC5884</v>
      </c>
      <c r="J16" s="51">
        <f>IF(GENERAL!J16=0," ",GENERAL!J16)</f>
        <v>46388</v>
      </c>
      <c r="K16" s="114"/>
      <c r="M16" s="43">
        <f>SUM(F24)</f>
        <v>10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2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10</v>
      </c>
      <c r="G18" s="48">
        <f>IF(F18=0," ",F18)</f>
        <v>10</v>
      </c>
      <c r="H18" s="49">
        <f>IF(F18=0," ",F18)</f>
        <v>10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40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/>
      <c r="J19" s="52"/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10</v>
      </c>
      <c r="G20" s="48">
        <f>IF(F20=0," ",F20)</f>
        <v>10</v>
      </c>
      <c r="H20" s="49">
        <f>IF(F20=0," ",F20)</f>
        <v>10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/>
      <c r="G22" s="48" t="str">
        <f>IF(F22=0," ",F22)</f>
        <v xml:space="preserve"> </v>
      </c>
      <c r="H22" s="49" t="str">
        <f>IF(F22=0," ",F22)</f>
        <v xml:space="preserve"> </v>
      </c>
      <c r="I22" s="50"/>
      <c r="J22" s="51"/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/>
      <c r="J23" s="53"/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10</v>
      </c>
      <c r="G24" s="48">
        <f>IF(F24=0," ",F24)</f>
        <v>10</v>
      </c>
      <c r="H24" s="49">
        <f>IF(F24=0," ",F24)</f>
        <v>10</v>
      </c>
      <c r="I24" s="50" t="str">
        <f>IF(GENERAL!I24=0," ",GENERAL!I24)</f>
        <v>AHAVC215AA</v>
      </c>
      <c r="J24" s="54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 t="str">
        <f>IF(GENERAL!I25=0," ",GENERAL!I25)</f>
        <v xml:space="preserve"> </v>
      </c>
      <c r="J25" s="53" t="str">
        <f>IF(GENERAL!J25=0," ",GENERAL!J25)</f>
        <v xml:space="preserve"> </v>
      </c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v>2</v>
      </c>
      <c r="G26" s="48">
        <f>IF(F26=0," ",F26)</f>
        <v>2</v>
      </c>
      <c r="H26" s="49">
        <f>IF(F26=0," ",F26)</f>
        <v>2</v>
      </c>
      <c r="I26" s="50" t="str">
        <f>IF(GENERAL!I26=0," ",GENERAL!I26)</f>
        <v>0125N120A</v>
      </c>
      <c r="J26" s="51">
        <f>IF(GENERAL!J26=0," ",GENERAL!J26)</f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4</v>
      </c>
      <c r="G28" s="48">
        <f>IF(F28=0," ",F28)</f>
        <v>4</v>
      </c>
      <c r="H28" s="49">
        <f>IF(F28=0," ",F28)</f>
        <v>4</v>
      </c>
      <c r="I28" s="50" t="str">
        <f>IF(GENERAL!I28=0," ",GENERAL!I28)</f>
        <v>0374MA108</v>
      </c>
      <c r="J28" s="54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 t="str">
        <f>IF(GENERAL!I29=0," ",GENERAL!I29)</f>
        <v xml:space="preserve"> </v>
      </c>
      <c r="J29" s="53" t="str">
        <f>IF(GENERAL!J29=0," ",GENERAL!J29)</f>
        <v xml:space="preserve"> </v>
      </c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4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2</v>
      </c>
      <c r="G32" s="48">
        <f>IF(F32=0," ",F32)</f>
        <v>2</v>
      </c>
      <c r="H32" s="49">
        <f>IF(F32=0," ",F32)</f>
        <v>2</v>
      </c>
      <c r="I32" s="50" t="str">
        <f>IF(GENERAL!I32=0," ",GENERAL!I32)</f>
        <v>2825Q001A</v>
      </c>
      <c r="J32" s="54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 t="str">
        <f>IF(GENERAL!I33=0," ",GENERAL!I33)</f>
        <v xml:space="preserve"> </v>
      </c>
      <c r="J33" s="55" t="str">
        <f>IF(GENERAL!J33=0," ",GENERAL!J33)</f>
        <v xml:space="preserve"> </v>
      </c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/>
      <c r="G34" s="48" t="str">
        <f>IF(F34=0," ",F34)</f>
        <v xml:space="preserve"> </v>
      </c>
      <c r="H34" s="49" t="str">
        <f>IF(F34=0," ",F34)</f>
        <v xml:space="preserve"> </v>
      </c>
      <c r="I34" s="50"/>
      <c r="J34" s="51"/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/>
      <c r="J35" s="55"/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1</v>
      </c>
      <c r="G36" s="48">
        <f>IF(F36=0," ",F36)</f>
        <v>1</v>
      </c>
      <c r="H36" s="49">
        <f>IF(F36=0," ",F36)</f>
        <v>1</v>
      </c>
      <c r="I36" s="50" t="str">
        <f>IF(GENERAL!I36=0," ",GENERAL!I36)</f>
        <v>2805X003A</v>
      </c>
      <c r="J36" s="54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 t="str">
        <f>IF(GENERAL!I37=0," ",GENERAL!I37)</f>
        <v xml:space="preserve"> </v>
      </c>
      <c r="J37" s="55" t="str">
        <f>IF(GENERAL!J37=0," ",GENERAL!J37)</f>
        <v xml:space="preserve"> </v>
      </c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81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82"/>
      <c r="H39" s="46"/>
      <c r="I39" s="47"/>
      <c r="J39" s="53"/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/>
      <c r="G40" s="81" t="str">
        <f>IF(F40=0," ",F40)</f>
        <v xml:space="preserve"> </v>
      </c>
      <c r="H40" s="49" t="str">
        <f>IF(F40=0," ",F40)</f>
        <v xml:space="preserve"> </v>
      </c>
      <c r="I40" s="50"/>
      <c r="J40" s="51"/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/>
      <c r="J42" s="54"/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/>
      <c r="J43" s="53"/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/>
      <c r="J49" s="53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10</v>
      </c>
      <c r="G52" s="49">
        <f>IF(F52=0," ",F52)</f>
        <v>10</v>
      </c>
      <c r="H52" s="49">
        <f>IF(F52=0," ",F52)</f>
        <v>10</v>
      </c>
      <c r="I52" s="58" t="str">
        <f>IF(GENERAL!I52=0," ",GENERAL!I52)</f>
        <v>MK3145</v>
      </c>
      <c r="J52" s="54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9778-4677-47D4-9F3E-07D8D24E489F}">
  <dimension ref="A1:P86"/>
  <sheetViews>
    <sheetView view="pageBreakPreview" zoomScale="55" zoomScaleNormal="50" zoomScaleSheetLayoutView="55" workbookViewId="0">
      <selection activeCell="J48" sqref="J48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82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153" t="s">
        <v>90</v>
      </c>
      <c r="C10" s="153"/>
      <c r="D10" s="153"/>
      <c r="E10" s="31"/>
      <c r="F10" s="30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40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/>
      <c r="J15" s="47"/>
      <c r="K15" s="101"/>
      <c r="M15" s="43">
        <f>SUM((F44/3)*20+F20)</f>
        <v>30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30</v>
      </c>
      <c r="G16" s="48">
        <f>IF(F16=0," ",F16)</f>
        <v>30</v>
      </c>
      <c r="H16" s="49">
        <f>IF(F16=0," ",F16)</f>
        <v>30</v>
      </c>
      <c r="I16" s="50" t="str">
        <f>IF(GENERAL!I16=0," ",GENERAL!I16)</f>
        <v>LC5884</v>
      </c>
      <c r="J16" s="51">
        <f>IF(GENERAL!J16=0," ",GENERAL!J16)</f>
        <v>46388</v>
      </c>
      <c r="K16" s="114"/>
      <c r="M16" s="43">
        <f>SUM(F24)</f>
        <v>20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31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10</v>
      </c>
      <c r="G18" s="48">
        <f>IF(F18=0," ",F18)</f>
        <v>10</v>
      </c>
      <c r="H18" s="49">
        <f>IF(F18=0," ",F18)</f>
        <v>10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50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30</v>
      </c>
      <c r="G20" s="48">
        <f>IF(F20=0," ",F20)</f>
        <v>30</v>
      </c>
      <c r="H20" s="49">
        <f>IF(F20=0," ",F20)</f>
        <v>30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/>
      <c r="G22" s="48" t="str">
        <f>IF(F22=0," ",F22)</f>
        <v xml:space="preserve"> </v>
      </c>
      <c r="H22" s="49" t="str">
        <f>IF(F22=0," ",F22)</f>
        <v xml:space="preserve"> </v>
      </c>
      <c r="I22" s="50"/>
      <c r="J22" s="51"/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/>
      <c r="J23" s="53"/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20</v>
      </c>
      <c r="G24" s="48">
        <f>IF(F24=0," ",F24)</f>
        <v>20</v>
      </c>
      <c r="H24" s="49">
        <f>IF(F24=0," ",F24)</f>
        <v>20</v>
      </c>
      <c r="I24" s="50" t="str">
        <f>IF(GENERAL!I24=0," ",GENERAL!I24)</f>
        <v>AHAVC215AA</v>
      </c>
      <c r="J24" s="54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 t="str">
        <f>IF(GENERAL!I25=0," ",GENERAL!I25)</f>
        <v xml:space="preserve"> </v>
      </c>
      <c r="J25" s="53" t="str">
        <f>IF(GENERAL!J25=0," ",GENERAL!J25)</f>
        <v xml:space="preserve"> </v>
      </c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v>1</v>
      </c>
      <c r="G26" s="48">
        <f>IF(F26=0," ",F26)</f>
        <v>1</v>
      </c>
      <c r="H26" s="49">
        <f>IF(F26=0," ",F26)</f>
        <v>1</v>
      </c>
      <c r="I26" s="50" t="str">
        <f>IF(GENERAL!I26=0," ",GENERAL!I26)</f>
        <v>0125N120A</v>
      </c>
      <c r="J26" s="51">
        <f>IF(GENERAL!J26=0," ",GENERAL!J26)</f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/>
      <c r="J27" s="55"/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5</v>
      </c>
      <c r="G28" s="48">
        <f>IF(F28=0," ",F28)</f>
        <v>5</v>
      </c>
      <c r="H28" s="49">
        <f>IF(F28=0," ",F28)</f>
        <v>5</v>
      </c>
      <c r="I28" s="50" t="str">
        <f>IF(GENERAL!I28=0," ",GENERAL!I28)</f>
        <v>0374MA108</v>
      </c>
      <c r="J28" s="51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/>
      <c r="J29" s="53"/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1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/>
      <c r="J31" s="53"/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2</v>
      </c>
      <c r="G32" s="48">
        <f>IF(F32=0," ",F32)</f>
        <v>2</v>
      </c>
      <c r="H32" s="49">
        <f>IF(F32=0," ",F32)</f>
        <v>2</v>
      </c>
      <c r="I32" s="50" t="str">
        <f>IF(GENERAL!I32=0," ",GENERAL!I32)</f>
        <v>2825Q001A</v>
      </c>
      <c r="J32" s="51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 t="str">
        <f>IF(GENERAL!I33=0," ",GENERAL!I33)</f>
        <v xml:space="preserve"> </v>
      </c>
      <c r="J33" s="55" t="str">
        <f>IF(GENERAL!J33=0," ",GENERAL!J33)</f>
        <v xml:space="preserve"> </v>
      </c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v>10</v>
      </c>
      <c r="G34" s="48">
        <f>IF(F34=0," ",F34)</f>
        <v>10</v>
      </c>
      <c r="H34" s="49">
        <f>IF(F34=0," ",F34)</f>
        <v>10</v>
      </c>
      <c r="I34" s="50" t="str">
        <f>IF(GENERAL!I34=0," ",GENERAL!I34)</f>
        <v>AC37B542BD</v>
      </c>
      <c r="J34" s="51">
        <f>IF(GENERAL!J34=0," ",GENERAL!J34)</f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/>
      <c r="J35" s="55"/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1</v>
      </c>
      <c r="G36" s="48">
        <f>IF(F36=0," ",F36)</f>
        <v>1</v>
      </c>
      <c r="H36" s="49">
        <f>IF(F36=0," ",F36)</f>
        <v>1</v>
      </c>
      <c r="I36" s="50" t="str">
        <f>IF(GENERAL!I36=0," ",GENERAL!I36)</f>
        <v>2805X003A</v>
      </c>
      <c r="J36" s="54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 t="str">
        <f>IF(GENERAL!I37=0," ",GENERAL!I37)</f>
        <v xml:space="preserve"> </v>
      </c>
      <c r="J37" s="55" t="str">
        <f>IF(GENERAL!J37=0," ",GENERAL!J37)</f>
        <v xml:space="preserve"> </v>
      </c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81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 t="str">
        <f>IF(GENERAL!I39=0," ",GENERAL!I39)</f>
        <v xml:space="preserve"> </v>
      </c>
      <c r="J39" s="53" t="str">
        <f>IF(GENERAL!J39=0," ",GENERAL!J39)</f>
        <v xml:space="preserve"> </v>
      </c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>
        <v>30</v>
      </c>
      <c r="G40" s="81">
        <f>IF(F40=0," ",F40)</f>
        <v>30</v>
      </c>
      <c r="H40" s="49">
        <f>IF(F40=0," ",F40)</f>
        <v>30</v>
      </c>
      <c r="I40" s="50" t="str">
        <f>IF(GENERAL!I40=0," ",GENERAL!I40)</f>
        <v>0135N027B</v>
      </c>
      <c r="J40" s="51">
        <f>IF(GENERAL!J40=0," ",GENERAL!J40)</f>
        <v>46600</v>
      </c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 t="str">
        <f>IF(GENERAL!I42=0," ",GENERAL!I42)</f>
        <v xml:space="preserve"> </v>
      </c>
      <c r="J42" s="54" t="str">
        <f>IF(GENERAL!J42=0," ",GENERAL!J42)</f>
        <v xml:space="preserve"> </v>
      </c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1" t="str">
        <f>IF(GENERAL!I47=0," ",GENERAL!I47)</f>
        <v xml:space="preserve"> </v>
      </c>
      <c r="J47" s="42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/>
      <c r="J49" s="53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10</v>
      </c>
      <c r="G52" s="49">
        <f>IF(F52=0," ",F52)</f>
        <v>10</v>
      </c>
      <c r="H52" s="49">
        <f>IF(F52=0," ",F52)</f>
        <v>10</v>
      </c>
      <c r="I52" s="58" t="str">
        <f>IF(GENERAL!I52=0," ",GENERAL!I52)</f>
        <v>MK3145</v>
      </c>
      <c r="J52" s="54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0E61-ADE0-477A-89D7-AE3977AA0777}">
  <dimension ref="A1:P86"/>
  <sheetViews>
    <sheetView view="pageBreakPreview" zoomScale="55" zoomScaleNormal="50" zoomScaleSheetLayoutView="55" workbookViewId="0">
      <selection activeCell="I52" sqref="I52:J52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83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91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10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47" t="str">
        <f>IF(GENERAL!J15=0," ",GENERAL!J15)</f>
        <v xml:space="preserve"> </v>
      </c>
      <c r="K15" s="101"/>
      <c r="M15" s="43">
        <f>SUM((F44/3)*20+F20)</f>
        <v>20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/>
      <c r="G16" s="48" t="str">
        <f>IF(F16=0," ",F16)</f>
        <v xml:space="preserve"> </v>
      </c>
      <c r="H16" s="49" t="str">
        <f>IF(F16=0," ",F16)</f>
        <v xml:space="preserve"> </v>
      </c>
      <c r="I16" s="50"/>
      <c r="J16" s="51"/>
      <c r="K16" s="114"/>
      <c r="M16" s="43">
        <f>SUM(F24)</f>
        <v>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0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10</v>
      </c>
      <c r="G18" s="48">
        <f>IF(F18=0," ",F18)</f>
        <v>10</v>
      </c>
      <c r="H18" s="49">
        <f>IF(F18=0," ",F18)</f>
        <v>10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40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20</v>
      </c>
      <c r="G20" s="48">
        <f>IF(F20=0," ",F20)</f>
        <v>20</v>
      </c>
      <c r="H20" s="49">
        <f>IF(F20=0," ",F20)</f>
        <v>20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/>
      <c r="G22" s="48" t="str">
        <f>IF(F22=0," ",F22)</f>
        <v xml:space="preserve"> </v>
      </c>
      <c r="H22" s="49" t="str">
        <f>IF(F22=0," ",F22)</f>
        <v xml:space="preserve"> </v>
      </c>
      <c r="I22" s="50"/>
      <c r="J22" s="51"/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/>
      <c r="J23" s="53"/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/>
      <c r="G24" s="48" t="str">
        <f>IF(F24=0," ",F24)</f>
        <v xml:space="preserve"> </v>
      </c>
      <c r="H24" s="49" t="str">
        <f>IF(F24=0," ",F24)</f>
        <v xml:space="preserve"> </v>
      </c>
      <c r="I24" s="50"/>
      <c r="J24" s="54"/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/>
      <c r="J25" s="53"/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/>
      <c r="G26" s="48" t="str">
        <f>IF(F26=0," ",F26)</f>
        <v xml:space="preserve"> </v>
      </c>
      <c r="H26" s="49" t="str">
        <f>IF(F26=0," ",F26)</f>
        <v xml:space="preserve"> </v>
      </c>
      <c r="I26" s="50"/>
      <c r="J26" s="51"/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4</v>
      </c>
      <c r="G28" s="48">
        <f>IF(F28=0," ",F28)</f>
        <v>4</v>
      </c>
      <c r="H28" s="49">
        <f>IF(F28=0," ",F28)</f>
        <v>4</v>
      </c>
      <c r="I28" s="50" t="str">
        <f>IF(GENERAL!I28=0," ",GENERAL!I28)</f>
        <v>0374MA108</v>
      </c>
      <c r="J28" s="54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 t="str">
        <f>IF(GENERAL!I29=0," ",GENERAL!I29)</f>
        <v xml:space="preserve"> </v>
      </c>
      <c r="J29" s="53" t="str">
        <f>IF(GENERAL!J29=0," ",GENERAL!J29)</f>
        <v xml:space="preserve"> </v>
      </c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4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1</v>
      </c>
      <c r="G32" s="48">
        <f>IF(F32=0," ",F32)</f>
        <v>1</v>
      </c>
      <c r="H32" s="49">
        <f>IF(F32=0," ",F32)</f>
        <v>1</v>
      </c>
      <c r="I32" s="50" t="str">
        <f>IF(GENERAL!I32=0," ",GENERAL!I32)</f>
        <v>2825Q001A</v>
      </c>
      <c r="J32" s="51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/>
      <c r="J33" s="55"/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/>
      <c r="G34" s="48" t="str">
        <f>IF(F34=0," ",F34)</f>
        <v xml:space="preserve"> </v>
      </c>
      <c r="H34" s="49" t="str">
        <f>IF(F34=0," ",F34)</f>
        <v xml:space="preserve"> </v>
      </c>
      <c r="I34" s="50"/>
      <c r="J34" s="54"/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/>
      <c r="J35" s="55"/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/>
      <c r="G36" s="48" t="str">
        <f>IF(F36=0," ",F36)</f>
        <v xml:space="preserve"> </v>
      </c>
      <c r="H36" s="49" t="str">
        <f>IF(F36=0," ",F36)</f>
        <v xml:space="preserve"> </v>
      </c>
      <c r="I36" s="50"/>
      <c r="J36" s="54"/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/>
      <c r="J37" s="55"/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81" t="str">
        <f>IF(F38=0," ",F38)</f>
        <v xml:space="preserve"> </v>
      </c>
      <c r="H38" s="49" t="str">
        <f>IF(F38=0," ",F38)</f>
        <v xml:space="preserve"> </v>
      </c>
      <c r="I38" s="50"/>
      <c r="J38" s="54"/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/>
      <c r="J39" s="53"/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/>
      <c r="G40" s="81" t="str">
        <f>IF(F40=0," ",F40)</f>
        <v xml:space="preserve"> </v>
      </c>
      <c r="H40" s="49" t="str">
        <f>IF(F40=0," ",F40)</f>
        <v xml:space="preserve"> </v>
      </c>
      <c r="I40" s="50"/>
      <c r="J40" s="51"/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/>
      <c r="J42" s="54"/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/>
      <c r="J49" s="53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/>
      <c r="G52" s="49" t="str">
        <f>IF(F52=0," ",F52)</f>
        <v xml:space="preserve"> </v>
      </c>
      <c r="H52" s="49" t="str">
        <f>IF(F52=0," ",F52)</f>
        <v xml:space="preserve"> </v>
      </c>
      <c r="I52" s="58"/>
      <c r="J52" s="54"/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9683-8039-4EAC-9551-773C18D6B0F3}">
  <dimension ref="A1:P86"/>
  <sheetViews>
    <sheetView view="pageBreakPreview" zoomScale="55" zoomScaleNormal="50" zoomScaleSheetLayoutView="55" workbookViewId="0">
      <selection activeCell="I32" sqref="I32:J32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84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92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52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47" t="str">
        <f>IF(GENERAL!J15=0," ",GENERAL!J15)</f>
        <v xml:space="preserve"> </v>
      </c>
      <c r="K15" s="101"/>
      <c r="M15" s="43">
        <f>SUM((F44/3)*20+F20)</f>
        <v>40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20</v>
      </c>
      <c r="G16" s="48">
        <f>IF(F16=0," ",F16)</f>
        <v>20</v>
      </c>
      <c r="H16" s="49">
        <f>IF(F16=0," ",F16)</f>
        <v>20</v>
      </c>
      <c r="I16" s="50" t="str">
        <f>IF(GENERAL!I16=0," ",GENERAL!I16)</f>
        <v>LC5884</v>
      </c>
      <c r="J16" s="51">
        <f>IF(GENERAL!J16=0," ",GENERAL!J16)</f>
        <v>46388</v>
      </c>
      <c r="K16" s="114"/>
      <c r="M16" s="43">
        <f>SUM(F24)</f>
        <v>10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52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30</v>
      </c>
      <c r="G18" s="48">
        <f>IF(F18=0," ",F18)</f>
        <v>30</v>
      </c>
      <c r="H18" s="49">
        <f>IF(F18=0," ",F18)</f>
        <v>30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40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40</v>
      </c>
      <c r="G20" s="48">
        <f>IF(F20=0," ",F20)</f>
        <v>40</v>
      </c>
      <c r="H20" s="49">
        <f>IF(F20=0," ",F20)</f>
        <v>40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>
        <v>2</v>
      </c>
      <c r="G22" s="48">
        <f>IF(F22=0," ",F22)</f>
        <v>2</v>
      </c>
      <c r="H22" s="49">
        <f>IF(F22=0," ",F22)</f>
        <v>2</v>
      </c>
      <c r="I22" s="50">
        <f>IF(GENERAL!I22=0," ",GENERAL!I22)</f>
        <v>2526250606</v>
      </c>
      <c r="J22" s="158">
        <v>46919</v>
      </c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 t="str">
        <f>IF(GENERAL!I23=0," ",GENERAL!I23)</f>
        <v xml:space="preserve"> </v>
      </c>
      <c r="J23" s="53" t="str">
        <f>IF(GENERAL!J23=0," ",GENERAL!J23)</f>
        <v xml:space="preserve"> </v>
      </c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10</v>
      </c>
      <c r="G24" s="48">
        <f>IF(F24=0," ",F24)</f>
        <v>10</v>
      </c>
      <c r="H24" s="49">
        <f>IF(F24=0," ",F24)</f>
        <v>10</v>
      </c>
      <c r="I24" s="50" t="str">
        <f>IF(GENERAL!I24=0," ",GENERAL!I24)</f>
        <v>AHAVC215AA</v>
      </c>
      <c r="J24" s="54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 t="str">
        <f>IF(GENERAL!I25=0," ",GENERAL!I25)</f>
        <v xml:space="preserve"> </v>
      </c>
      <c r="J25" s="53" t="str">
        <f>IF(GENERAL!J25=0," ",GENERAL!J25)</f>
        <v xml:space="preserve"> </v>
      </c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v>2</v>
      </c>
      <c r="G26" s="48">
        <f>IF(F26=0," ",F26)</f>
        <v>2</v>
      </c>
      <c r="H26" s="49">
        <f>IF(F26=0," ",F26)</f>
        <v>2</v>
      </c>
      <c r="I26" s="50" t="str">
        <f>IF(GENERAL!I26=0," ",GENERAL!I26)</f>
        <v>0125N120A</v>
      </c>
      <c r="J26" s="51">
        <f>IF(GENERAL!J26=0," ",GENERAL!J26)</f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4</v>
      </c>
      <c r="G28" s="48">
        <f>IF(F28=0," ",F28)</f>
        <v>4</v>
      </c>
      <c r="H28" s="49">
        <f>IF(F28=0," ",F28)</f>
        <v>4</v>
      </c>
      <c r="I28" s="50" t="str">
        <f>IF(GENERAL!I28=0," ",GENERAL!I28)</f>
        <v>0374MA108</v>
      </c>
      <c r="J28" s="54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 t="str">
        <f>IF(GENERAL!I29=0," ",GENERAL!I29)</f>
        <v xml:space="preserve"> </v>
      </c>
      <c r="J29" s="53" t="str">
        <f>IF(GENERAL!J29=0," ",GENERAL!J29)</f>
        <v xml:space="preserve"> </v>
      </c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1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/>
      <c r="G32" s="48" t="str">
        <f>IF(F32=0," ",F32)</f>
        <v xml:space="preserve"> </v>
      </c>
      <c r="H32" s="49" t="str">
        <f>IF(F32=0," ",F32)</f>
        <v xml:space="preserve"> </v>
      </c>
      <c r="I32" s="50"/>
      <c r="J32" s="51"/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/>
      <c r="J33" s="55"/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v>10</v>
      </c>
      <c r="G34" s="48">
        <f>IF(F34=0," ",F34)</f>
        <v>10</v>
      </c>
      <c r="H34" s="49">
        <f>IF(F34=0," ",F34)</f>
        <v>10</v>
      </c>
      <c r="I34" s="50" t="str">
        <f>IF(GENERAL!I34=0," ",GENERAL!I34)</f>
        <v>AC37B542BD</v>
      </c>
      <c r="J34" s="54">
        <f>IF(GENERAL!J34=0," ",GENERAL!J34)</f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 t="str">
        <f>IF(GENERAL!I35=0," ",GENERAL!I35)</f>
        <v xml:space="preserve"> </v>
      </c>
      <c r="J35" s="55" t="str">
        <f>IF(GENERAL!J35=0," ",GENERAL!J35)</f>
        <v xml:space="preserve"> </v>
      </c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4</v>
      </c>
      <c r="G36" s="48">
        <f>IF(F36=0," ",F36)</f>
        <v>4</v>
      </c>
      <c r="H36" s="49">
        <f>IF(F36=0," ",F36)</f>
        <v>4</v>
      </c>
      <c r="I36" s="50" t="str">
        <f>IF(GENERAL!I36=0," ",GENERAL!I36)</f>
        <v>2805X003A</v>
      </c>
      <c r="J36" s="54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 t="str">
        <f>IF(GENERAL!I37=0," ",GENERAL!I37)</f>
        <v xml:space="preserve"> </v>
      </c>
      <c r="J37" s="55" t="str">
        <f>IF(GENERAL!J37=0," ",GENERAL!J37)</f>
        <v xml:space="preserve"> </v>
      </c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81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 t="str">
        <f>IF(GENERAL!I39=0," ",GENERAL!I39)</f>
        <v xml:space="preserve"> </v>
      </c>
      <c r="J39" s="53" t="str">
        <f>IF(GENERAL!J39=0," ",GENERAL!J39)</f>
        <v xml:space="preserve"> </v>
      </c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>
        <v>50</v>
      </c>
      <c r="G40" s="81">
        <f>IF(F40=0," ",F40)</f>
        <v>50</v>
      </c>
      <c r="H40" s="49">
        <f>IF(F40=0," ",F40)</f>
        <v>50</v>
      </c>
      <c r="I40" s="50" t="str">
        <f>IF(GENERAL!I40=0," ",GENERAL!I40)</f>
        <v>0135N027B</v>
      </c>
      <c r="J40" s="54">
        <f>IF(GENERAL!J40=0," ",GENERAL!J40)</f>
        <v>46600</v>
      </c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 t="str">
        <f>IF(GENERAL!I42=0," ",GENERAL!I42)</f>
        <v xml:space="preserve"> </v>
      </c>
      <c r="J42" s="54" t="str">
        <f>IF(GENERAL!J42=0," ",GENERAL!J42)</f>
        <v xml:space="preserve"> </v>
      </c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4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 t="str">
        <f>IF(GENERAL!I49=0," ",GENERAL!I49)</f>
        <v xml:space="preserve"> </v>
      </c>
      <c r="J49" s="53" t="str">
        <f>IF(GENERAL!J49=0," ",GENERAL!J49)</f>
        <v xml:space="preserve"> </v>
      </c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10</v>
      </c>
      <c r="G52" s="49">
        <f>IF(F52=0," ",F52)</f>
        <v>10</v>
      </c>
      <c r="H52" s="49">
        <f>IF(F52=0," ",F52)</f>
        <v>10</v>
      </c>
      <c r="I52" s="58" t="str">
        <f>IF(GENERAL!I52=0," ",GENERAL!I52)</f>
        <v>MK3145</v>
      </c>
      <c r="J52" s="54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AF4-CA75-4508-B911-5E3E02F5DCE4}">
  <dimension ref="A1:P86"/>
  <sheetViews>
    <sheetView view="pageBreakPreview" zoomScale="55" zoomScaleNormal="50" zoomScaleSheetLayoutView="55" workbookViewId="0">
      <selection activeCell="D26" sqref="D26:D27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85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98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37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47" t="str">
        <f>IF(GENERAL!J15=0," ",GENERAL!J15)</f>
        <v xml:space="preserve"> </v>
      </c>
      <c r="K15" s="101"/>
      <c r="M15" s="43">
        <f>SUM((F44/3)*20+F20)</f>
        <v>20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20</v>
      </c>
      <c r="G16" s="39">
        <f>IF(F16=0," ",F16)</f>
        <v>20</v>
      </c>
      <c r="H16" s="40">
        <f>IF(F16=0," ",F16)</f>
        <v>20</v>
      </c>
      <c r="I16" s="50" t="str">
        <f>IF(GENERAL!I16=0," ",GENERAL!I16)</f>
        <v>LC5884</v>
      </c>
      <c r="J16" s="51">
        <f>IF(GENERAL!J16=0," ",GENERAL!J16)</f>
        <v>46388</v>
      </c>
      <c r="K16" s="114"/>
      <c r="M16" s="43">
        <f>SUM(F24)</f>
        <v>5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31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20</v>
      </c>
      <c r="G18" s="48">
        <f>IF(F18=0," ",F18)</f>
        <v>20</v>
      </c>
      <c r="H18" s="49">
        <f>IF(F18=0," ",F18)</f>
        <v>20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30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20</v>
      </c>
      <c r="G20" s="48">
        <f>IF(F20=0," ",F20)</f>
        <v>20</v>
      </c>
      <c r="H20" s="49">
        <f>IF(F20=0," ",F20)</f>
        <v>20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>
        <v>2</v>
      </c>
      <c r="G22" s="48">
        <f>IF(F22=0," ",F22)</f>
        <v>2</v>
      </c>
      <c r="H22" s="49">
        <f>IF(F22=0," ",F22)</f>
        <v>2</v>
      </c>
      <c r="I22" s="50">
        <f>IF(GENERAL!I22=0," ",GENERAL!I22)</f>
        <v>2526250606</v>
      </c>
      <c r="J22" s="158">
        <v>46919</v>
      </c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 t="str">
        <f>IF(GENERAL!I23=0," ",GENERAL!I23)</f>
        <v xml:space="preserve"> </v>
      </c>
      <c r="J23" s="53" t="str">
        <f>IF(GENERAL!J23=0," ",GENERAL!J23)</f>
        <v xml:space="preserve"> </v>
      </c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5</v>
      </c>
      <c r="G24" s="48">
        <f>IF(F24=0," ",F24)</f>
        <v>5</v>
      </c>
      <c r="H24" s="49">
        <f>IF(F24=0," ",F24)</f>
        <v>5</v>
      </c>
      <c r="I24" s="50" t="str">
        <f>IF(GENERAL!I24=0," ",GENERAL!I24)</f>
        <v>AHAVC215AA</v>
      </c>
      <c r="J24" s="54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 t="str">
        <f>IF(GENERAL!I25=0," ",GENERAL!I25)</f>
        <v xml:space="preserve"> </v>
      </c>
      <c r="J25" s="53" t="str">
        <f>IF(GENERAL!J25=0," ",GENERAL!J25)</f>
        <v xml:space="preserve"> </v>
      </c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v>1</v>
      </c>
      <c r="G26" s="48">
        <f>IF(F26=0," ",F26)</f>
        <v>1</v>
      </c>
      <c r="H26" s="49">
        <f>IF(F26=0," ",F26)</f>
        <v>1</v>
      </c>
      <c r="I26" s="48" t="str">
        <f>IF(GENERAL!I26=0," ",GENERAL!I26)</f>
        <v>0125N120A</v>
      </c>
      <c r="J26" s="54">
        <f>IF(GENERAL!J26=0," ",GENERAL!J26)</f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3</v>
      </c>
      <c r="G28" s="48">
        <f>IF(F28=0," ",F28)</f>
        <v>3</v>
      </c>
      <c r="H28" s="49">
        <f>IF(F28=0," ",F28)</f>
        <v>3</v>
      </c>
      <c r="I28" s="50" t="str">
        <f>IF(GENERAL!I28=0," ",GENERAL!I28)</f>
        <v>0374MA108</v>
      </c>
      <c r="J28" s="54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 t="str">
        <f>IF(GENERAL!I29=0," ",GENERAL!I29)</f>
        <v xml:space="preserve"> </v>
      </c>
      <c r="J29" s="53" t="str">
        <f>IF(GENERAL!J29=0," ",GENERAL!J29)</f>
        <v xml:space="preserve"> </v>
      </c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1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1</v>
      </c>
      <c r="G32" s="48">
        <f>IF(F32=0," ",F32)</f>
        <v>1</v>
      </c>
      <c r="H32" s="49">
        <f>IF(F32=0," ",F32)</f>
        <v>1</v>
      </c>
      <c r="I32" s="50" t="str">
        <f>IF(GENERAL!I32=0," ",GENERAL!I32)</f>
        <v>2825Q001A</v>
      </c>
      <c r="J32" s="51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/>
      <c r="J33" s="55"/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v>5</v>
      </c>
      <c r="G34" s="48">
        <f>IF(F34=0," ",F34)</f>
        <v>5</v>
      </c>
      <c r="H34" s="49">
        <f>IF(F34=0," ",F34)</f>
        <v>5</v>
      </c>
      <c r="I34" s="50" t="str">
        <f>IF(GENERAL!I34=0," ",GENERAL!I34)</f>
        <v>AC37B542BD</v>
      </c>
      <c r="J34" s="51">
        <f>IF(GENERAL!J34=0," ",GENERAL!J34)</f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/>
      <c r="J35" s="55"/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2</v>
      </c>
      <c r="G36" s="48">
        <f>IF(F36=0," ",F36)</f>
        <v>2</v>
      </c>
      <c r="H36" s="49">
        <f>IF(F36=0," ",F36)</f>
        <v>2</v>
      </c>
      <c r="I36" s="50" t="str">
        <f>IF(GENERAL!I36=0," ",GENERAL!I36)</f>
        <v>2805X003A</v>
      </c>
      <c r="J36" s="51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 t="str">
        <f>IF(GENERAL!I37=0," ",GENERAL!I37)</f>
        <v xml:space="preserve"> </v>
      </c>
      <c r="J37" s="55" t="str">
        <f>IF(GENERAL!J37=0," ",GENERAL!J37)</f>
        <v xml:space="preserve"> </v>
      </c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48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 t="str">
        <f>IF(GENERAL!I39=0," ",GENERAL!I39)</f>
        <v xml:space="preserve"> </v>
      </c>
      <c r="J39" s="53" t="str">
        <f>IF(GENERAL!J39=0," ",GENERAL!J39)</f>
        <v xml:space="preserve"> </v>
      </c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>
        <v>30</v>
      </c>
      <c r="G40" s="48">
        <f>IF(F40=0," ",F40)</f>
        <v>30</v>
      </c>
      <c r="H40" s="49">
        <f>IF(F40=0," ",F40)</f>
        <v>30</v>
      </c>
      <c r="I40" s="50" t="str">
        <f>IF(GENERAL!I40=0," ",GENERAL!I40)</f>
        <v>0135N027B</v>
      </c>
      <c r="J40" s="51">
        <f>IF(GENERAL!J40=0," ",GENERAL!J40)</f>
        <v>46600</v>
      </c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 t="str">
        <f>IF(GENERAL!I41=0," ",GENERAL!I41)</f>
        <v xml:space="preserve"> </v>
      </c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 t="str">
        <f>IF(GENERAL!I42=0," ",GENERAL!I42)</f>
        <v xml:space="preserve"> </v>
      </c>
      <c r="J42" s="54" t="str">
        <f>IF(GENERAL!J42=0," ",GENERAL!J42)</f>
        <v xml:space="preserve"> </v>
      </c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/>
      <c r="J49" s="53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10</v>
      </c>
      <c r="G52" s="49">
        <f>IF(F52=0," ",F52)</f>
        <v>10</v>
      </c>
      <c r="H52" s="49">
        <f>IF(F52=0," ",F52)</f>
        <v>10</v>
      </c>
      <c r="I52" s="58" t="str">
        <f>IF(GENERAL!I52=0," ",GENERAL!I52)</f>
        <v>MK3145</v>
      </c>
      <c r="J52" s="54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4A94-2C8D-49A5-A65A-8C558042DB51}">
  <dimension ref="A1:P86"/>
  <sheetViews>
    <sheetView view="pageBreakPreview" zoomScale="55" zoomScaleNormal="50" zoomScaleSheetLayoutView="55" workbookViewId="0">
      <selection activeCell="J22" sqref="J22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86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93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50" t="str">
        <f>IF(GENERAL!I14=0," ",GENERAL!I14)</f>
        <v xml:space="preserve"> </v>
      </c>
      <c r="J14" s="51" t="str">
        <f>IF(GENERAL!J14=0," ",GENERAL!J14)</f>
        <v xml:space="preserve"> </v>
      </c>
      <c r="K14" s="100"/>
      <c r="M14" s="43">
        <f>SUM(F14+(F44*10)+(F32*10)+F22+F34+(F36*10)+F48)</f>
        <v>52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/>
      <c r="J15" s="47"/>
      <c r="K15" s="101"/>
      <c r="M15" s="43">
        <f>SUM((F44/3)*20+F20)</f>
        <v>80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70</v>
      </c>
      <c r="G16" s="48">
        <f>IF(F16=0," ",F16)</f>
        <v>70</v>
      </c>
      <c r="H16" s="49">
        <f>IF(F16=0," ",F16)</f>
        <v>70</v>
      </c>
      <c r="I16" s="50" t="str">
        <f>IF(GENERAL!I16=0," ",GENERAL!I16)</f>
        <v>LC5884</v>
      </c>
      <c r="J16" s="51">
        <f>IF(GENERAL!J16=0," ",GENERAL!J16)</f>
        <v>46388</v>
      </c>
      <c r="K16" s="114"/>
      <c r="M16" s="43">
        <f>SUM(F24)</f>
        <v>30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53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30</v>
      </c>
      <c r="G18" s="48">
        <f>IF(F18=0," ",F18)</f>
        <v>30</v>
      </c>
      <c r="H18" s="49">
        <f>IF(F18=0," ",F18)</f>
        <v>30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40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80</v>
      </c>
      <c r="G20" s="48">
        <f>IF(F20=0," ",F20)</f>
        <v>80</v>
      </c>
      <c r="H20" s="49">
        <f>IF(F20=0," ",F20)</f>
        <v>80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17" t="s">
        <v>21</v>
      </c>
      <c r="D22" s="108" t="s">
        <v>74</v>
      </c>
      <c r="E22" s="110" t="s">
        <v>72</v>
      </c>
      <c r="F22" s="112">
        <v>2</v>
      </c>
      <c r="G22" s="48">
        <f>IF(F22=0," ",F22)</f>
        <v>2</v>
      </c>
      <c r="H22" s="49">
        <f>IF(F22=0," ",F22)</f>
        <v>2</v>
      </c>
      <c r="I22" s="50">
        <f>IF(GENERAL!I22=0," ",GENERAL!I22)</f>
        <v>2526250606</v>
      </c>
      <c r="J22" s="158">
        <v>46919</v>
      </c>
      <c r="K22" s="127"/>
    </row>
    <row r="23" spans="1:16" ht="26.25" thickBot="1" x14ac:dyDescent="0.25">
      <c r="A23" s="122"/>
      <c r="B23" s="124"/>
      <c r="C23" s="118"/>
      <c r="D23" s="109"/>
      <c r="E23" s="111"/>
      <c r="F23" s="113"/>
      <c r="G23" s="45"/>
      <c r="H23" s="46"/>
      <c r="I23" s="47" t="str">
        <f>IF(GENERAL!I23=0," ",GENERAL!I23)</f>
        <v xml:space="preserve"> </v>
      </c>
      <c r="J23" s="53" t="str">
        <f>IF(GENERAL!J23=0," ",GENERAL!J23)</f>
        <v xml:space="preserve"> </v>
      </c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30</v>
      </c>
      <c r="G24" s="48">
        <f>IF(F24=0," ",F24)</f>
        <v>30</v>
      </c>
      <c r="H24" s="49">
        <f>IF(F24=0," ",F24)</f>
        <v>30</v>
      </c>
      <c r="I24" s="50" t="str">
        <f>IF(GENERAL!I24=0," ",GENERAL!I24)</f>
        <v>AHAVC215AA</v>
      </c>
      <c r="J24" s="54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 t="str">
        <f>IF(GENERAL!I25=0," ",GENERAL!I25)</f>
        <v xml:space="preserve"> </v>
      </c>
      <c r="J25" s="53" t="str">
        <f>IF(GENERAL!J25=0," ",GENERAL!J25)</f>
        <v xml:space="preserve"> </v>
      </c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v>3</v>
      </c>
      <c r="G26" s="48">
        <f>IF(F26=0," ",F26)</f>
        <v>3</v>
      </c>
      <c r="H26" s="49">
        <f>IF(F26=0," ",F26)</f>
        <v>3</v>
      </c>
      <c r="I26" s="50" t="str">
        <f>IF(GENERAL!I26=0," ",GENERAL!I26)</f>
        <v>0125N120A</v>
      </c>
      <c r="J26" s="51">
        <f>IF(GENERAL!J26=0," ",GENERAL!J26)</f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4</v>
      </c>
      <c r="G28" s="48">
        <f>IF(F28=0," ",F28)</f>
        <v>4</v>
      </c>
      <c r="H28" s="49">
        <f>IF(F28=0," ",F28)</f>
        <v>4</v>
      </c>
      <c r="I28" s="50" t="str">
        <f>IF(GENERAL!I28=0," ",GENERAL!I28)</f>
        <v>0374MA108</v>
      </c>
      <c r="J28" s="54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 t="str">
        <f>IF(GENERAL!I29=0," ",GENERAL!I29)</f>
        <v xml:space="preserve"> </v>
      </c>
      <c r="J29" s="53" t="str">
        <f>IF(GENERAL!J29=0," ",GENERAL!J29)</f>
        <v xml:space="preserve"> </v>
      </c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1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2</v>
      </c>
      <c r="G32" s="48">
        <f>IF(F32=0," ",F32)</f>
        <v>2</v>
      </c>
      <c r="H32" s="49">
        <f>IF(F32=0," ",F32)</f>
        <v>2</v>
      </c>
      <c r="I32" s="50" t="str">
        <f>IF(GENERAL!I32=0," ",GENERAL!I32)</f>
        <v>2825Q001A</v>
      </c>
      <c r="J32" s="51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 t="str">
        <f>IF(GENERAL!I33=0," ",GENERAL!I33)</f>
        <v xml:space="preserve"> </v>
      </c>
      <c r="J33" s="55" t="str">
        <f>IF(GENERAL!J33=0," ",GENERAL!J33)</f>
        <v xml:space="preserve"> </v>
      </c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v>10</v>
      </c>
      <c r="G34" s="48">
        <f>IF(F34=0," ",F34)</f>
        <v>10</v>
      </c>
      <c r="H34" s="49">
        <f>IF(F34=0," ",F34)</f>
        <v>10</v>
      </c>
      <c r="I34" s="50" t="str">
        <f>IF(GENERAL!I34=0," ",GENERAL!I34)</f>
        <v>AC37B542BD</v>
      </c>
      <c r="J34" s="54">
        <f>IF(GENERAL!J34=0," ",GENERAL!J34)</f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 t="str">
        <f>IF(GENERAL!I35=0," ",GENERAL!I35)</f>
        <v xml:space="preserve"> </v>
      </c>
      <c r="J35" s="55" t="str">
        <f>IF(GENERAL!J35=0," ",GENERAL!J35)</f>
        <v xml:space="preserve"> </v>
      </c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2</v>
      </c>
      <c r="G36" s="48">
        <f>IF(F36=0," ",F36)</f>
        <v>2</v>
      </c>
      <c r="H36" s="49">
        <f>IF(F36=0," ",F36)</f>
        <v>2</v>
      </c>
      <c r="I36" s="50" t="str">
        <f>IF(GENERAL!I36=0," ",GENERAL!I36)</f>
        <v>2805X003A</v>
      </c>
      <c r="J36" s="54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 t="str">
        <f>IF(GENERAL!I37=0," ",GENERAL!I37)</f>
        <v xml:space="preserve"> </v>
      </c>
      <c r="J37" s="55" t="str">
        <f>IF(GENERAL!J37=0," ",GENERAL!J37)</f>
        <v xml:space="preserve"> </v>
      </c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48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 t="str">
        <f>IF(GENERAL!I39=0," ",GENERAL!I39)</f>
        <v xml:space="preserve"> </v>
      </c>
      <c r="J39" s="53" t="str">
        <f>IF(GENERAL!J39=0," ",GENERAL!J39)</f>
        <v xml:space="preserve"> </v>
      </c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>
        <v>50</v>
      </c>
      <c r="G40" s="48">
        <f>IF(F40=0," ",F40)</f>
        <v>50</v>
      </c>
      <c r="H40" s="49">
        <f>IF(F40=0," ",F40)</f>
        <v>50</v>
      </c>
      <c r="I40" s="50" t="str">
        <f>IF(GENERAL!I40=0," ",GENERAL!I40)</f>
        <v>0135N027B</v>
      </c>
      <c r="J40" s="54">
        <f>IF(GENERAL!J40=0," ",GENERAL!J40)</f>
        <v>46600</v>
      </c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 t="str">
        <f>IF(GENERAL!I41=0," ",GENERAL!I41)</f>
        <v xml:space="preserve"> </v>
      </c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 t="str">
        <f>IF(GENERAL!I42=0," ",GENERAL!I42)</f>
        <v xml:space="preserve"> </v>
      </c>
      <c r="J42" s="54" t="str">
        <f>IF(GENERAL!J42=0," ",GENERAL!J42)</f>
        <v xml:space="preserve"> </v>
      </c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 t="str">
        <f>IF(GENERAL!I49=0," ",GENERAL!I49)</f>
        <v xml:space="preserve"> </v>
      </c>
      <c r="J49" s="53" t="str">
        <f>IF(GENERAL!J49=0," ",GENERAL!J49)</f>
        <v xml:space="preserve"> </v>
      </c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20</v>
      </c>
      <c r="G52" s="49">
        <f>IF(F52=0," ",F52)</f>
        <v>20</v>
      </c>
      <c r="H52" s="49">
        <f>IF(F52=0," ",F52)</f>
        <v>20</v>
      </c>
      <c r="I52" s="58" t="str">
        <f>IF(GENERAL!I52=0," ",GENERAL!I52)</f>
        <v>MK3145</v>
      </c>
      <c r="J52" s="54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2920-7130-4882-9CDA-3FA43CFA269D}">
  <dimension ref="A1:P86"/>
  <sheetViews>
    <sheetView view="pageBreakPreview" zoomScale="55" zoomScaleNormal="50" zoomScaleSheetLayoutView="55" workbookViewId="0">
      <selection activeCell="I40" sqref="I40:J41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100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153"/>
      <c r="C10" s="153"/>
      <c r="D10" s="153"/>
      <c r="E10" s="31"/>
      <c r="F10" s="30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48" t="str">
        <f>IF(F14=0," ",F14)</f>
        <v xml:space="preserve"> </v>
      </c>
      <c r="H14" s="49" t="str">
        <f>IF(F14=0," ",F14)</f>
        <v xml:space="preserve"> </v>
      </c>
      <c r="I14" s="50" t="str">
        <f>IF(GENERAL!I14=0," ",GENERAL!I14)</f>
        <v xml:space="preserve"> </v>
      </c>
      <c r="J14" s="54" t="str">
        <f>IF(GENERAL!J14=0," ",GENERAL!J14)</f>
        <v xml:space="preserve"> </v>
      </c>
      <c r="K14" s="100"/>
      <c r="M14" s="43">
        <f>SUM(F14+(F44*10)+(F32*10)+F22+F34+(F36*10)+F48)</f>
        <v>10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52" t="str">
        <f>IF(GENERAL!J15=0," ",GENERAL!J15)</f>
        <v xml:space="preserve"> </v>
      </c>
      <c r="K15" s="101"/>
      <c r="M15" s="43">
        <f>SUM((F44/3)*20+F20)</f>
        <v>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/>
      <c r="G16" s="48" t="str">
        <f>IF(F16=0," ",F16)</f>
        <v xml:space="preserve"> </v>
      </c>
      <c r="H16" s="49" t="str">
        <f>IF(F16=0," ",F16)</f>
        <v xml:space="preserve"> </v>
      </c>
      <c r="I16" s="50"/>
      <c r="J16" s="51"/>
      <c r="K16" s="114"/>
      <c r="M16" s="43">
        <f>SUM(F24)</f>
        <v>5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0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/>
      <c r="G18" s="48" t="str">
        <f>IF(F18=0," ",F18)</f>
        <v xml:space="preserve"> </v>
      </c>
      <c r="H18" s="49" t="str">
        <f>IF(F18=0," ",F18)</f>
        <v xml:space="preserve"> </v>
      </c>
      <c r="I18" s="50"/>
      <c r="J18" s="54"/>
      <c r="K18" s="119"/>
      <c r="M18" s="43">
        <f>SUM(F28*10)</f>
        <v>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/>
      <c r="J19" s="52"/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/>
      <c r="G20" s="48" t="str">
        <f>IF(F20=0," ",F20)</f>
        <v xml:space="preserve"> </v>
      </c>
      <c r="H20" s="49" t="str">
        <f>IF(F20=0," ",F20)</f>
        <v xml:space="preserve"> </v>
      </c>
      <c r="I20" s="50"/>
      <c r="J20" s="51"/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/>
      <c r="J21" s="47"/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/>
      <c r="G22" s="48" t="str">
        <f>IF(F22=0," ",F22)</f>
        <v xml:space="preserve"> </v>
      </c>
      <c r="H22" s="49" t="str">
        <f>IF(F22=0," ",F22)</f>
        <v xml:space="preserve"> </v>
      </c>
      <c r="I22" s="50"/>
      <c r="J22" s="51"/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/>
      <c r="J23" s="53"/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v>5</v>
      </c>
      <c r="G24" s="48">
        <f>IF(F24=0," ",F24)</f>
        <v>5</v>
      </c>
      <c r="H24" s="49">
        <f>IF(F24=0," ",F24)</f>
        <v>5</v>
      </c>
      <c r="I24" s="50" t="str">
        <f>IF(GENERAL!I24=0," ",GENERAL!I24)</f>
        <v>AHAVC215AA</v>
      </c>
      <c r="J24" s="51">
        <f>IF(GENERAL!J24=0," ",GENERAL!J24)</f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/>
      <c r="J25" s="53"/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/>
      <c r="G26" s="48" t="str">
        <f>IF(F26=0," ",F26)</f>
        <v xml:space="preserve"> </v>
      </c>
      <c r="H26" s="49" t="str">
        <f>IF(F26=0," ",F26)</f>
        <v xml:space="preserve"> </v>
      </c>
      <c r="I26" s="50"/>
      <c r="J26" s="51"/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/>
      <c r="J27" s="55"/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/>
      <c r="G28" s="48" t="str">
        <f>IF(F28=0," ",F28)</f>
        <v xml:space="preserve"> </v>
      </c>
      <c r="H28" s="49" t="str">
        <f>IF(F28=0," ",F28)</f>
        <v xml:space="preserve"> </v>
      </c>
      <c r="I28" s="50"/>
      <c r="J28" s="51"/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/>
      <c r="J29" s="53"/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/>
      <c r="J30" s="51"/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/>
      <c r="J31" s="53"/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/>
      <c r="G32" s="48" t="str">
        <f>IF(F32=0," ",F32)</f>
        <v xml:space="preserve"> </v>
      </c>
      <c r="H32" s="49" t="str">
        <f>IF(F32=0," ",F32)</f>
        <v xml:space="preserve"> </v>
      </c>
      <c r="I32" s="50"/>
      <c r="J32" s="54"/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/>
      <c r="J33" s="55"/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/>
      <c r="G34" s="48" t="str">
        <f>IF(F34=0," ",F34)</f>
        <v xml:space="preserve"> </v>
      </c>
      <c r="H34" s="49" t="str">
        <f>IF(F34=0," ",F34)</f>
        <v xml:space="preserve"> </v>
      </c>
      <c r="I34" s="50"/>
      <c r="J34" s="54"/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/>
      <c r="J35" s="55"/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1</v>
      </c>
      <c r="G36" s="48">
        <f>IF(F36=0," ",F36)</f>
        <v>1</v>
      </c>
      <c r="H36" s="49">
        <f>IF(F36=0," ",F36)</f>
        <v>1</v>
      </c>
      <c r="I36" s="50" t="str">
        <f>IF(GENERAL!I36=0," ",GENERAL!I36)</f>
        <v>2805X003A</v>
      </c>
      <c r="J36" s="54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/>
      <c r="J37" s="55"/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48" t="str">
        <f>IF(F38=0," ",F38)</f>
        <v xml:space="preserve"> </v>
      </c>
      <c r="H38" s="49" t="str">
        <f>IF(F38=0," ",F38)</f>
        <v xml:space="preserve"> </v>
      </c>
      <c r="I38" s="50" t="str">
        <f>IF(GENERAL!I38=0," ",GENERAL!I38)</f>
        <v xml:space="preserve"> </v>
      </c>
      <c r="J38" s="54" t="str">
        <f>IF(GENERAL!J38=0," ",GENERAL!J38)</f>
        <v xml:space="preserve"> </v>
      </c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 t="str">
        <f>IF(GENERAL!I39=0," ",GENERAL!I39)</f>
        <v xml:space="preserve"> </v>
      </c>
      <c r="J39" s="53" t="str">
        <f>IF(GENERAL!J39=0," ",GENERAL!J39)</f>
        <v xml:space="preserve"> </v>
      </c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/>
      <c r="G40" s="48" t="str">
        <f>IF(F40=0," ",F40)</f>
        <v xml:space="preserve"> </v>
      </c>
      <c r="H40" s="49" t="str">
        <f>IF(F40=0," ",F40)</f>
        <v xml:space="preserve"> </v>
      </c>
      <c r="I40" s="50"/>
      <c r="J40" s="54"/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 t="str">
        <f>IF(GENERAL!I42=0," ",GENERAL!I42)</f>
        <v xml:space="preserve"> </v>
      </c>
      <c r="J42" s="54" t="str">
        <f>IF(GENERAL!J42=0," ",GENERAL!J42)</f>
        <v xml:space="preserve"> </v>
      </c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 t="str">
        <f>IF(GENERAL!I43=0," ",GENERAL!I43)</f>
        <v xml:space="preserve"> </v>
      </c>
      <c r="J43" s="53" t="str">
        <f>IF(GENERAL!J43=0," ",GENERAL!J43)</f>
        <v xml:space="preserve"> </v>
      </c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 t="str">
        <f>IF(GENERAL!I44=0," ",GENERAL!I44)</f>
        <v xml:space="preserve"> </v>
      </c>
      <c r="J44" s="54" t="str">
        <f>IF(GENERAL!J44=0," ",GENERAL!J44)</f>
        <v xml:space="preserve"> </v>
      </c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1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/>
      <c r="J49" s="53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/>
      <c r="G52" s="49" t="str">
        <f>IF(F52=0," ",F52)</f>
        <v xml:space="preserve"> </v>
      </c>
      <c r="H52" s="49" t="str">
        <f>IF(F52=0," ",F52)</f>
        <v xml:space="preserve"> </v>
      </c>
      <c r="I52" s="58"/>
      <c r="J52" s="54"/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54B1-688D-4E34-9A8F-58F77403FEBD}">
  <dimension ref="A1:P86"/>
  <sheetViews>
    <sheetView view="pageBreakPreview" zoomScale="55" zoomScaleNormal="50" zoomScaleSheetLayoutView="55" workbookViewId="0">
      <selection activeCell="I38" sqref="I38:J44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f>IF(GENERAL!H8=0," ",GENERAL!H8)</f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87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99" t="s">
        <v>94</v>
      </c>
      <c r="C10" s="99"/>
      <c r="D10" s="99"/>
      <c r="E10" s="78"/>
      <c r="F10" s="78"/>
      <c r="G10" s="28" t="s">
        <v>32</v>
      </c>
      <c r="H10" s="84" t="str">
        <f>GENERAL!H10</f>
        <v>SEPTIEMBRE</v>
      </c>
      <c r="I10" s="84"/>
      <c r="J10" s="84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/>
      <c r="G14" s="39" t="str">
        <f>IF(F14=0," ",F14)</f>
        <v xml:space="preserve"> </v>
      </c>
      <c r="H14" s="40" t="str">
        <f>IF(F14=0," ",F14)</f>
        <v xml:space="preserve"> </v>
      </c>
      <c r="I14" s="41" t="str">
        <f>IF(GENERAL!I14=0," ",GENERAL!I14)</f>
        <v xml:space="preserve"> </v>
      </c>
      <c r="J14" s="54" t="str">
        <f>IF(GENERAL!J14=0," ",GENERAL!J14)</f>
        <v xml:space="preserve"> </v>
      </c>
      <c r="K14" s="100"/>
      <c r="M14" s="43">
        <f>SUM(F14+(F44*10)+(F32*10)+F22+F34+(F36*10)+F48)</f>
        <v>107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 t="str">
        <f>IF(GENERAL!I15=0," ",GENERAL!I15)</f>
        <v xml:space="preserve"> </v>
      </c>
      <c r="J15" s="47" t="str">
        <f>IF(GENERAL!J15=0," ",GENERAL!J15)</f>
        <v xml:space="preserve"> </v>
      </c>
      <c r="K15" s="101"/>
      <c r="M15" s="43">
        <f>SUM((F44/3)*20+F20)</f>
        <v>150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v>80</v>
      </c>
      <c r="G16" s="48">
        <f>IF(F16=0," ",F16)</f>
        <v>80</v>
      </c>
      <c r="H16" s="49">
        <f>IF(F16=0," ",F16)</f>
        <v>80</v>
      </c>
      <c r="I16" s="50" t="str">
        <f>IF(GENERAL!I16=0," ",GENERAL!I16)</f>
        <v>LC5884</v>
      </c>
      <c r="J16" s="54">
        <f>IF(GENERAL!J16=0," ",GENERAL!J16)</f>
        <v>46388</v>
      </c>
      <c r="K16" s="114"/>
      <c r="M16" s="43">
        <f>SUM(F24)</f>
        <v>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01"/>
      <c r="M17" s="43">
        <f>SUM(F26+F40)</f>
        <v>0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v>80</v>
      </c>
      <c r="G18" s="48">
        <f>IF(F18=0," ",F18)</f>
        <v>80</v>
      </c>
      <c r="H18" s="49">
        <f>IF(F18=0," ",F18)</f>
        <v>80</v>
      </c>
      <c r="I18" s="50" t="str">
        <f>IF(GENERAL!I18=0," ",GENERAL!I18)</f>
        <v>AROLE168AH</v>
      </c>
      <c r="J18" s="51">
        <f>IF(GENERAL!J18=0," ",GENERAL!J18)</f>
        <v>46419</v>
      </c>
      <c r="K18" s="119"/>
      <c r="M18" s="43">
        <f>SUM(F28*10)</f>
        <v>100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 t="str">
        <f>IF(GENERAL!I19=0," ",GENERAL!I19)</f>
        <v xml:space="preserve"> </v>
      </c>
      <c r="J19" s="52" t="str">
        <f>IF(GENERAL!J19=0," ",GENERAL!J19)</f>
        <v xml:space="preserve"> </v>
      </c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v>150</v>
      </c>
      <c r="G20" s="48">
        <f>IF(F20=0," ",F20)</f>
        <v>150</v>
      </c>
      <c r="H20" s="49">
        <f>IF(F20=0," ",F20)</f>
        <v>150</v>
      </c>
      <c r="I20" s="50" t="str">
        <f>IF(GENERAL!I20=0," ",GENERAL!I20)</f>
        <v>Y3C48D1</v>
      </c>
      <c r="J20" s="51">
        <f>IF(GENERAL!J20=0," ",GENERAL!J20)</f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 t="str">
        <f>IF(GENERAL!I21=0," ",GENERAL!I21)</f>
        <v xml:space="preserve"> </v>
      </c>
      <c r="J21" s="47" t="str">
        <f>IF(GENERAL!J21=0," ",GENERAL!J21)</f>
        <v xml:space="preserve"> </v>
      </c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>
        <v>2</v>
      </c>
      <c r="G22" s="48">
        <f>IF(F22=0," ",F22)</f>
        <v>2</v>
      </c>
      <c r="H22" s="49">
        <f>IF(F22=0," ",F22)</f>
        <v>2</v>
      </c>
      <c r="I22" s="50">
        <f>IF(GENERAL!I22=0," ",GENERAL!I22)</f>
        <v>2526250606</v>
      </c>
      <c r="J22" s="158">
        <v>46919</v>
      </c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/>
      <c r="J23" s="53"/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/>
      <c r="G24" s="48" t="str">
        <f>IF(F24=0," ",F24)</f>
        <v xml:space="preserve"> </v>
      </c>
      <c r="H24" s="49" t="str">
        <f>IF(F24=0," ",F24)</f>
        <v xml:space="preserve"> </v>
      </c>
      <c r="I24" s="50"/>
      <c r="J24" s="51"/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/>
      <c r="J25" s="53"/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/>
      <c r="G26" s="48" t="str">
        <f>IF(F26=0," ",F26)</f>
        <v xml:space="preserve"> </v>
      </c>
      <c r="H26" s="49" t="str">
        <f>IF(F26=0," ",F26)</f>
        <v xml:space="preserve"> </v>
      </c>
      <c r="I26" s="50"/>
      <c r="J26" s="51"/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 t="str">
        <f>IF(GENERAL!I27=0," ",GENERAL!I27)</f>
        <v xml:space="preserve"> </v>
      </c>
      <c r="J27" s="55" t="str">
        <f>IF(GENERAL!J27=0," ",GENERAL!J27)</f>
        <v xml:space="preserve"> </v>
      </c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v>10</v>
      </c>
      <c r="G28" s="48">
        <f>IF(F28=0," ",F28)</f>
        <v>10</v>
      </c>
      <c r="H28" s="49">
        <f>IF(F28=0," ",F28)</f>
        <v>10</v>
      </c>
      <c r="I28" s="50" t="str">
        <f>IF(GENERAL!I28=0," ",GENERAL!I28)</f>
        <v>0374MA108</v>
      </c>
      <c r="J28" s="54">
        <f>IF(GENERAL!J28=0," ",GENERAL!J28)</f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 t="str">
        <f>IF(GENERAL!I29=0," ",GENERAL!I29)</f>
        <v xml:space="preserve"> </v>
      </c>
      <c r="J29" s="53" t="str">
        <f>IF(GENERAL!J29=0," ",GENERAL!J29)</f>
        <v xml:space="preserve"> </v>
      </c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/>
      <c r="G30" s="48" t="str">
        <f>IF(F30=0," ",F30)</f>
        <v xml:space="preserve"> </v>
      </c>
      <c r="H30" s="49" t="str">
        <f>IF(F30=0," ",F30)</f>
        <v xml:space="preserve"> </v>
      </c>
      <c r="I30" s="50" t="str">
        <f>IF(GENERAL!I30=0," ",GENERAL!I30)</f>
        <v xml:space="preserve"> </v>
      </c>
      <c r="J30" s="54" t="str">
        <f>IF(GENERAL!J30=0," ",GENERAL!J30)</f>
        <v xml:space="preserve"> </v>
      </c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 t="str">
        <f>IF(GENERAL!I31=0," ",GENERAL!I31)</f>
        <v xml:space="preserve"> </v>
      </c>
      <c r="J31" s="53" t="str">
        <f>IF(GENERAL!J31=0," ",GENERAL!J31)</f>
        <v xml:space="preserve"> </v>
      </c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v>4</v>
      </c>
      <c r="G32" s="48">
        <f>IF(F32=0," ",F32)</f>
        <v>4</v>
      </c>
      <c r="H32" s="49">
        <f>IF(F32=0," ",F32)</f>
        <v>4</v>
      </c>
      <c r="I32" s="50" t="str">
        <f>IF(GENERAL!I32=0," ",GENERAL!I32)</f>
        <v>2825Q001A</v>
      </c>
      <c r="J32" s="54">
        <f>IF(GENERAL!J32=0," ",GENERAL!J32)</f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 t="str">
        <f>IF(GENERAL!I33=0," ",GENERAL!I33)</f>
        <v xml:space="preserve"> </v>
      </c>
      <c r="J33" s="55" t="str">
        <f>IF(GENERAL!J33=0," ",GENERAL!J33)</f>
        <v xml:space="preserve"> </v>
      </c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v>15</v>
      </c>
      <c r="G34" s="48">
        <f>IF(F34=0," ",F34)</f>
        <v>15</v>
      </c>
      <c r="H34" s="49">
        <f>IF(F34=0," ",F34)</f>
        <v>15</v>
      </c>
      <c r="I34" s="50" t="str">
        <f>IF(GENERAL!I34=0," ",GENERAL!I34)</f>
        <v>AC37B542BD</v>
      </c>
      <c r="J34" s="54">
        <f>IF(GENERAL!J34=0," ",GENERAL!J34)</f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 t="str">
        <f>IF(GENERAL!I35=0," ",GENERAL!I35)</f>
        <v xml:space="preserve"> </v>
      </c>
      <c r="J35" s="55" t="str">
        <f>IF(GENERAL!J35=0," ",GENERAL!J35)</f>
        <v xml:space="preserve"> </v>
      </c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v>5</v>
      </c>
      <c r="G36" s="48">
        <f>IF(F36=0," ",F36)</f>
        <v>5</v>
      </c>
      <c r="H36" s="49">
        <f>IF(F36=0," ",F36)</f>
        <v>5</v>
      </c>
      <c r="I36" s="50" t="str">
        <f>IF(GENERAL!I36=0," ",GENERAL!I36)</f>
        <v>2805X003A</v>
      </c>
      <c r="J36" s="54">
        <f>IF(GENERAL!J36=0," ",GENERAL!J36)</f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 t="str">
        <f>IF(GENERAL!I37=0," ",GENERAL!I37)</f>
        <v xml:space="preserve"> </v>
      </c>
      <c r="J37" s="55" t="str">
        <f>IF(GENERAL!J37=0," ",GENERAL!J37)</f>
        <v xml:space="preserve"> </v>
      </c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/>
      <c r="G38" s="48" t="str">
        <f>IF(F38=0," ",F38)</f>
        <v xml:space="preserve"> </v>
      </c>
      <c r="H38" s="49" t="str">
        <f>IF(F38=0," ",F38)</f>
        <v xml:space="preserve"> </v>
      </c>
      <c r="I38" s="50"/>
      <c r="J38" s="54"/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/>
      <c r="J39" s="53"/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/>
      <c r="G40" s="48" t="str">
        <f>IF(F40=0," ",F40)</f>
        <v xml:space="preserve"> </v>
      </c>
      <c r="H40" s="49" t="str">
        <f>IF(F40=0," ",F40)</f>
        <v xml:space="preserve"> </v>
      </c>
      <c r="I40" s="50"/>
      <c r="J40" s="54"/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36"/>
      <c r="G42" s="48" t="str">
        <f>IF(F42=0," ",F42)</f>
        <v xml:space="preserve"> </v>
      </c>
      <c r="H42" s="49" t="str">
        <f>IF(F42=0," ",F42)</f>
        <v xml:space="preserve"> </v>
      </c>
      <c r="I42" s="50"/>
      <c r="J42" s="54"/>
      <c r="K42" s="131"/>
    </row>
    <row r="43" spans="1:11" ht="26.25" thickBot="1" x14ac:dyDescent="0.25">
      <c r="A43" s="122"/>
      <c r="B43" s="124"/>
      <c r="C43" s="126"/>
      <c r="D43" s="109"/>
      <c r="E43" s="111"/>
      <c r="F43" s="137"/>
      <c r="G43" s="45"/>
      <c r="H43" s="46"/>
      <c r="I43" s="47"/>
      <c r="J43" s="53"/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36"/>
      <c r="G44" s="48" t="str">
        <f>IF(F44=0," ",F44)</f>
        <v xml:space="preserve"> </v>
      </c>
      <c r="H44" s="49" t="str">
        <f>IF(F44=0," ",F44)</f>
        <v xml:space="preserve"> </v>
      </c>
      <c r="I44" s="50"/>
      <c r="J44" s="54"/>
      <c r="K44" s="127"/>
    </row>
    <row r="45" spans="1:11" ht="26.25" thickBot="1" x14ac:dyDescent="0.25">
      <c r="A45" s="122"/>
      <c r="B45" s="124"/>
      <c r="C45" s="126"/>
      <c r="D45" s="109"/>
      <c r="E45" s="111"/>
      <c r="F45" s="137"/>
      <c r="G45" s="45"/>
      <c r="H45" s="46"/>
      <c r="I45" s="47" t="str">
        <f>IF(GENERAL!I45=0," ",GENERAL!I45)</f>
        <v xml:space="preserve"> </v>
      </c>
      <c r="J45" s="53" t="str">
        <f>IF(GENERAL!J45=0," ",GENERAL!J45)</f>
        <v xml:space="preserve"> </v>
      </c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36"/>
      <c r="G46" s="49" t="str">
        <f>IF(F46=0," ",F46)</f>
        <v xml:space="preserve"> </v>
      </c>
      <c r="H46" s="49" t="str">
        <f>IF(F46=0," ",F46)</f>
        <v xml:space="preserve"> </v>
      </c>
      <c r="I46" s="50" t="str">
        <f>IF(GENERAL!I46=0," ",GENERAL!I46)</f>
        <v xml:space="preserve"> </v>
      </c>
      <c r="J46" s="54" t="str">
        <f>IF(GENERAL!J46=0," ",GENERAL!J46)</f>
        <v xml:space="preserve"> </v>
      </c>
      <c r="K46" s="131"/>
    </row>
    <row r="47" spans="1:11" ht="26.25" thickBot="1" x14ac:dyDescent="0.25">
      <c r="A47" s="122"/>
      <c r="B47" s="124"/>
      <c r="C47" s="126"/>
      <c r="D47" s="109"/>
      <c r="E47" s="111"/>
      <c r="F47" s="137"/>
      <c r="G47" s="46"/>
      <c r="H47" s="46"/>
      <c r="I47" s="47" t="str">
        <f>IF(GENERAL!I47=0," ",GENERAL!I47)</f>
        <v xml:space="preserve"> </v>
      </c>
      <c r="J47" s="53" t="str">
        <f>IF(GENERAL!J47=0," ",GENERAL!J47)</f>
        <v xml:space="preserve"> </v>
      </c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36"/>
      <c r="G48" s="49" t="str">
        <f>IF(F48=0," ",F48)</f>
        <v xml:space="preserve"> </v>
      </c>
      <c r="H48" s="49" t="str">
        <f>IF(F48=0," ",F48)</f>
        <v xml:space="preserve"> </v>
      </c>
      <c r="I48" s="50" t="str">
        <f>IF(GENERAL!I48=0," ",GENERAL!I48)</f>
        <v xml:space="preserve"> </v>
      </c>
      <c r="J48" s="54" t="str">
        <f>IF(GENERAL!J48=0," ",GENERAL!J48)</f>
        <v xml:space="preserve"> </v>
      </c>
      <c r="K48" s="127"/>
    </row>
    <row r="49" spans="1:13" ht="26.25" thickBot="1" x14ac:dyDescent="0.25">
      <c r="A49" s="122"/>
      <c r="B49" s="124"/>
      <c r="C49" s="126"/>
      <c r="D49" s="109"/>
      <c r="E49" s="111"/>
      <c r="F49" s="137"/>
      <c r="G49" s="46"/>
      <c r="H49" s="46"/>
      <c r="I49" s="47" t="str">
        <f>IF(GENERAL!I49=0," ",GENERAL!I49)</f>
        <v xml:space="preserve"> </v>
      </c>
      <c r="J49" s="53" t="str">
        <f>IF(GENERAL!J49=0," ",GENERAL!J49)</f>
        <v xml:space="preserve"> </v>
      </c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36"/>
      <c r="G50" s="49" t="str">
        <f>IF(F50=0," ",F50)</f>
        <v xml:space="preserve"> </v>
      </c>
      <c r="H50" s="49" t="str">
        <f>IF(F50=0," ",F50)</f>
        <v xml:space="preserve"> </v>
      </c>
      <c r="I50" s="58" t="str">
        <f>IF(GENERAL!I50=0," ",GENERAL!I50)</f>
        <v xml:space="preserve"> </v>
      </c>
      <c r="J50" s="54" t="str">
        <f>IF(GENERAL!J50=0," ",GENERAL!J50)</f>
        <v xml:space="preserve"> </v>
      </c>
      <c r="K50" s="131"/>
    </row>
    <row r="51" spans="1:13" ht="26.25" thickBot="1" x14ac:dyDescent="0.25">
      <c r="A51" s="122"/>
      <c r="B51" s="143"/>
      <c r="C51" s="126"/>
      <c r="D51" s="109"/>
      <c r="E51" s="111"/>
      <c r="F51" s="137"/>
      <c r="G51" s="46"/>
      <c r="H51" s="46"/>
      <c r="I51" s="55" t="str">
        <f>IF(GENERAL!I51=0," ",GENERAL!I51)</f>
        <v xml:space="preserve"> </v>
      </c>
      <c r="J51" s="53" t="str">
        <f>IF(GENERAL!J51=0," ",GENERAL!J51)</f>
        <v xml:space="preserve"> </v>
      </c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36">
        <v>10</v>
      </c>
      <c r="G52" s="49">
        <f>IF(F52=0," ",F52)</f>
        <v>10</v>
      </c>
      <c r="H52" s="49">
        <f>IF(F52=0," ",F52)</f>
        <v>10</v>
      </c>
      <c r="I52" s="58" t="str">
        <f>IF(GENERAL!I52=0," ",GENERAL!I52)</f>
        <v>MK3145</v>
      </c>
      <c r="J52" s="54">
        <f>IF(GENERAL!J52=0," ",GENERAL!J52)</f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37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 t="s">
        <v>102</v>
      </c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30" customHeight="1" x14ac:dyDescent="0.2">
      <c r="A72" s="146" t="s">
        <v>66</v>
      </c>
      <c r="B72" s="146"/>
      <c r="C72" s="146"/>
      <c r="D72" s="7"/>
      <c r="E72" s="7"/>
      <c r="F72" s="6"/>
      <c r="G72" s="11"/>
      <c r="H72" s="147" t="s">
        <v>67</v>
      </c>
      <c r="I72" s="147"/>
      <c r="J72" s="147"/>
      <c r="K72" s="147"/>
      <c r="L72" s="14"/>
    </row>
    <row r="73" spans="1:12" s="19" customFormat="1" ht="30" customHeight="1" x14ac:dyDescent="0.2">
      <c r="A73" s="148"/>
      <c r="B73" s="148"/>
      <c r="C73" s="148"/>
      <c r="D73" s="2"/>
      <c r="E73" s="2"/>
      <c r="F73" s="15"/>
      <c r="G73" s="16"/>
      <c r="H73" s="16"/>
      <c r="I73" s="16"/>
      <c r="J73" s="16"/>
      <c r="K73" s="17"/>
      <c r="L73" s="18"/>
    </row>
    <row r="74" spans="1:12" s="19" customFormat="1" ht="30" customHeight="1" x14ac:dyDescent="0.2">
      <c r="B74" s="149"/>
      <c r="C74" s="149"/>
      <c r="D74" s="20"/>
      <c r="E74" s="20"/>
      <c r="G74" s="21"/>
      <c r="H74" s="21"/>
      <c r="I74" s="21"/>
      <c r="J74" s="21"/>
    </row>
    <row r="75" spans="1:12" s="19" customFormat="1" ht="30" customHeight="1" x14ac:dyDescent="0.2"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H86" s="22"/>
    </row>
  </sheetData>
  <mergeCells count="174">
    <mergeCell ref="A72:C72"/>
    <mergeCell ref="H72:K72"/>
    <mergeCell ref="A73:C73"/>
    <mergeCell ref="B74:C74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56FC-467A-49A3-B6A2-4B3A4B327DD9}">
  <dimension ref="A1:P87"/>
  <sheetViews>
    <sheetView tabSelected="1" view="pageBreakPreview" zoomScale="55" zoomScaleNormal="50" zoomScaleSheetLayoutView="55" workbookViewId="0">
      <selection activeCell="J44" sqref="J44"/>
    </sheetView>
  </sheetViews>
  <sheetFormatPr baseColWidth="10" defaultRowHeight="12.75" x14ac:dyDescent="0.2"/>
  <cols>
    <col min="1" max="1" width="43.7109375" style="33" customWidth="1"/>
    <col min="2" max="2" width="22.140625" style="33" customWidth="1"/>
    <col min="3" max="3" width="63" style="33" customWidth="1"/>
    <col min="4" max="4" width="34.85546875" style="33" customWidth="1"/>
    <col min="5" max="5" width="30.42578125" style="33" customWidth="1"/>
    <col min="6" max="6" width="24.5703125" style="33" customWidth="1"/>
    <col min="7" max="7" width="23.42578125" style="33" customWidth="1"/>
    <col min="8" max="8" width="23.140625" style="33" customWidth="1"/>
    <col min="9" max="9" width="33.42578125" style="33" customWidth="1"/>
    <col min="10" max="10" width="22.42578125" style="33" customWidth="1"/>
    <col min="11" max="11" width="40.28515625" style="33" customWidth="1"/>
    <col min="12" max="12" width="11.42578125" style="33"/>
    <col min="13" max="13" width="11.42578125" style="33" customWidth="1"/>
    <col min="14" max="14" width="22.140625" style="33" customWidth="1"/>
    <col min="15" max="15" width="11.42578125" style="33"/>
    <col min="16" max="16" width="28.28515625" style="33" customWidth="1"/>
    <col min="17" max="16384" width="11.42578125" style="33"/>
  </cols>
  <sheetData>
    <row r="1" spans="1:16" s="19" customFormat="1" ht="30" x14ac:dyDescent="0.2">
      <c r="A1" s="83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24"/>
    </row>
    <row r="2" spans="1:16" s="19" customFormat="1" ht="30" x14ac:dyDescent="0.2">
      <c r="A2" s="83" t="s">
        <v>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25"/>
    </row>
    <row r="3" spans="1:16" s="19" customFormat="1" ht="30" customHeight="1" x14ac:dyDescent="0.2">
      <c r="A3" s="83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25"/>
    </row>
    <row r="4" spans="1:16" s="19" customFormat="1" ht="30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5"/>
    </row>
    <row r="5" spans="1:16" s="19" customFormat="1" ht="30" customHeight="1" x14ac:dyDescent="0.2">
      <c r="A5" s="83" t="s">
        <v>56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6" s="19" customFormat="1" ht="30" customHeight="1" x14ac:dyDescent="0.2">
      <c r="A6" s="23"/>
      <c r="B6" s="23"/>
      <c r="C6" s="23"/>
      <c r="D6" s="23"/>
      <c r="E6" s="27"/>
      <c r="F6" s="23"/>
      <c r="G6" s="23"/>
      <c r="H6" s="23"/>
      <c r="I6" s="23"/>
      <c r="J6" s="23"/>
      <c r="K6" s="27"/>
    </row>
    <row r="7" spans="1:16" s="5" customFormat="1" ht="39.950000000000003" customHeight="1" x14ac:dyDescent="0.35">
      <c r="A7" s="28" t="s">
        <v>57</v>
      </c>
      <c r="B7" s="84" t="s">
        <v>78</v>
      </c>
      <c r="C7" s="84"/>
      <c r="D7" s="84"/>
      <c r="E7" s="29"/>
      <c r="F7" s="30"/>
      <c r="G7" s="28" t="s">
        <v>1</v>
      </c>
      <c r="H7" s="84" t="s">
        <v>58</v>
      </c>
      <c r="I7" s="84"/>
      <c r="J7" s="84"/>
      <c r="K7" s="10"/>
    </row>
    <row r="8" spans="1:16" s="5" customFormat="1" ht="39.950000000000003" customHeight="1" x14ac:dyDescent="0.35">
      <c r="A8" s="28" t="s">
        <v>59</v>
      </c>
      <c r="B8" s="96" t="s">
        <v>60</v>
      </c>
      <c r="C8" s="96"/>
      <c r="D8" s="96"/>
      <c r="E8" s="31"/>
      <c r="F8" s="30"/>
      <c r="G8" s="28" t="s">
        <v>61</v>
      </c>
      <c r="H8" s="97">
        <v>46272</v>
      </c>
      <c r="I8" s="97"/>
      <c r="J8" s="97"/>
      <c r="K8" s="10"/>
    </row>
    <row r="9" spans="1:16" s="5" customFormat="1" ht="39.950000000000003" customHeight="1" x14ac:dyDescent="0.35">
      <c r="A9" s="28" t="s">
        <v>62</v>
      </c>
      <c r="B9" s="84" t="s">
        <v>88</v>
      </c>
      <c r="C9" s="84"/>
      <c r="D9" s="84"/>
      <c r="E9" s="29"/>
      <c r="F9" s="30"/>
      <c r="G9" s="28" t="s">
        <v>35</v>
      </c>
      <c r="H9" s="98"/>
      <c r="I9" s="98"/>
      <c r="J9" s="98"/>
      <c r="K9" s="10"/>
    </row>
    <row r="10" spans="1:16" s="5" customFormat="1" ht="39.75" customHeight="1" x14ac:dyDescent="0.35">
      <c r="A10" s="28" t="s">
        <v>59</v>
      </c>
      <c r="B10" s="153"/>
      <c r="C10" s="153"/>
      <c r="D10" s="153"/>
      <c r="E10" s="31"/>
      <c r="F10" s="30"/>
      <c r="G10" s="28" t="s">
        <v>32</v>
      </c>
      <c r="H10" s="98" t="s">
        <v>110</v>
      </c>
      <c r="I10" s="98"/>
      <c r="J10" s="98"/>
      <c r="K10" s="10"/>
    </row>
    <row r="11" spans="1:16" ht="39.75" customHeight="1" thickBo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s="35" customFormat="1" ht="20.25" x14ac:dyDescent="0.3">
      <c r="A12" s="85" t="s">
        <v>2</v>
      </c>
      <c r="B12" s="87" t="s">
        <v>36</v>
      </c>
      <c r="C12" s="87" t="s">
        <v>3</v>
      </c>
      <c r="D12" s="89" t="s">
        <v>68</v>
      </c>
      <c r="E12" s="34" t="s">
        <v>69</v>
      </c>
      <c r="F12" s="91" t="s">
        <v>4</v>
      </c>
      <c r="G12" s="92"/>
      <c r="H12" s="92"/>
      <c r="I12" s="92"/>
      <c r="J12" s="93"/>
      <c r="K12" s="94" t="s">
        <v>31</v>
      </c>
    </row>
    <row r="13" spans="1:16" s="35" customFormat="1" ht="21" thickBot="1" x14ac:dyDescent="0.35">
      <c r="A13" s="86"/>
      <c r="B13" s="88"/>
      <c r="C13" s="88"/>
      <c r="D13" s="90"/>
      <c r="E13" s="37" t="s">
        <v>70</v>
      </c>
      <c r="F13" s="36" t="s">
        <v>5</v>
      </c>
      <c r="G13" s="36" t="s">
        <v>6</v>
      </c>
      <c r="H13" s="36" t="s">
        <v>7</v>
      </c>
      <c r="I13" s="38" t="s">
        <v>8</v>
      </c>
      <c r="J13" s="38" t="s">
        <v>30</v>
      </c>
      <c r="K13" s="95"/>
    </row>
    <row r="14" spans="1:16" ht="26.25" customHeight="1" x14ac:dyDescent="0.2">
      <c r="A14" s="115" t="s">
        <v>96</v>
      </c>
      <c r="B14" s="116">
        <v>146</v>
      </c>
      <c r="C14" s="117" t="s">
        <v>26</v>
      </c>
      <c r="D14" s="108" t="s">
        <v>71</v>
      </c>
      <c r="E14" s="110" t="s">
        <v>72</v>
      </c>
      <c r="F14" s="112" t="str">
        <f>IFERROR(IF(SUM('SANTA BÁRBARA:EMILIANO ZAPATA'!F14)=0," ",SUM('SANTA BÁRBARA:EMILIANO ZAPATA'!F14))," ")</f>
        <v xml:space="preserve"> </v>
      </c>
      <c r="G14" s="39" t="str">
        <f>IF(F14=0," ",F14)</f>
        <v xml:space="preserve"> </v>
      </c>
      <c r="H14" s="40" t="str">
        <f>IF(F14=0," ",F14)</f>
        <v xml:space="preserve"> </v>
      </c>
      <c r="I14" s="41"/>
      <c r="J14" s="42"/>
      <c r="K14" s="100"/>
      <c r="M14" s="43" t="str">
        <f>IFERROR(SUM(F14+(F44*10)+(F32*10)+F22+F34+(F36*10)+F48),"0")</f>
        <v>0</v>
      </c>
      <c r="N14" s="44" t="s">
        <v>47</v>
      </c>
      <c r="O14" s="44">
        <v>2715</v>
      </c>
      <c r="P14" s="44" t="s">
        <v>48</v>
      </c>
    </row>
    <row r="15" spans="1:16" ht="26.25" thickBot="1" x14ac:dyDescent="0.25">
      <c r="A15" s="103"/>
      <c r="B15" s="105"/>
      <c r="C15" s="118"/>
      <c r="D15" s="109"/>
      <c r="E15" s="111"/>
      <c r="F15" s="113"/>
      <c r="G15" s="45"/>
      <c r="H15" s="46"/>
      <c r="I15" s="47"/>
      <c r="J15" s="47"/>
      <c r="K15" s="101"/>
      <c r="M15" s="43">
        <f t="shared" ref="M15:M17" si="0">IFERROR(SUM(F15+(F45*10)+(F33*10)+F23+F35+(F37*10)+F49),"0")</f>
        <v>0</v>
      </c>
      <c r="N15" s="44" t="s">
        <v>47</v>
      </c>
      <c r="O15" s="44">
        <v>2707</v>
      </c>
      <c r="P15" s="44" t="s">
        <v>49</v>
      </c>
    </row>
    <row r="16" spans="1:16" ht="25.5" x14ac:dyDescent="0.2">
      <c r="A16" s="102" t="s">
        <v>45</v>
      </c>
      <c r="B16" s="104">
        <v>148</v>
      </c>
      <c r="C16" s="106" t="s">
        <v>9</v>
      </c>
      <c r="D16" s="108" t="s">
        <v>71</v>
      </c>
      <c r="E16" s="110" t="s">
        <v>73</v>
      </c>
      <c r="F16" s="112">
        <f>IFERROR(IF(SUM('SANTA BÁRBARA:EMILIANO ZAPATA'!F16)=0," ",SUM('SANTA BÁRBARA:EMILIANO ZAPATA'!F16))," ")</f>
        <v>280</v>
      </c>
      <c r="G16" s="39">
        <f>IF(F16=0," ",F16)</f>
        <v>280</v>
      </c>
      <c r="H16" s="40">
        <f>IF(F16=0," ",F16)</f>
        <v>280</v>
      </c>
      <c r="I16" s="41" t="s">
        <v>111</v>
      </c>
      <c r="J16" s="42">
        <v>46388</v>
      </c>
      <c r="K16" s="154"/>
      <c r="M16" s="43" t="str">
        <f t="shared" si="0"/>
        <v>0</v>
      </c>
      <c r="N16" s="44" t="s">
        <v>47</v>
      </c>
      <c r="O16" s="44">
        <v>2699</v>
      </c>
      <c r="P16" s="44" t="s">
        <v>50</v>
      </c>
    </row>
    <row r="17" spans="1:16" ht="26.25" thickBot="1" x14ac:dyDescent="0.25">
      <c r="A17" s="103"/>
      <c r="B17" s="105"/>
      <c r="C17" s="107"/>
      <c r="D17" s="109"/>
      <c r="E17" s="111"/>
      <c r="F17" s="113"/>
      <c r="G17" s="45"/>
      <c r="H17" s="46"/>
      <c r="I17" s="47"/>
      <c r="J17" s="52"/>
      <c r="K17" s="155"/>
      <c r="M17" s="43">
        <f t="shared" si="0"/>
        <v>0</v>
      </c>
      <c r="N17" s="44" t="s">
        <v>47</v>
      </c>
      <c r="O17" s="44">
        <v>2657</v>
      </c>
      <c r="P17" s="44" t="s">
        <v>51</v>
      </c>
    </row>
    <row r="18" spans="1:16" ht="26.25" customHeight="1" x14ac:dyDescent="0.2">
      <c r="A18" s="121" t="s">
        <v>95</v>
      </c>
      <c r="B18" s="123">
        <v>150</v>
      </c>
      <c r="C18" s="125" t="s">
        <v>54</v>
      </c>
      <c r="D18" s="108" t="s">
        <v>71</v>
      </c>
      <c r="E18" s="110" t="s">
        <v>73</v>
      </c>
      <c r="F18" s="112">
        <f>IFERROR(IF(SUM('SANTA BÁRBARA:EMILIANO ZAPATA'!F18)=0," ",SUM('SANTA BÁRBARA:EMILIANO ZAPATA'!F18))," ")</f>
        <v>220</v>
      </c>
      <c r="G18" s="48">
        <f>IF(F18=0," ",F18)</f>
        <v>220</v>
      </c>
      <c r="H18" s="49">
        <f>IF(F18=0," ",F18)</f>
        <v>220</v>
      </c>
      <c r="I18" s="41" t="s">
        <v>112</v>
      </c>
      <c r="J18" s="42">
        <v>46419</v>
      </c>
      <c r="K18" s="119"/>
      <c r="M18" s="43" t="str">
        <f>IFERROR(SUM(F18+(F48*10)+(F36*10)+F26+F38+(F40*10)+F54),"0")</f>
        <v>0</v>
      </c>
      <c r="N18" s="44" t="s">
        <v>47</v>
      </c>
      <c r="O18" s="44">
        <v>59</v>
      </c>
      <c r="P18" s="44" t="s">
        <v>52</v>
      </c>
    </row>
    <row r="19" spans="1:16" ht="26.25" thickBot="1" x14ac:dyDescent="0.25">
      <c r="A19" s="122"/>
      <c r="B19" s="124"/>
      <c r="C19" s="126"/>
      <c r="D19" s="109"/>
      <c r="E19" s="111"/>
      <c r="F19" s="113"/>
      <c r="G19" s="45"/>
      <c r="H19" s="46"/>
      <c r="I19" s="47"/>
      <c r="J19" s="52"/>
      <c r="K19" s="120"/>
    </row>
    <row r="20" spans="1:16" ht="25.5" x14ac:dyDescent="0.2">
      <c r="A20" s="121" t="s">
        <v>44</v>
      </c>
      <c r="B20" s="123">
        <v>6135</v>
      </c>
      <c r="C20" s="125" t="s">
        <v>46</v>
      </c>
      <c r="D20" s="108" t="s">
        <v>71</v>
      </c>
      <c r="E20" s="110" t="s">
        <v>72</v>
      </c>
      <c r="F20" s="112">
        <f>IFERROR(IF(SUM('SANTA BÁRBARA:EMILIANO ZAPATA'!F20)=0," ",SUM('SANTA BÁRBARA:EMILIANO ZAPATA'!F20))," ")</f>
        <v>420</v>
      </c>
      <c r="G20" s="48">
        <f>IF(F20=0," ",F20)</f>
        <v>420</v>
      </c>
      <c r="H20" s="49">
        <f>IF(F20=0," ",F20)</f>
        <v>420</v>
      </c>
      <c r="I20" s="41" t="s">
        <v>113</v>
      </c>
      <c r="J20" s="42">
        <v>46722</v>
      </c>
      <c r="K20" s="119"/>
    </row>
    <row r="21" spans="1:16" ht="26.25" thickBot="1" x14ac:dyDescent="0.25">
      <c r="A21" s="122"/>
      <c r="B21" s="124"/>
      <c r="C21" s="126"/>
      <c r="D21" s="109"/>
      <c r="E21" s="111"/>
      <c r="F21" s="113"/>
      <c r="G21" s="45"/>
      <c r="H21" s="46"/>
      <c r="I21" s="47"/>
      <c r="J21" s="47"/>
      <c r="K21" s="120"/>
    </row>
    <row r="22" spans="1:16" ht="25.5" x14ac:dyDescent="0.2">
      <c r="A22" s="121" t="s">
        <v>14</v>
      </c>
      <c r="B22" s="123">
        <v>2526</v>
      </c>
      <c r="C22" s="125" t="s">
        <v>21</v>
      </c>
      <c r="D22" s="108" t="s">
        <v>74</v>
      </c>
      <c r="E22" s="110" t="s">
        <v>72</v>
      </c>
      <c r="F22" s="112">
        <f>IFERROR(IF(SUM('SANTA BÁRBARA:EMILIANO ZAPATA'!F22)=0," ",SUM('SANTA BÁRBARA:EMILIANO ZAPATA'!F22))," ")</f>
        <v>9</v>
      </c>
      <c r="G22" s="48">
        <f>IF(F22=0," ",F22)</f>
        <v>9</v>
      </c>
      <c r="H22" s="49">
        <f>IF(F22=0," ",F22)</f>
        <v>9</v>
      </c>
      <c r="I22" s="41">
        <v>2526250606</v>
      </c>
      <c r="J22" s="158">
        <v>46919</v>
      </c>
      <c r="K22" s="127"/>
    </row>
    <row r="23" spans="1:16" ht="26.25" thickBot="1" x14ac:dyDescent="0.25">
      <c r="A23" s="122"/>
      <c r="B23" s="124"/>
      <c r="C23" s="126"/>
      <c r="D23" s="109"/>
      <c r="E23" s="111"/>
      <c r="F23" s="113"/>
      <c r="G23" s="45"/>
      <c r="H23" s="46"/>
      <c r="I23" s="47"/>
      <c r="J23" s="53"/>
      <c r="K23" s="128"/>
    </row>
    <row r="24" spans="1:16" ht="25.5" x14ac:dyDescent="0.2">
      <c r="A24" s="121" t="s">
        <v>122</v>
      </c>
      <c r="B24" s="123">
        <v>3825</v>
      </c>
      <c r="C24" s="125" t="s">
        <v>106</v>
      </c>
      <c r="D24" s="108" t="s">
        <v>71</v>
      </c>
      <c r="E24" s="110" t="s">
        <v>72</v>
      </c>
      <c r="F24" s="112">
        <f>IFERROR(IF(SUM('SANTA BÁRBARA:EMILIANO ZAPATA'!F24)=0," ",SUM('SANTA BÁRBARA:EMILIANO ZAPATA'!F24))," ")</f>
        <v>95</v>
      </c>
      <c r="G24" s="48">
        <f>IF(F24=0," ",F24)</f>
        <v>95</v>
      </c>
      <c r="H24" s="49">
        <f>IF(F24=0," ",F24)</f>
        <v>95</v>
      </c>
      <c r="I24" s="41" t="s">
        <v>114</v>
      </c>
      <c r="J24" s="42">
        <v>46813</v>
      </c>
      <c r="K24" s="129"/>
    </row>
    <row r="25" spans="1:16" ht="26.25" thickBot="1" x14ac:dyDescent="0.25">
      <c r="A25" s="122"/>
      <c r="B25" s="124"/>
      <c r="C25" s="126"/>
      <c r="D25" s="109"/>
      <c r="E25" s="111"/>
      <c r="F25" s="113"/>
      <c r="G25" s="45"/>
      <c r="H25" s="46"/>
      <c r="I25" s="47"/>
      <c r="J25" s="53"/>
      <c r="K25" s="130"/>
    </row>
    <row r="26" spans="1:16" ht="25.5" x14ac:dyDescent="0.2">
      <c r="A26" s="121" t="s">
        <v>12</v>
      </c>
      <c r="B26" s="123">
        <v>3800</v>
      </c>
      <c r="C26" s="125" t="s">
        <v>38</v>
      </c>
      <c r="D26" s="108" t="s">
        <v>74</v>
      </c>
      <c r="E26" s="110" t="s">
        <v>75</v>
      </c>
      <c r="F26" s="112">
        <f>IFERROR(IF(SUM('SANTA BÁRBARA:EMILIANO ZAPATA'!F26)=0," ",SUM('SANTA BÁRBARA:EMILIANO ZAPATA'!F26))," ")</f>
        <v>11</v>
      </c>
      <c r="G26" s="48">
        <f>IF(F26=0," ",F26)</f>
        <v>11</v>
      </c>
      <c r="H26" s="49">
        <f>IF(F26=0," ",F26)</f>
        <v>11</v>
      </c>
      <c r="I26" s="41" t="s">
        <v>115</v>
      </c>
      <c r="J26" s="42">
        <v>46784</v>
      </c>
      <c r="K26" s="127"/>
    </row>
    <row r="27" spans="1:16" ht="26.25" thickBot="1" x14ac:dyDescent="0.25">
      <c r="A27" s="122"/>
      <c r="B27" s="124"/>
      <c r="C27" s="126"/>
      <c r="D27" s="109"/>
      <c r="E27" s="111"/>
      <c r="F27" s="113"/>
      <c r="G27" s="45"/>
      <c r="H27" s="46"/>
      <c r="I27" s="47"/>
      <c r="J27" s="55"/>
      <c r="K27" s="128"/>
    </row>
    <row r="28" spans="1:16" ht="25.5" x14ac:dyDescent="0.2">
      <c r="A28" s="121" t="s">
        <v>13</v>
      </c>
      <c r="B28" s="123">
        <v>3801</v>
      </c>
      <c r="C28" s="125" t="s">
        <v>22</v>
      </c>
      <c r="D28" s="108" t="s">
        <v>74</v>
      </c>
      <c r="E28" s="110" t="s">
        <v>75</v>
      </c>
      <c r="F28" s="112">
        <f>IFERROR(IF(SUM('SANTA BÁRBARA:EMILIANO ZAPATA'!F28)=0," ",SUM('SANTA BÁRBARA:EMILIANO ZAPATA'!F28))," ")</f>
        <v>34</v>
      </c>
      <c r="G28" s="48">
        <f>IF(F28=0," ",F28)</f>
        <v>34</v>
      </c>
      <c r="H28" s="49">
        <f>IF(F28=0," ",F28)</f>
        <v>34</v>
      </c>
      <c r="I28" s="41" t="s">
        <v>116</v>
      </c>
      <c r="J28" s="42">
        <v>46447</v>
      </c>
      <c r="K28" s="127"/>
    </row>
    <row r="29" spans="1:16" ht="26.25" thickBot="1" x14ac:dyDescent="0.25">
      <c r="A29" s="122"/>
      <c r="B29" s="124"/>
      <c r="C29" s="126"/>
      <c r="D29" s="109"/>
      <c r="E29" s="111"/>
      <c r="F29" s="113"/>
      <c r="G29" s="45"/>
      <c r="H29" s="46"/>
      <c r="I29" s="47"/>
      <c r="J29" s="53"/>
      <c r="K29" s="128"/>
    </row>
    <row r="30" spans="1:16" ht="26.25" customHeight="1" x14ac:dyDescent="0.2">
      <c r="A30" s="121" t="s">
        <v>15</v>
      </c>
      <c r="B30" s="123">
        <v>3802</v>
      </c>
      <c r="C30" s="125" t="s">
        <v>40</v>
      </c>
      <c r="D30" s="108" t="s">
        <v>74</v>
      </c>
      <c r="E30" s="110" t="s">
        <v>76</v>
      </c>
      <c r="F30" s="112" t="str">
        <f>IFERROR(IF(SUM('SANTA BÁRBARA:EMILIANO ZAPATA'!F30)=0," ",SUM('SANTA BÁRBARA:EMILIANO ZAPATA'!F30))," ")</f>
        <v xml:space="preserve"> </v>
      </c>
      <c r="G30" s="48" t="str">
        <f>IF(F30=0," ",F30)</f>
        <v xml:space="preserve"> </v>
      </c>
      <c r="H30" s="49" t="str">
        <f>IF(F30=0," ",F30)</f>
        <v xml:space="preserve"> </v>
      </c>
      <c r="I30" s="41"/>
      <c r="J30" s="42"/>
      <c r="K30" s="127"/>
    </row>
    <row r="31" spans="1:16" ht="26.25" thickBot="1" x14ac:dyDescent="0.25">
      <c r="A31" s="122"/>
      <c r="B31" s="124"/>
      <c r="C31" s="126"/>
      <c r="D31" s="109"/>
      <c r="E31" s="111"/>
      <c r="F31" s="113"/>
      <c r="G31" s="45"/>
      <c r="H31" s="46"/>
      <c r="I31" s="47"/>
      <c r="J31" s="53"/>
      <c r="K31" s="128"/>
    </row>
    <row r="32" spans="1:16" ht="25.5" x14ac:dyDescent="0.2">
      <c r="A32" s="121" t="s">
        <v>16</v>
      </c>
      <c r="B32" s="123">
        <v>3805</v>
      </c>
      <c r="C32" s="125" t="s">
        <v>23</v>
      </c>
      <c r="D32" s="108" t="s">
        <v>74</v>
      </c>
      <c r="E32" s="110" t="s">
        <v>72</v>
      </c>
      <c r="F32" s="112">
        <f>IFERROR(IF(SUM('SANTA BÁRBARA:EMILIANO ZAPATA'!F32)=0," ",SUM('SANTA BÁRBARA:EMILIANO ZAPATA'!F32))," ")</f>
        <v>13</v>
      </c>
      <c r="G32" s="48">
        <f>IF(F32=0," ",F32)</f>
        <v>13</v>
      </c>
      <c r="H32" s="49">
        <f>IF(F32=0," ",F32)</f>
        <v>13</v>
      </c>
      <c r="I32" s="41" t="s">
        <v>117</v>
      </c>
      <c r="J32" s="42">
        <v>46784</v>
      </c>
      <c r="K32" s="127"/>
    </row>
    <row r="33" spans="1:11" ht="26.25" thickBot="1" x14ac:dyDescent="0.25">
      <c r="A33" s="122"/>
      <c r="B33" s="124"/>
      <c r="C33" s="126"/>
      <c r="D33" s="109"/>
      <c r="E33" s="111"/>
      <c r="F33" s="113"/>
      <c r="G33" s="45"/>
      <c r="H33" s="46"/>
      <c r="I33" s="47"/>
      <c r="J33" s="55"/>
      <c r="K33" s="128"/>
    </row>
    <row r="34" spans="1:11" ht="25.5" x14ac:dyDescent="0.2">
      <c r="A34" s="121" t="s">
        <v>99</v>
      </c>
      <c r="B34" s="123">
        <v>3808</v>
      </c>
      <c r="C34" s="125" t="s">
        <v>24</v>
      </c>
      <c r="D34" s="108" t="s">
        <v>71</v>
      </c>
      <c r="E34" s="110" t="s">
        <v>72</v>
      </c>
      <c r="F34" s="112">
        <f>IFERROR(IF(SUM('SANTA BÁRBARA:EMILIANO ZAPATA'!F34)=0," ",SUM('SANTA BÁRBARA:EMILIANO ZAPATA'!F34))," ")</f>
        <v>70</v>
      </c>
      <c r="G34" s="48">
        <f>IF(F34=0," ",F34)</f>
        <v>70</v>
      </c>
      <c r="H34" s="49">
        <f>IF(F34=0," ",F34)</f>
        <v>70</v>
      </c>
      <c r="I34" s="41" t="s">
        <v>118</v>
      </c>
      <c r="J34" s="42">
        <v>46784</v>
      </c>
      <c r="K34" s="127"/>
    </row>
    <row r="35" spans="1:11" ht="26.25" thickBot="1" x14ac:dyDescent="0.25">
      <c r="A35" s="122"/>
      <c r="B35" s="124"/>
      <c r="C35" s="126"/>
      <c r="D35" s="109"/>
      <c r="E35" s="111"/>
      <c r="F35" s="113"/>
      <c r="G35" s="45"/>
      <c r="H35" s="46"/>
      <c r="I35" s="47"/>
      <c r="J35" s="55"/>
      <c r="K35" s="128"/>
    </row>
    <row r="36" spans="1:11" ht="25.5" x14ac:dyDescent="0.2">
      <c r="A36" s="121" t="s">
        <v>19</v>
      </c>
      <c r="B36" s="123">
        <v>3810</v>
      </c>
      <c r="C36" s="125" t="s">
        <v>41</v>
      </c>
      <c r="D36" s="108" t="s">
        <v>74</v>
      </c>
      <c r="E36" s="110" t="s">
        <v>72</v>
      </c>
      <c r="F36" s="112">
        <f>IFERROR(IF(SUM('SANTA BÁRBARA:EMILIANO ZAPATA'!F36)=0," ",SUM('SANTA BÁRBARA:EMILIANO ZAPATA'!F36))," ")</f>
        <v>16</v>
      </c>
      <c r="G36" s="48">
        <f>IF(F36=0," ",F36)</f>
        <v>16</v>
      </c>
      <c r="H36" s="49">
        <f>IF(F36=0," ",F36)</f>
        <v>16</v>
      </c>
      <c r="I36" s="41" t="s">
        <v>119</v>
      </c>
      <c r="J36" s="42">
        <v>46388</v>
      </c>
      <c r="K36" s="131"/>
    </row>
    <row r="37" spans="1:11" ht="26.25" thickBot="1" x14ac:dyDescent="0.25">
      <c r="A37" s="122"/>
      <c r="B37" s="124"/>
      <c r="C37" s="126"/>
      <c r="D37" s="109"/>
      <c r="E37" s="111"/>
      <c r="F37" s="113"/>
      <c r="G37" s="45"/>
      <c r="H37" s="46"/>
      <c r="I37" s="47"/>
      <c r="J37" s="55"/>
      <c r="K37" s="132"/>
    </row>
    <row r="38" spans="1:11" ht="25.5" x14ac:dyDescent="0.2">
      <c r="A38" s="121" t="s">
        <v>107</v>
      </c>
      <c r="B38" s="123">
        <v>6056</v>
      </c>
      <c r="C38" s="125" t="s">
        <v>28</v>
      </c>
      <c r="D38" s="108" t="s">
        <v>71</v>
      </c>
      <c r="E38" s="110" t="s">
        <v>75</v>
      </c>
      <c r="F38" s="112" t="str">
        <f>IFERROR(IF(SUM('SANTA BÁRBARA:EMILIANO ZAPATA'!F38)=0," ",SUM('SANTA BÁRBARA:EMILIANO ZAPATA'!F38))," ")</f>
        <v xml:space="preserve"> </v>
      </c>
      <c r="G38" s="56" t="str">
        <f>IF(F38=0," ",F38)</f>
        <v xml:space="preserve"> </v>
      </c>
      <c r="H38" s="49" t="str">
        <f>IF(F38=0," ",F38)</f>
        <v xml:space="preserve"> </v>
      </c>
      <c r="I38" s="41"/>
      <c r="J38" s="42"/>
      <c r="K38" s="131"/>
    </row>
    <row r="39" spans="1:11" ht="26.25" thickBot="1" x14ac:dyDescent="0.25">
      <c r="A39" s="122"/>
      <c r="B39" s="124"/>
      <c r="C39" s="126"/>
      <c r="D39" s="109"/>
      <c r="E39" s="111"/>
      <c r="F39" s="113"/>
      <c r="G39" s="57"/>
      <c r="H39" s="46"/>
      <c r="I39" s="47"/>
      <c r="J39" s="53"/>
      <c r="K39" s="132"/>
    </row>
    <row r="40" spans="1:11" ht="25.5" x14ac:dyDescent="0.2">
      <c r="A40" s="121" t="s">
        <v>17</v>
      </c>
      <c r="B40" s="123">
        <v>3820</v>
      </c>
      <c r="C40" s="125" t="s">
        <v>39</v>
      </c>
      <c r="D40" s="108" t="s">
        <v>71</v>
      </c>
      <c r="E40" s="110" t="s">
        <v>75</v>
      </c>
      <c r="F40" s="112">
        <f>IFERROR(IF(SUM('SANTA BÁRBARA:EMILIANO ZAPATA'!F40)=0," ",SUM('SANTA BÁRBARA:EMILIANO ZAPATA'!F40))," ")</f>
        <v>210</v>
      </c>
      <c r="G40" s="48">
        <f>IF(F40=0," ",F40)</f>
        <v>210</v>
      </c>
      <c r="H40" s="49">
        <f>IF(F40=0," ",F40)</f>
        <v>210</v>
      </c>
      <c r="I40" s="41" t="s">
        <v>120</v>
      </c>
      <c r="J40" s="42">
        <v>46600</v>
      </c>
      <c r="K40" s="131"/>
    </row>
    <row r="41" spans="1:11" ht="26.25" thickBot="1" x14ac:dyDescent="0.25">
      <c r="A41" s="133"/>
      <c r="B41" s="134"/>
      <c r="C41" s="135"/>
      <c r="D41" s="109"/>
      <c r="E41" s="111"/>
      <c r="F41" s="113"/>
      <c r="G41" s="45"/>
      <c r="H41" s="46"/>
      <c r="I41" s="47"/>
      <c r="J41" s="53"/>
      <c r="K41" s="132"/>
    </row>
    <row r="42" spans="1:11" ht="26.25" customHeight="1" x14ac:dyDescent="0.2">
      <c r="A42" s="121" t="s">
        <v>18</v>
      </c>
      <c r="B42" s="123">
        <v>3821</v>
      </c>
      <c r="C42" s="125" t="s">
        <v>25</v>
      </c>
      <c r="D42" s="108" t="s">
        <v>74</v>
      </c>
      <c r="E42" s="110" t="s">
        <v>75</v>
      </c>
      <c r="F42" s="112" t="str">
        <f>IFERROR(IF(SUM('SANTA BÁRBARA:EMILIANO ZAPATA'!F42)=0," ",SUM('SANTA BÁRBARA:EMILIANO ZAPATA'!F42))," ")</f>
        <v xml:space="preserve"> </v>
      </c>
      <c r="G42" s="48" t="str">
        <f>IF(F42=0," ",F42)</f>
        <v xml:space="preserve"> </v>
      </c>
      <c r="H42" s="49" t="str">
        <f>IF(F42=0," ",F42)</f>
        <v xml:space="preserve"> </v>
      </c>
      <c r="I42" s="41"/>
      <c r="J42" s="42"/>
      <c r="K42" s="131"/>
    </row>
    <row r="43" spans="1:11" ht="26.25" thickBot="1" x14ac:dyDescent="0.25">
      <c r="A43" s="122"/>
      <c r="B43" s="124"/>
      <c r="C43" s="126"/>
      <c r="D43" s="109"/>
      <c r="E43" s="111"/>
      <c r="F43" s="113"/>
      <c r="G43" s="45"/>
      <c r="H43" s="46"/>
      <c r="I43" s="47"/>
      <c r="J43" s="55"/>
      <c r="K43" s="132"/>
    </row>
    <row r="44" spans="1:11" ht="25.5" x14ac:dyDescent="0.2">
      <c r="A44" s="121" t="s">
        <v>104</v>
      </c>
      <c r="B44" s="123">
        <v>6317</v>
      </c>
      <c r="C44" s="125" t="s">
        <v>34</v>
      </c>
      <c r="D44" s="108" t="s">
        <v>74</v>
      </c>
      <c r="E44" s="110" t="s">
        <v>72</v>
      </c>
      <c r="F44" s="112" t="str">
        <f>IFERROR(IF(SUM('SANTA BÁRBARA:EMILIANO ZAPATA'!F44)=0," ",SUM('SANTA BÁRBARA:EMILIANO ZAPATA'!F44))," ")</f>
        <v xml:space="preserve"> </v>
      </c>
      <c r="G44" s="48" t="str">
        <f>IF(F44=0," ",F44)</f>
        <v xml:space="preserve"> </v>
      </c>
      <c r="H44" s="49" t="str">
        <f>IF(F44=0," ",F44)</f>
        <v xml:space="preserve"> </v>
      </c>
      <c r="I44" s="41"/>
      <c r="J44" s="42"/>
      <c r="K44" s="127"/>
    </row>
    <row r="45" spans="1:11" ht="26.25" thickBot="1" x14ac:dyDescent="0.25">
      <c r="A45" s="122"/>
      <c r="B45" s="124"/>
      <c r="C45" s="126"/>
      <c r="D45" s="109"/>
      <c r="E45" s="111"/>
      <c r="F45" s="113"/>
      <c r="G45" s="45"/>
      <c r="H45" s="46"/>
      <c r="I45" s="47"/>
      <c r="J45" s="55"/>
      <c r="K45" s="128"/>
    </row>
    <row r="46" spans="1:11" ht="26.25" customHeight="1" x14ac:dyDescent="0.2">
      <c r="A46" s="121" t="s">
        <v>29</v>
      </c>
      <c r="B46" s="123">
        <v>3832</v>
      </c>
      <c r="C46" s="125" t="s">
        <v>33</v>
      </c>
      <c r="D46" s="108" t="s">
        <v>71</v>
      </c>
      <c r="E46" s="110" t="s">
        <v>72</v>
      </c>
      <c r="F46" s="112" t="str">
        <f>IFERROR(IF(SUM('SANTA BÁRBARA:EMILIANO ZAPATA'!F46)=0," ",SUM('SANTA BÁRBARA:EMILIANO ZAPATA'!F46))," ")</f>
        <v xml:space="preserve"> </v>
      </c>
      <c r="G46" s="49" t="str">
        <f>IF(F46=0," ",F46)</f>
        <v xml:space="preserve"> </v>
      </c>
      <c r="H46" s="49" t="str">
        <f>IF(F46=0," ",F46)</f>
        <v xml:space="preserve"> </v>
      </c>
      <c r="I46" s="41"/>
      <c r="J46" s="42"/>
      <c r="K46" s="131"/>
    </row>
    <row r="47" spans="1:11" ht="26.25" thickBot="1" x14ac:dyDescent="0.25">
      <c r="A47" s="122"/>
      <c r="B47" s="124"/>
      <c r="C47" s="126"/>
      <c r="D47" s="109"/>
      <c r="E47" s="111"/>
      <c r="F47" s="113"/>
      <c r="G47" s="46"/>
      <c r="H47" s="46"/>
      <c r="I47" s="47"/>
      <c r="J47" s="55"/>
      <c r="K47" s="132"/>
    </row>
    <row r="48" spans="1:11" ht="25.5" x14ac:dyDescent="0.2">
      <c r="A48" s="121" t="s">
        <v>105</v>
      </c>
      <c r="B48" s="123">
        <v>6501</v>
      </c>
      <c r="C48" s="125" t="s">
        <v>10</v>
      </c>
      <c r="D48" s="108" t="s">
        <v>71</v>
      </c>
      <c r="E48" s="110" t="s">
        <v>72</v>
      </c>
      <c r="F48" s="112" t="str">
        <f>IFERROR(IF(SUM('SANTA BÁRBARA:EMILIANO ZAPATA'!F48)=0," ",SUM('SANTA BÁRBARA:EMILIANO ZAPATA'!F48))," ")</f>
        <v xml:space="preserve"> </v>
      </c>
      <c r="G48" s="49" t="str">
        <f>IF(F48=0," ",F48)</f>
        <v xml:space="preserve"> </v>
      </c>
      <c r="H48" s="49" t="str">
        <f>IF(F48=0," ",F48)</f>
        <v xml:space="preserve"> </v>
      </c>
      <c r="I48" s="41"/>
      <c r="J48" s="42"/>
      <c r="K48" s="127"/>
    </row>
    <row r="49" spans="1:13" ht="26.25" thickBot="1" x14ac:dyDescent="0.25">
      <c r="A49" s="122"/>
      <c r="B49" s="124"/>
      <c r="C49" s="126"/>
      <c r="D49" s="109"/>
      <c r="E49" s="111"/>
      <c r="F49" s="113"/>
      <c r="G49" s="46"/>
      <c r="H49" s="46"/>
      <c r="I49" s="47"/>
      <c r="J49" s="55"/>
      <c r="K49" s="128"/>
    </row>
    <row r="50" spans="1:13" ht="25.5" x14ac:dyDescent="0.2">
      <c r="A50" s="121" t="s">
        <v>20</v>
      </c>
      <c r="B50" s="142">
        <v>2</v>
      </c>
      <c r="C50" s="125" t="s">
        <v>27</v>
      </c>
      <c r="D50" s="108" t="s">
        <v>71</v>
      </c>
      <c r="E50" s="110" t="s">
        <v>77</v>
      </c>
      <c r="F50" s="112" t="str">
        <f>IFERROR(IF(SUM('SANTA BÁRBARA:EMILIANO ZAPATA'!F50)=0," ",SUM('SANTA BÁRBARA:EMILIANO ZAPATA'!F50))," ")</f>
        <v xml:space="preserve"> </v>
      </c>
      <c r="G50" s="49" t="str">
        <f>IF(F50=0," ",F50)</f>
        <v xml:space="preserve"> </v>
      </c>
      <c r="H50" s="49" t="str">
        <f>IF(F50=0," ",F50)</f>
        <v xml:space="preserve"> </v>
      </c>
      <c r="I50" s="41"/>
      <c r="J50" s="42"/>
      <c r="K50" s="131"/>
    </row>
    <row r="51" spans="1:13" ht="26.25" thickBot="1" x14ac:dyDescent="0.25">
      <c r="A51" s="122"/>
      <c r="B51" s="143"/>
      <c r="C51" s="126"/>
      <c r="D51" s="109"/>
      <c r="E51" s="111"/>
      <c r="F51" s="113"/>
      <c r="G51" s="46"/>
      <c r="H51" s="46"/>
      <c r="I51" s="55"/>
      <c r="J51" s="55"/>
      <c r="K51" s="132"/>
    </row>
    <row r="52" spans="1:13" ht="25.5" x14ac:dyDescent="0.2">
      <c r="A52" s="121" t="s">
        <v>108</v>
      </c>
      <c r="B52" s="144">
        <v>6509</v>
      </c>
      <c r="C52" s="125" t="s">
        <v>109</v>
      </c>
      <c r="D52" s="108" t="s">
        <v>71</v>
      </c>
      <c r="E52" s="110" t="s">
        <v>72</v>
      </c>
      <c r="F52" s="112">
        <f>IFERROR(IF(SUM('SANTA BÁRBARA:EMILIANO ZAPATA'!F52)=0," ",SUM('SANTA BÁRBARA:EMILIANO ZAPATA'!F52))," ")</f>
        <v>80</v>
      </c>
      <c r="G52" s="49">
        <f>IF(F52=0," ",F52)</f>
        <v>80</v>
      </c>
      <c r="H52" s="49">
        <f>IF(F52=0," ",F52)</f>
        <v>80</v>
      </c>
      <c r="I52" s="41" t="s">
        <v>121</v>
      </c>
      <c r="J52" s="42">
        <v>48061</v>
      </c>
      <c r="K52" s="131"/>
    </row>
    <row r="53" spans="1:13" ht="26.25" thickBot="1" x14ac:dyDescent="0.25">
      <c r="A53" s="122"/>
      <c r="B53" s="145"/>
      <c r="C53" s="126"/>
      <c r="D53" s="109"/>
      <c r="E53" s="111"/>
      <c r="F53" s="113"/>
      <c r="G53" s="46"/>
      <c r="H53" s="46"/>
      <c r="I53" s="55"/>
      <c r="J53" s="53"/>
      <c r="K53" s="132"/>
    </row>
    <row r="54" spans="1:13" s="61" customFormat="1" ht="25.5" customHeight="1" x14ac:dyDescent="0.2">
      <c r="A54" s="59"/>
      <c r="B54" s="138" t="s">
        <v>103</v>
      </c>
      <c r="C54" s="138"/>
      <c r="D54" s="138"/>
      <c r="E54" s="138"/>
      <c r="F54" s="138"/>
      <c r="G54" s="138"/>
      <c r="H54" s="138"/>
      <c r="I54" s="138"/>
      <c r="J54" s="138"/>
      <c r="K54" s="60"/>
    </row>
    <row r="55" spans="1:13" s="5" customFormat="1" ht="25.5" customHeight="1" x14ac:dyDescent="0.2">
      <c r="A55" s="62"/>
      <c r="B55" s="63"/>
      <c r="C55" s="64"/>
      <c r="D55" s="65"/>
      <c r="E55" s="65"/>
      <c r="F55" s="65"/>
      <c r="G55" s="66"/>
      <c r="H55" s="66"/>
      <c r="I55" s="67"/>
      <c r="J55" s="68"/>
      <c r="K55" s="69"/>
    </row>
    <row r="56" spans="1:13" s="5" customFormat="1" ht="25.5" customHeight="1" thickBot="1" x14ac:dyDescent="0.25">
      <c r="A56" s="62"/>
      <c r="C56" s="70" t="s">
        <v>63</v>
      </c>
      <c r="D56" s="71"/>
      <c r="E56" s="67"/>
      <c r="F56" s="65"/>
      <c r="G56" s="139" t="s">
        <v>64</v>
      </c>
      <c r="H56" s="139"/>
      <c r="I56" s="72"/>
      <c r="J56" s="68"/>
      <c r="K56" s="69"/>
    </row>
    <row r="57" spans="1:13" s="5" customFormat="1" ht="25.5" customHeight="1" x14ac:dyDescent="0.2">
      <c r="A57" s="62"/>
      <c r="B57" s="63"/>
      <c r="C57" s="64"/>
      <c r="D57" s="65"/>
      <c r="E57" s="65"/>
      <c r="F57" s="65"/>
      <c r="G57" s="66"/>
      <c r="H57" s="66"/>
      <c r="I57" s="67"/>
      <c r="J57" s="68"/>
      <c r="K57" s="69"/>
    </row>
    <row r="58" spans="1:13" s="5" customFormat="1" ht="30" customHeight="1" x14ac:dyDescent="0.2">
      <c r="A58" s="140" t="s">
        <v>11</v>
      </c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M58" s="5" t="s">
        <v>0</v>
      </c>
    </row>
    <row r="59" spans="1:13" s="5" customFormat="1" ht="30" customHeight="1" x14ac:dyDescent="0.2">
      <c r="A59" s="73"/>
      <c r="B59" s="141"/>
      <c r="C59" s="141"/>
      <c r="D59" s="141"/>
      <c r="E59" s="141"/>
      <c r="F59" s="141"/>
      <c r="G59" s="141"/>
      <c r="H59" s="141"/>
      <c r="I59" s="141"/>
      <c r="J59" s="141"/>
      <c r="K59" s="74"/>
    </row>
    <row r="60" spans="1:13" s="5" customFormat="1" ht="30" customHeight="1" x14ac:dyDescent="0.2">
      <c r="A60" s="73"/>
      <c r="B60" s="141"/>
      <c r="C60" s="141"/>
      <c r="D60" s="141"/>
      <c r="E60" s="141"/>
      <c r="F60" s="141"/>
      <c r="G60" s="141"/>
      <c r="H60" s="141"/>
      <c r="I60" s="141"/>
      <c r="J60" s="141"/>
      <c r="K60" s="73"/>
      <c r="L60" s="73"/>
    </row>
    <row r="61" spans="1:13" s="5" customFormat="1" ht="30" customHeight="1" x14ac:dyDescent="0.2">
      <c r="A61" s="73"/>
      <c r="B61" s="141"/>
      <c r="C61" s="141"/>
      <c r="D61" s="141"/>
      <c r="E61" s="141"/>
      <c r="F61" s="141"/>
      <c r="G61" s="141"/>
      <c r="H61" s="141"/>
      <c r="I61" s="141"/>
      <c r="J61" s="141"/>
      <c r="K61" s="73"/>
      <c r="L61" s="64"/>
    </row>
    <row r="62" spans="1:13" s="5" customFormat="1" ht="30" customHeight="1" x14ac:dyDescent="0.2">
      <c r="A62" s="75"/>
      <c r="B62" s="76"/>
      <c r="C62" s="77"/>
      <c r="D62" s="77"/>
      <c r="E62" s="77"/>
      <c r="F62" s="76"/>
      <c r="G62" s="76"/>
      <c r="H62" s="76"/>
      <c r="I62" s="77"/>
      <c r="J62" s="77"/>
      <c r="K62" s="77"/>
    </row>
    <row r="63" spans="1:13" s="5" customFormat="1" ht="30" customHeight="1" x14ac:dyDescent="0.2">
      <c r="A63" s="75"/>
      <c r="B63" s="76"/>
      <c r="C63" s="77"/>
      <c r="D63" s="77"/>
      <c r="E63" s="77"/>
      <c r="F63" s="76"/>
      <c r="H63" s="76"/>
      <c r="I63" s="76"/>
    </row>
    <row r="64" spans="1:13" s="5" customFormat="1" ht="30" customHeight="1" x14ac:dyDescent="0.2">
      <c r="A64" s="1"/>
      <c r="B64" s="2"/>
      <c r="C64" s="3"/>
      <c r="D64" s="3"/>
      <c r="E64" s="3"/>
      <c r="F64" s="2"/>
      <c r="G64" s="4"/>
      <c r="H64" s="2"/>
      <c r="I64" s="2"/>
      <c r="J64" s="4"/>
      <c r="K64" s="4"/>
    </row>
    <row r="65" spans="1:12" s="10" customFormat="1" ht="20.100000000000001" customHeight="1" x14ac:dyDescent="0.2">
      <c r="A65" s="147" t="s">
        <v>101</v>
      </c>
      <c r="B65" s="147"/>
      <c r="C65" s="147"/>
      <c r="D65" s="6"/>
      <c r="E65" s="6"/>
      <c r="F65" s="7"/>
      <c r="G65" s="8"/>
      <c r="H65" s="150" t="s">
        <v>53</v>
      </c>
      <c r="I65" s="150"/>
      <c r="J65" s="150"/>
      <c r="K65" s="150"/>
      <c r="L65" s="9"/>
    </row>
    <row r="66" spans="1:12" s="10" customFormat="1" ht="20.100000000000001" customHeight="1" x14ac:dyDescent="0.2">
      <c r="A66" s="151" t="s">
        <v>65</v>
      </c>
      <c r="B66" s="151"/>
      <c r="C66" s="151"/>
      <c r="D66" s="7"/>
      <c r="E66" s="7"/>
      <c r="F66" s="7"/>
      <c r="G66" s="8"/>
      <c r="H66" s="151" t="s">
        <v>37</v>
      </c>
      <c r="I66" s="151"/>
      <c r="J66" s="151"/>
      <c r="K66" s="151"/>
    </row>
    <row r="67" spans="1:12" s="10" customFormat="1" ht="30" customHeight="1" x14ac:dyDescent="0.2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</row>
    <row r="68" spans="1:12" s="10" customFormat="1" ht="30" customHeight="1" x14ac:dyDescent="0.2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</row>
    <row r="69" spans="1:12" s="10" customFormat="1" ht="30" customHeight="1" x14ac:dyDescent="0.2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</row>
    <row r="70" spans="1:12" s="10" customFormat="1" ht="30" customHeight="1" x14ac:dyDescent="0.2">
      <c r="A70" s="7"/>
      <c r="B70" s="7"/>
      <c r="C70" s="8"/>
      <c r="D70" s="8"/>
      <c r="E70" s="8"/>
      <c r="F70" s="7"/>
      <c r="G70" s="8"/>
      <c r="H70" s="7"/>
      <c r="I70" s="7"/>
      <c r="J70" s="8"/>
      <c r="K70" s="8"/>
    </row>
    <row r="71" spans="1:12" s="5" customFormat="1" ht="30" customHeight="1" x14ac:dyDescent="0.2">
      <c r="A71" s="152"/>
      <c r="B71" s="152"/>
      <c r="C71" s="152"/>
      <c r="D71" s="11"/>
      <c r="E71" s="11"/>
      <c r="F71" s="12"/>
      <c r="G71" s="13"/>
      <c r="H71" s="152"/>
      <c r="I71" s="152"/>
      <c r="J71" s="152"/>
      <c r="K71" s="152"/>
      <c r="L71" s="14"/>
    </row>
    <row r="72" spans="1:12" s="5" customFormat="1" ht="18.75" customHeight="1" x14ac:dyDescent="0.2">
      <c r="A72" s="157" t="s">
        <v>79</v>
      </c>
      <c r="B72" s="157"/>
      <c r="C72" s="157"/>
      <c r="D72" s="11"/>
      <c r="E72" s="11"/>
      <c r="F72" s="12"/>
      <c r="G72" s="13"/>
      <c r="H72" s="146" t="s">
        <v>102</v>
      </c>
      <c r="I72" s="146"/>
      <c r="J72" s="146"/>
      <c r="K72" s="146"/>
      <c r="L72" s="14"/>
    </row>
    <row r="73" spans="1:12" s="5" customFormat="1" ht="30" customHeight="1" x14ac:dyDescent="0.2">
      <c r="A73" s="151" t="s">
        <v>66</v>
      </c>
      <c r="B73" s="151"/>
      <c r="C73" s="151"/>
      <c r="D73" s="7"/>
      <c r="E73" s="7"/>
      <c r="F73" s="6"/>
      <c r="G73" s="11"/>
      <c r="H73" s="156" t="s">
        <v>67</v>
      </c>
      <c r="I73" s="156"/>
      <c r="J73" s="156"/>
      <c r="K73" s="156"/>
      <c r="L73" s="14"/>
    </row>
    <row r="74" spans="1:12" s="19" customFormat="1" ht="30" customHeight="1" x14ac:dyDescent="0.2">
      <c r="A74" s="148"/>
      <c r="B74" s="148"/>
      <c r="C74" s="148"/>
      <c r="D74" s="2"/>
      <c r="E74" s="2"/>
      <c r="F74" s="15"/>
      <c r="G74" s="16"/>
      <c r="H74" s="16"/>
      <c r="I74" s="16"/>
      <c r="J74" s="16"/>
      <c r="K74" s="17"/>
      <c r="L74" s="18"/>
    </row>
    <row r="75" spans="1:12" s="19" customFormat="1" ht="30" customHeight="1" x14ac:dyDescent="0.2">
      <c r="B75" s="149"/>
      <c r="C75" s="149"/>
      <c r="D75" s="20"/>
      <c r="E75" s="20"/>
      <c r="G75" s="21"/>
      <c r="H75" s="21"/>
      <c r="I75" s="21"/>
      <c r="J75" s="21"/>
    </row>
    <row r="76" spans="1:12" s="19" customFormat="1" ht="30" customHeight="1" x14ac:dyDescent="0.2">
      <c r="G76" s="21"/>
      <c r="H76" s="21"/>
      <c r="I76" s="21"/>
      <c r="J76" s="21"/>
    </row>
    <row r="77" spans="1:12" s="19" customFormat="1" ht="30" customHeight="1" x14ac:dyDescent="0.2">
      <c r="G77" s="21"/>
      <c r="H77" s="21"/>
      <c r="I77" s="21"/>
      <c r="J77" s="21"/>
    </row>
    <row r="78" spans="1:12" s="19" customFormat="1" ht="30" customHeight="1" x14ac:dyDescent="0.2">
      <c r="G78" s="21"/>
      <c r="H78" s="21"/>
      <c r="I78" s="21"/>
      <c r="J78" s="21"/>
    </row>
    <row r="79" spans="1:12" s="19" customFormat="1" ht="30" customHeight="1" x14ac:dyDescent="0.2">
      <c r="G79" s="21"/>
      <c r="H79" s="21"/>
      <c r="I79" s="21"/>
      <c r="J79" s="21"/>
    </row>
    <row r="80" spans="1:12" s="19" customFormat="1" ht="30" customHeight="1" x14ac:dyDescent="0.2">
      <c r="G80" s="21"/>
      <c r="H80" s="21"/>
      <c r="I80" s="21"/>
      <c r="J80" s="21"/>
    </row>
    <row r="81" spans="7:10" s="19" customFormat="1" ht="30" customHeight="1" x14ac:dyDescent="0.2">
      <c r="G81" s="21"/>
      <c r="H81" s="21"/>
      <c r="I81" s="21"/>
      <c r="J81" s="21"/>
    </row>
    <row r="82" spans="7:10" s="19" customFormat="1" ht="30" customHeight="1" x14ac:dyDescent="0.2">
      <c r="G82" s="21"/>
      <c r="H82" s="21"/>
      <c r="I82" s="21"/>
      <c r="J82" s="21"/>
    </row>
    <row r="83" spans="7:10" s="19" customFormat="1" ht="30" customHeight="1" x14ac:dyDescent="0.2">
      <c r="G83" s="21"/>
      <c r="H83" s="21"/>
      <c r="I83" s="21"/>
      <c r="J83" s="21"/>
    </row>
    <row r="84" spans="7:10" s="19" customFormat="1" ht="30" customHeight="1" x14ac:dyDescent="0.2">
      <c r="G84" s="21"/>
      <c r="H84" s="21"/>
      <c r="I84" s="21"/>
      <c r="J84" s="21"/>
    </row>
    <row r="85" spans="7:10" s="19" customFormat="1" ht="30" customHeight="1" x14ac:dyDescent="0.2">
      <c r="G85" s="21"/>
      <c r="H85" s="21"/>
      <c r="I85" s="21"/>
      <c r="J85" s="21"/>
    </row>
    <row r="86" spans="7:10" s="19" customFormat="1" ht="30" customHeight="1" x14ac:dyDescent="0.2">
      <c r="G86" s="21"/>
      <c r="H86" s="21"/>
      <c r="I86" s="21"/>
      <c r="J86" s="21"/>
    </row>
    <row r="87" spans="7:10" s="19" customFormat="1" ht="30" customHeight="1" x14ac:dyDescent="0.2">
      <c r="H87" s="22"/>
    </row>
  </sheetData>
  <mergeCells count="176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H73:K73"/>
    <mergeCell ref="H72:K72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SANTA BÁRBARA</vt:lpstr>
      <vt:lpstr>LOS ÁNGELES</vt:lpstr>
      <vt:lpstr>JOAQUÍN H.</vt:lpstr>
      <vt:lpstr>LOS OLVERA</vt:lpstr>
      <vt:lpstr>SAN JOSÉ DE LOS OLVERA</vt:lpstr>
      <vt:lpstr>PRESA DE BRAVO</vt:lpstr>
      <vt:lpstr>LA NEGRETA</vt:lpstr>
      <vt:lpstr>FAM CORREGIDORA</vt:lpstr>
      <vt:lpstr>EMILIANO ZAPATA</vt:lpstr>
      <vt:lpstr>GENERAL</vt:lpstr>
      <vt:lpstr>'EMILIANO ZAPATA'!Área_de_impresión</vt:lpstr>
      <vt:lpstr>'FAM CORREGIDORA'!Área_de_impresión</vt:lpstr>
      <vt:lpstr>GENERAL!Área_de_impresión</vt:lpstr>
      <vt:lpstr>'JOAQUÍN H.'!Área_de_impresión</vt:lpstr>
      <vt:lpstr>'LA NEGRETA'!Área_de_impresión</vt:lpstr>
      <vt:lpstr>'LOS ÁNGELES'!Área_de_impresión</vt:lpstr>
      <vt:lpstr>'LOS OLVERA'!Área_de_impresión</vt:lpstr>
      <vt:lpstr>'PRESA DE BRAVO'!Área_de_impresión</vt:lpstr>
      <vt:lpstr>'SAN JOSÉ DE LOS OLVERA'!Área_de_impresión</vt:lpstr>
      <vt:lpstr>'SANTA BÁRBARA'!Área_de_impresión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2025-11-24T14:51:10Z</cp:lastPrinted>
  <dcterms:created xsi:type="dcterms:W3CDTF">2013-03-21T18:12:10Z</dcterms:created>
  <dcterms:modified xsi:type="dcterms:W3CDTF">2026-09-04T17:34:01Z</dcterms:modified>
</cp:coreProperties>
</file>