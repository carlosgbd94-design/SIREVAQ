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SLIE ENCISO\Desktop\ORACLE\REQUISICION MENSUAL\REQUISICIONES 2026\SEPTIEMBRE\"/>
    </mc:Choice>
  </mc:AlternateContent>
  <xr:revisionPtr revIDLastSave="0" documentId="13_ncr:1_{99D5BA62-5918-450D-A068-55056BA0EF5A}" xr6:coauthVersionLast="47" xr6:coauthVersionMax="47" xr10:uidLastSave="{00000000-0000-0000-0000-000000000000}"/>
  <bookViews>
    <workbookView xWindow="-120" yWindow="-120" windowWidth="24240" windowHeight="13140" tabRatio="868" firstSheet="1" activeTab="2" xr2:uid="{00000000-000D-0000-FFFF-FFFF00000000}"/>
  </bookViews>
  <sheets>
    <sheet name="H.G." sheetId="45" state="hidden" r:id="rId1"/>
    <sheet name="N.H.G" sheetId="48" r:id="rId2"/>
    <sheet name="HENM" sheetId="47" r:id="rId3"/>
  </sheets>
  <definedNames>
    <definedName name="_xlnm.Print_Area" localSheetId="0">'H.G.'!$A$1:$P$84</definedName>
    <definedName name="_xlnm.Print_Area" localSheetId="2">HENM!$A$1:$P$87</definedName>
    <definedName name="_xlnm.Print_Area" localSheetId="1">'N.H.G'!$A$1:$P$87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48" l="1"/>
  <c r="M17" i="48"/>
  <c r="M16" i="48"/>
  <c r="M15" i="48"/>
  <c r="M14" i="48"/>
  <c r="M18" i="47" l="1"/>
  <c r="M17" i="47"/>
  <c r="M16" i="47"/>
  <c r="M15" i="47"/>
  <c r="M14" i="47"/>
  <c r="J51" i="45"/>
  <c r="I51" i="45"/>
  <c r="J50" i="45"/>
  <c r="I50" i="45"/>
  <c r="J49" i="45"/>
  <c r="I49" i="45"/>
  <c r="J48" i="45"/>
  <c r="I48" i="45"/>
  <c r="J47" i="45"/>
  <c r="I47" i="45"/>
  <c r="J46" i="45"/>
  <c r="I46" i="45"/>
  <c r="J45" i="45"/>
  <c r="I45" i="45"/>
  <c r="J44" i="45"/>
  <c r="I44" i="45"/>
  <c r="J43" i="45"/>
  <c r="I43" i="45"/>
  <c r="J42" i="45"/>
  <c r="I42" i="45"/>
  <c r="J25" i="45"/>
  <c r="I25" i="45"/>
  <c r="J24" i="45"/>
  <c r="I24" i="45"/>
  <c r="M18" i="45"/>
  <c r="M17" i="45"/>
  <c r="M16" i="45"/>
  <c r="M15" i="45"/>
  <c r="M14" i="45"/>
  <c r="H10" i="45"/>
  <c r="H8" i="45"/>
</calcChain>
</file>

<file path=xl/sharedStrings.xml><?xml version="1.0" encoding="utf-8"?>
<sst xmlns="http://schemas.openxmlformats.org/spreadsheetml/2006/main" count="404" uniqueCount="114">
  <si>
    <t xml:space="preserve"> </t>
  </si>
  <si>
    <t>AREA:</t>
  </si>
  <si>
    <t>NÚM</t>
  </si>
  <si>
    <t>NOMBRE DEL ARTÍCULO</t>
  </si>
  <si>
    <t>CANTIDAD</t>
  </si>
  <si>
    <t>SOLICITADO</t>
  </si>
  <si>
    <t>AUTORIZADO</t>
  </si>
  <si>
    <t>SURTIDO</t>
  </si>
  <si>
    <t>LOTE</t>
  </si>
  <si>
    <t>VACUNA ANTINEUMOCOCCICA 13</t>
  </si>
  <si>
    <t>VACUNA VPH</t>
  </si>
  <si>
    <t xml:space="preserve">OBSERVACIONES: </t>
  </si>
  <si>
    <t>25311.020-000-3800-00</t>
  </si>
  <si>
    <t>25311.020-000-3801-01</t>
  </si>
  <si>
    <t>25311.020-000-2526-00</t>
  </si>
  <si>
    <t>25311.020-000-3802-00</t>
  </si>
  <si>
    <t>25311.020-000-3805-00</t>
  </si>
  <si>
    <t>25311.020-000-3820-00</t>
  </si>
  <si>
    <t>25311.020-000-3821-00</t>
  </si>
  <si>
    <t>25311.020-000-3810-00</t>
  </si>
  <si>
    <t>25331.020-X-0002-00-E</t>
  </si>
  <si>
    <t>VACUNA HEPATITIS B MULTIDOSIS</t>
  </si>
  <si>
    <t>VACUNA HEPATITIS B UNIDOSIS</t>
  </si>
  <si>
    <t>VACUNA BCG</t>
  </si>
  <si>
    <t>VACUNA VACUNA DPT</t>
  </si>
  <si>
    <t>VACUNA TDPA</t>
  </si>
  <si>
    <t>VACUNATRIPLEVIRAL MULTI DOSIS</t>
  </si>
  <si>
    <t>VACUNA ANTINEUMOCOCCICA 23 1DS</t>
  </si>
  <si>
    <t>VACUNA ANTIAMARILICA</t>
  </si>
  <si>
    <t xml:space="preserve">VACUNA ANTIVARICELA </t>
  </si>
  <si>
    <t>25311.020-000-3832-00</t>
  </si>
  <si>
    <t>CADUCIDAD</t>
  </si>
  <si>
    <t>FIRMA DE RECEPCION</t>
  </si>
  <si>
    <t>MES A SURTIR:</t>
  </si>
  <si>
    <t>VACUNA INMUNOGLOBULINA ANTITETANICA</t>
  </si>
  <si>
    <t>VACUNA ANTIINFLUENZA 10/D</t>
  </si>
  <si>
    <t>FOLIO ORACLE:</t>
  </si>
  <si>
    <t>CLAVE DE ARTÍCULO</t>
  </si>
  <si>
    <t>ADMINISTRADOR DE JURISDICCION  SANITARIA No.  1</t>
  </si>
  <si>
    <t>VACUNA DOBLE VIRAL  (SR)</t>
  </si>
  <si>
    <t>VACUNA TRIPLE VIRAL 1DS (SRP)</t>
  </si>
  <si>
    <t>VACUNA  ANTIPOLIOMELITICA (SABIN)</t>
  </si>
  <si>
    <t>VACUNA TD</t>
  </si>
  <si>
    <t>SERVICIOS DE SALUD DEL ESTADO DE QUERÉTARO</t>
  </si>
  <si>
    <t>COORDINACION GENERAL</t>
  </si>
  <si>
    <t>25311.020-000-6135-00</t>
  </si>
  <si>
    <t>25311.020-000-0148-01</t>
  </si>
  <si>
    <t>VACUNA HEXAVALENTE</t>
  </si>
  <si>
    <t>25311.020-000-3822-01</t>
  </si>
  <si>
    <t>25311.020-000-4173-01</t>
  </si>
  <si>
    <t>25311.020-000-2527-00</t>
  </si>
  <si>
    <t>25311.020-000-6056-01</t>
  </si>
  <si>
    <t xml:space="preserve">JERINGA </t>
  </si>
  <si>
    <t>22X32</t>
  </si>
  <si>
    <t>23X25</t>
  </si>
  <si>
    <t>25X16</t>
  </si>
  <si>
    <t>27X13</t>
  </si>
  <si>
    <t>30GX1/2</t>
  </si>
  <si>
    <t>ING. ISRAEL RUIZ BARCENAS</t>
  </si>
  <si>
    <t>VACUNA ROTAVIRUS MONOVALENTE</t>
  </si>
  <si>
    <t>SUBDIRECCION DE ADQUISICIONES</t>
  </si>
  <si>
    <t>SOLICITUD Y SURTIMIENTO DE LA CÁMARA DE FRÍO ESTATAL</t>
  </si>
  <si>
    <t>ORIGEN:</t>
  </si>
  <si>
    <t>VACUNAS</t>
  </si>
  <si>
    <t>DIRECCIÓN:</t>
  </si>
  <si>
    <t>Circuito Moises Solana S/N, Col. Vista Alegre, Santiago de Querétaro. Qro.</t>
  </si>
  <si>
    <t>FECHA DE ENVIO:</t>
  </si>
  <si>
    <t>DESTINO:</t>
  </si>
  <si>
    <r>
      <t xml:space="preserve">CONDICIONES DE TRANSPORTE Y ALMACENAMIENTO: </t>
    </r>
    <r>
      <rPr>
        <sz val="22"/>
        <rFont val="Times New Roman"/>
        <family val="1"/>
      </rPr>
      <t>MANTENGASE EN TODO MOMENTO A TEMPERATURA ENTRE 2°C - 8 °C</t>
    </r>
  </si>
  <si>
    <t>TEMPERATURA A LA RECEPCIÓN:</t>
  </si>
  <si>
    <t>FECHA DE  RECEPCIÓN:</t>
  </si>
  <si>
    <t>L.E VERONICA GONZALEZ CONTRERAS</t>
  </si>
  <si>
    <t>RESPONSABLE PVU</t>
  </si>
  <si>
    <t>ENTREGA: NOMBRE COMPLETO Y FIRMA</t>
  </si>
  <si>
    <t>RECIBE: NOMBRE COMPLETO Y FIRMA</t>
  </si>
  <si>
    <t>PRESENTACIÓN</t>
  </si>
  <si>
    <t>FORMA</t>
  </si>
  <si>
    <t>FARMACÉUTICA</t>
  </si>
  <si>
    <t>UNIDOSIS</t>
  </si>
  <si>
    <t>Susp. Inyectable (Fco. Ampula)</t>
  </si>
  <si>
    <t>Susp. Inyectable (Jer. prellenada)</t>
  </si>
  <si>
    <t>MULTIDOSIS</t>
  </si>
  <si>
    <t>Fco. Amp Leofilizado+Diluy.</t>
  </si>
  <si>
    <t>Susp. (gotero de plastico)</t>
  </si>
  <si>
    <t>Fco. Amp Leofilizado +  Jer.prellenada.</t>
  </si>
  <si>
    <t>JURISDICCIÓN SANITARIA N.1</t>
  </si>
  <si>
    <t>LIC. LESLIE LÓPEZ ENCISO</t>
  </si>
  <si>
    <t>HOSPITAL GENERAL DE QUERÉTARO</t>
  </si>
  <si>
    <t>HOSPITAL DE ESPECIALIDADES DEL NIÑO Y LA MUJER</t>
  </si>
  <si>
    <t>25311.020-000-0150-05</t>
  </si>
  <si>
    <t>25311.020-000-0146-03</t>
  </si>
  <si>
    <t>NUEVO HOSPITAL GENERAL DE QUERÉTARO</t>
  </si>
  <si>
    <t>Av. 5 de Febreron.101, Los Virreyes. Querétaro, Qro.</t>
  </si>
  <si>
    <t>Adalberto Martínez n.448, La Joya, Querétaro, Qro.</t>
  </si>
  <si>
    <t>Av. Luis Vega Monrroy n.410, Colinas del Cimatario, Querétaro, Qro.</t>
  </si>
  <si>
    <t>25311.020-000-3808-02</t>
  </si>
  <si>
    <t>L.E LIZBETH URIBE PANTOJA</t>
  </si>
  <si>
    <r>
      <t xml:space="preserve">CONDICIONES DE TRANSPORTE Y ALMACENAMIENTO: </t>
    </r>
    <r>
      <rPr>
        <sz val="22"/>
        <rFont val="Arial Nova"/>
        <family val="2"/>
      </rPr>
      <t>MANTENGASE EN TODO MOMENTO A TEMPERATURA ENTRE 2°C - 8 °C</t>
    </r>
  </si>
  <si>
    <t>25311.020-000-6317-01</t>
  </si>
  <si>
    <t>25311.020-000-4172-01</t>
  </si>
  <si>
    <t>SEPTIEMBRE</t>
  </si>
  <si>
    <t>25311.020-000-6509-01</t>
  </si>
  <si>
    <t>VACUNA VRS</t>
  </si>
  <si>
    <t>25311.020-000-3825-01</t>
  </si>
  <si>
    <t>VACUNA HEPATITIS A UNIDOSIS</t>
  </si>
  <si>
    <t>LC5884</t>
  </si>
  <si>
    <t>AROLE168AH</t>
  </si>
  <si>
    <t>Y3C48D1</t>
  </si>
  <si>
    <t>AHAVC215AA</t>
  </si>
  <si>
    <t>0374MA108</t>
  </si>
  <si>
    <t>AC37B542BD</t>
  </si>
  <si>
    <t>2805X003A</t>
  </si>
  <si>
    <t>MK3145</t>
  </si>
  <si>
    <t>AROLE111BA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</si>
</sst>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dd/mm/yyyy;@"/>
    <numFmt numFmtId="166" formatCode="[$-F800]dddd\,\ mmmm\ dd\,\ yyyy"/>
  </numFmts>
  <fonts count="39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24"/>
      <name val="Times New Roman"/>
      <family val="1"/>
    </font>
    <font>
      <b/>
      <sz val="22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6"/>
      <color indexed="8"/>
      <name val="Times New Roman"/>
      <family val="1"/>
    </font>
    <font>
      <sz val="16"/>
      <name val="Arial"/>
      <family val="2"/>
    </font>
    <font>
      <b/>
      <sz val="18"/>
      <name val="Times New Roman"/>
      <family val="1"/>
    </font>
    <font>
      <sz val="18"/>
      <name val="Times New Roman"/>
      <family val="1"/>
    </font>
    <font>
      <sz val="22"/>
      <name val="Times New Roman"/>
      <family val="1"/>
    </font>
    <font>
      <b/>
      <u/>
      <sz val="16"/>
      <name val="Times New Roman"/>
      <family val="1"/>
    </font>
    <font>
      <b/>
      <sz val="10"/>
      <color indexed="8"/>
      <name val="Times New Roman"/>
      <family val="1"/>
    </font>
    <font>
      <b/>
      <sz val="10"/>
      <color theme="0" tint="-0.14999847407452621"/>
      <name val="Times New Roman"/>
      <family val="1"/>
    </font>
    <font>
      <sz val="20"/>
      <color rgb="FFFF0000"/>
      <name val="Times New Roman"/>
      <family val="1"/>
    </font>
    <font>
      <b/>
      <sz val="20"/>
      <color theme="1"/>
      <name val="Times New Roman"/>
      <family val="1"/>
    </font>
    <font>
      <b/>
      <sz val="18"/>
      <color indexed="8"/>
      <name val="Times New Roman"/>
      <family val="1"/>
    </font>
    <font>
      <b/>
      <sz val="24"/>
      <name val="Arial Nova"/>
      <family val="2"/>
    </font>
    <font>
      <b/>
      <sz val="10"/>
      <name val="Arial Nova"/>
      <family val="2"/>
    </font>
    <font>
      <sz val="10"/>
      <name val="Arial Nova"/>
      <family val="2"/>
    </font>
    <font>
      <b/>
      <sz val="20"/>
      <name val="Arial Nova"/>
      <family val="2"/>
    </font>
    <font>
      <sz val="20"/>
      <name val="Arial Nova"/>
      <family val="2"/>
    </font>
    <font>
      <b/>
      <sz val="16"/>
      <name val="Arial Nova"/>
      <family val="2"/>
    </font>
    <font>
      <sz val="16"/>
      <name val="Arial Nova"/>
      <family val="2"/>
    </font>
    <font>
      <b/>
      <sz val="18"/>
      <name val="Arial Nova"/>
      <family val="2"/>
    </font>
    <font>
      <sz val="18"/>
      <name val="Arial Nova"/>
      <family val="2"/>
    </font>
    <font>
      <b/>
      <sz val="20"/>
      <color theme="1"/>
      <name val="Arial Nova"/>
      <family val="2"/>
    </font>
    <font>
      <sz val="20"/>
      <color rgb="FFFF0000"/>
      <name val="Arial Nova"/>
      <family val="2"/>
    </font>
    <font>
      <b/>
      <sz val="22"/>
      <name val="Arial Nova"/>
      <family val="2"/>
    </font>
    <font>
      <sz val="22"/>
      <name val="Arial Nova"/>
      <family val="2"/>
    </font>
    <font>
      <b/>
      <sz val="18"/>
      <color indexed="8"/>
      <name val="Arial Nova"/>
      <family val="2"/>
    </font>
    <font>
      <b/>
      <u/>
      <sz val="16"/>
      <name val="Arial Nova"/>
      <family val="2"/>
    </font>
    <font>
      <b/>
      <sz val="16"/>
      <color indexed="8"/>
      <name val="Arial Nova"/>
      <family val="2"/>
    </font>
    <font>
      <b/>
      <sz val="10"/>
      <color theme="0" tint="-0.14999847407452621"/>
      <name val="Arial Nova"/>
      <family val="2"/>
    </font>
    <font>
      <b/>
      <sz val="10"/>
      <color indexed="8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95">
    <xf numFmtId="0" fontId="0" fillId="0" borderId="0" xfId="0"/>
    <xf numFmtId="0" fontId="3" fillId="0" borderId="0" xfId="0" applyFont="1" applyAlignment="1">
      <alignment vertical="center"/>
    </xf>
    <xf numFmtId="3" fontId="7" fillId="0" borderId="5" xfId="1" applyNumberFormat="1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center" vertical="center"/>
    </xf>
    <xf numFmtId="3" fontId="7" fillId="0" borderId="3" xfId="1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3" fontId="7" fillId="0" borderId="6" xfId="1" applyNumberFormat="1" applyFont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17" fontId="7" fillId="0" borderId="6" xfId="0" applyNumberFormat="1" applyFont="1" applyBorder="1" applyAlignment="1">
      <alignment horizontal="center" vertical="center"/>
    </xf>
    <xf numFmtId="17" fontId="7" fillId="0" borderId="3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18" fillId="0" borderId="6" xfId="1" applyNumberFormat="1" applyFont="1" applyBorder="1" applyAlignment="1">
      <alignment horizontal="center" vertical="center" wrapText="1"/>
    </xf>
    <xf numFmtId="3" fontId="18" fillId="0" borderId="3" xfId="1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3" fontId="11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7" fillId="0" borderId="5" xfId="1" applyFont="1" applyBorder="1" applyAlignment="1">
      <alignment horizontal="center" vertical="center"/>
    </xf>
    <xf numFmtId="17" fontId="7" fillId="0" borderId="5" xfId="1" applyNumberFormat="1" applyFont="1" applyBorder="1" applyAlignment="1">
      <alignment horizontal="center" vertical="center"/>
    </xf>
    <xf numFmtId="17" fontId="7" fillId="0" borderId="6" xfId="1" applyNumberFormat="1" applyFont="1" applyBorder="1" applyAlignment="1">
      <alignment horizontal="center" vertical="center"/>
    </xf>
    <xf numFmtId="0" fontId="11" fillId="0" borderId="0" xfId="0" applyFont="1"/>
    <xf numFmtId="0" fontId="8" fillId="3" borderId="3" xfId="0" applyFont="1" applyFill="1" applyBorder="1" applyAlignment="1">
      <alignment horizontal="center" vertical="center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>
      <alignment vertical="center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right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/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center" wrapText="1"/>
      <protection locked="0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14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" fontId="6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3" fontId="7" fillId="0" borderId="0" xfId="0" applyNumberFormat="1" applyFont="1" applyAlignment="1" applyProtection="1">
      <alignment horizontal="center" vertical="center"/>
      <protection locked="0"/>
    </xf>
    <xf numFmtId="3" fontId="7" fillId="0" borderId="0" xfId="1" applyNumberFormat="1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7" fontId="7" fillId="0" borderId="0" xfId="0" applyNumberFormat="1" applyFont="1" applyAlignment="1" applyProtection="1">
      <alignment horizontal="center" vertical="center"/>
      <protection locked="0"/>
    </xf>
    <xf numFmtId="165" fontId="6" fillId="0" borderId="0" xfId="0" applyNumberFormat="1" applyFont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 wrapText="1"/>
      <protection locked="0"/>
    </xf>
    <xf numFmtId="17" fontId="9" fillId="0" borderId="0" xfId="0" applyNumberFormat="1" applyFont="1" applyAlignment="1" applyProtection="1">
      <alignment horizontal="center" vertical="center"/>
      <protection locked="0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8" fillId="2" borderId="1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" fontId="7" fillId="0" borderId="3" xfId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22" fillId="0" borderId="0" xfId="0" applyFont="1" applyAlignme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>
      <alignment horizontal="right"/>
    </xf>
    <xf numFmtId="0" fontId="25" fillId="0" borderId="0" xfId="0" applyFont="1" applyAlignment="1" applyProtection="1">
      <alignment horizontal="center"/>
      <protection locked="0"/>
    </xf>
    <xf numFmtId="0" fontId="26" fillId="0" borderId="0" xfId="0" applyFont="1"/>
    <xf numFmtId="0" fontId="26" fillId="0" borderId="0" xfId="0" applyFont="1" applyAlignment="1" applyProtection="1">
      <alignment vertical="center"/>
      <protection locked="0"/>
    </xf>
    <xf numFmtId="0" fontId="27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horizontal="center" wrapText="1"/>
      <protection locked="0"/>
    </xf>
    <xf numFmtId="0" fontId="24" fillId="0" borderId="4" xfId="0" applyFont="1" applyBorder="1" applyAlignment="1">
      <alignment vertical="center"/>
    </xf>
    <xf numFmtId="0" fontId="23" fillId="0" borderId="0" xfId="0" applyFont="1"/>
    <xf numFmtId="0" fontId="26" fillId="2" borderId="13" xfId="0" applyFont="1" applyFill="1" applyBorder="1" applyAlignment="1">
      <alignment horizontal="center" vertical="center" wrapText="1"/>
    </xf>
    <xf numFmtId="0" fontId="27" fillId="0" borderId="0" xfId="0" applyFont="1"/>
    <xf numFmtId="0" fontId="26" fillId="2" borderId="3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/>
    </xf>
    <xf numFmtId="3" fontId="25" fillId="0" borderId="5" xfId="1" applyNumberFormat="1" applyFont="1" applyBorder="1" applyAlignment="1">
      <alignment horizontal="center" vertical="center" wrapText="1"/>
    </xf>
    <xf numFmtId="3" fontId="25" fillId="0" borderId="5" xfId="0" applyNumberFormat="1" applyFont="1" applyBorder="1" applyAlignment="1">
      <alignment horizontal="center" vertical="center"/>
    </xf>
    <xf numFmtId="0" fontId="25" fillId="0" borderId="5" xfId="1" applyFont="1" applyBorder="1" applyAlignment="1">
      <alignment horizontal="center" vertical="center"/>
    </xf>
    <xf numFmtId="17" fontId="25" fillId="0" borderId="5" xfId="1" applyNumberFormat="1" applyFont="1" applyBorder="1" applyAlignment="1">
      <alignment horizontal="center" vertical="center"/>
    </xf>
    <xf numFmtId="3" fontId="27" fillId="0" borderId="10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3" fontId="25" fillId="0" borderId="3" xfId="1" applyNumberFormat="1" applyFont="1" applyBorder="1" applyAlignment="1">
      <alignment horizontal="center" vertical="center" wrapText="1"/>
    </xf>
    <xf numFmtId="3" fontId="25" fillId="0" borderId="3" xfId="0" applyNumberFormat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17" fontId="25" fillId="0" borderId="3" xfId="1" applyNumberFormat="1" applyFont="1" applyBorder="1" applyAlignment="1">
      <alignment horizontal="center" vertical="center"/>
    </xf>
    <xf numFmtId="3" fontId="25" fillId="0" borderId="6" xfId="1" applyNumberFormat="1" applyFont="1" applyBorder="1" applyAlignment="1">
      <alignment horizontal="center" vertical="center" wrapText="1"/>
    </xf>
    <xf numFmtId="3" fontId="25" fillId="0" borderId="6" xfId="0" applyNumberFormat="1" applyFont="1" applyBorder="1" applyAlignment="1">
      <alignment horizontal="center" vertical="center"/>
    </xf>
    <xf numFmtId="0" fontId="25" fillId="0" borderId="6" xfId="1" applyFont="1" applyBorder="1" applyAlignment="1">
      <alignment horizontal="center" vertical="center"/>
    </xf>
    <xf numFmtId="17" fontId="25" fillId="0" borderId="6" xfId="1" applyNumberFormat="1" applyFont="1" applyBorder="1" applyAlignment="1">
      <alignment horizontal="center" vertical="center"/>
    </xf>
    <xf numFmtId="17" fontId="25" fillId="0" borderId="6" xfId="0" applyNumberFormat="1" applyFont="1" applyBorder="1" applyAlignment="1">
      <alignment horizontal="center" vertical="center"/>
    </xf>
    <xf numFmtId="17" fontId="25" fillId="0" borderId="3" xfId="0" applyNumberFormat="1" applyFont="1" applyBorder="1" applyAlignment="1">
      <alignment horizontal="center" vertical="center"/>
    </xf>
    <xf numFmtId="3" fontId="31" fillId="0" borderId="6" xfId="1" applyNumberFormat="1" applyFont="1" applyBorder="1" applyAlignment="1">
      <alignment horizontal="center" vertical="center" wrapText="1"/>
    </xf>
    <xf numFmtId="3" fontId="31" fillId="0" borderId="3" xfId="1" applyNumberFormat="1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65" fontId="32" fillId="0" borderId="0" xfId="0" applyNumberFormat="1" applyFont="1" applyAlignment="1">
      <alignment horizontal="center" vertical="center"/>
    </xf>
    <xf numFmtId="0" fontId="33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1" fontId="24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3" fontId="25" fillId="0" borderId="0" xfId="0" applyNumberFormat="1" applyFont="1" applyAlignment="1" applyProtection="1">
      <alignment horizontal="center" vertical="center"/>
      <protection locked="0"/>
    </xf>
    <xf numFmtId="3" fontId="25" fillId="0" borderId="0" xfId="1" applyNumberFormat="1" applyFont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17" fontId="25" fillId="0" borderId="0" xfId="0" applyNumberFormat="1" applyFont="1" applyAlignment="1" applyProtection="1">
      <alignment horizontal="center" vertical="center"/>
      <protection locked="0"/>
    </xf>
    <xf numFmtId="165" fontId="24" fillId="0" borderId="0" xfId="0" applyNumberFormat="1" applyFont="1" applyAlignment="1" applyProtection="1">
      <alignment horizontal="center" vertical="center"/>
      <protection locked="0"/>
    </xf>
    <xf numFmtId="1" fontId="24" fillId="0" borderId="0" xfId="0" applyNumberFormat="1" applyFont="1" applyAlignment="1">
      <alignment horizontal="center" vertical="center"/>
    </xf>
    <xf numFmtId="0" fontId="25" fillId="0" borderId="4" xfId="0" applyFont="1" applyBorder="1" applyAlignment="1" applyProtection="1">
      <alignment horizontal="center"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6" fillId="0" borderId="0" xfId="0" applyFont="1" applyAlignment="1" applyProtection="1">
      <alignment vertical="center" wrapText="1"/>
      <protection locked="0"/>
    </xf>
    <xf numFmtId="17" fontId="27" fillId="0" borderId="0" xfId="0" applyNumberFormat="1" applyFont="1" applyAlignment="1" applyProtection="1">
      <alignment horizontal="center" vertical="center"/>
      <protection locked="0"/>
    </xf>
    <xf numFmtId="164" fontId="27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164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35" fillId="0" borderId="0" xfId="0" applyFont="1" applyAlignment="1" applyProtection="1">
      <alignment vertical="center"/>
      <protection locked="0"/>
    </xf>
    <xf numFmtId="0" fontId="27" fillId="0" borderId="1" xfId="0" applyFont="1" applyBorder="1" applyAlignment="1" applyProtection="1">
      <alignment vertical="center"/>
      <protection locked="0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6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38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horizontal="right" vertical="center"/>
      <protection locked="0"/>
    </xf>
    <xf numFmtId="15" fontId="25" fillId="0" borderId="6" xfId="0" applyNumberFormat="1" applyFont="1" applyBorder="1" applyAlignment="1">
      <alignment horizontal="center" vertical="center"/>
    </xf>
    <xf numFmtId="15" fontId="25" fillId="0" borderId="5" xfId="1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6" fillId="0" borderId="1" xfId="0" applyFont="1" applyBorder="1" applyAlignment="1" applyProtection="1">
      <alignment horizontal="center" vertical="center"/>
      <protection locked="0"/>
    </xf>
    <xf numFmtId="0" fontId="34" fillId="0" borderId="17" xfId="0" applyFont="1" applyBorder="1" applyAlignment="1">
      <alignment horizontal="center" vertical="center"/>
    </xf>
    <xf numFmtId="0" fontId="28" fillId="4" borderId="17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5" fillId="0" borderId="21" xfId="0" applyNumberFormat="1" applyFont="1" applyBorder="1" applyAlignment="1">
      <alignment horizontal="center" vertical="center"/>
    </xf>
    <xf numFmtId="165" fontId="25" fillId="0" borderId="22" xfId="0" applyNumberFormat="1" applyFont="1" applyBorder="1" applyAlignment="1">
      <alignment horizontal="center" vertical="center"/>
    </xf>
    <xf numFmtId="1" fontId="32" fillId="0" borderId="18" xfId="0" applyNumberFormat="1" applyFont="1" applyBorder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" fontId="28" fillId="0" borderId="14" xfId="0" applyNumberFormat="1" applyFont="1" applyBorder="1" applyAlignment="1">
      <alignment horizontal="center" vertical="center"/>
    </xf>
    <xf numFmtId="1" fontId="28" fillId="0" borderId="15" xfId="0" applyNumberFormat="1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3" fontId="29" fillId="0" borderId="14" xfId="0" applyNumberFormat="1" applyFont="1" applyBorder="1" applyAlignment="1">
      <alignment horizontal="center" vertical="center"/>
    </xf>
    <xf numFmtId="3" fontId="29" fillId="0" borderId="15" xfId="0" applyNumberFormat="1" applyFont="1" applyBorder="1" applyAlignment="1">
      <alignment horizontal="center" vertical="center"/>
    </xf>
    <xf numFmtId="3" fontId="27" fillId="0" borderId="13" xfId="0" applyNumberFormat="1" applyFont="1" applyBorder="1" applyAlignment="1">
      <alignment horizontal="center" vertical="center" wrapText="1"/>
    </xf>
    <xf numFmtId="3" fontId="27" fillId="0" borderId="16" xfId="0" applyNumberFormat="1" applyFont="1" applyBorder="1" applyAlignment="1">
      <alignment horizontal="center" vertical="center" wrapText="1"/>
    </xf>
    <xf numFmtId="3" fontId="24" fillId="0" borderId="14" xfId="0" applyNumberFormat="1" applyFont="1" applyBorder="1" applyAlignment="1">
      <alignment horizontal="center" vertical="center"/>
    </xf>
    <xf numFmtId="3" fontId="24" fillId="0" borderId="15" xfId="0" applyNumberFormat="1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17" fontId="25" fillId="0" borderId="21" xfId="0" applyNumberFormat="1" applyFont="1" applyBorder="1" applyAlignment="1">
      <alignment horizontal="center" vertical="center"/>
    </xf>
    <xf numFmtId="17" fontId="25" fillId="0" borderId="22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 wrapText="1"/>
    </xf>
    <xf numFmtId="3" fontId="30" fillId="0" borderId="14" xfId="0" applyNumberFormat="1" applyFont="1" applyBorder="1" applyAlignment="1">
      <alignment horizontal="center" vertical="center"/>
    </xf>
    <xf numFmtId="3" fontId="30" fillId="0" borderId="15" xfId="0" applyNumberFormat="1" applyFont="1" applyBorder="1" applyAlignment="1">
      <alignment horizontal="center" vertical="center"/>
    </xf>
    <xf numFmtId="14" fontId="25" fillId="0" borderId="21" xfId="0" applyNumberFormat="1" applyFont="1" applyBorder="1" applyAlignment="1">
      <alignment horizontal="center" vertical="center"/>
    </xf>
    <xf numFmtId="14" fontId="25" fillId="0" borderId="22" xfId="0" applyNumberFormat="1" applyFont="1" applyBorder="1" applyAlignment="1">
      <alignment horizontal="center" vertical="center"/>
    </xf>
    <xf numFmtId="14" fontId="25" fillId="0" borderId="21" xfId="1" applyNumberFormat="1" applyFont="1" applyBorder="1" applyAlignment="1">
      <alignment horizontal="center" vertical="center" wrapText="1"/>
    </xf>
    <xf numFmtId="14" fontId="25" fillId="0" borderId="22" xfId="1" applyNumberFormat="1" applyFont="1" applyBorder="1" applyAlignment="1">
      <alignment horizontal="center" vertical="center" wrapText="1"/>
    </xf>
    <xf numFmtId="14" fontId="25" fillId="0" borderId="24" xfId="1" applyNumberFormat="1" applyFont="1" applyBorder="1" applyAlignment="1">
      <alignment horizontal="center" vertical="center" wrapText="1"/>
    </xf>
    <xf numFmtId="14" fontId="25" fillId="0" borderId="12" xfId="1" applyNumberFormat="1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14" fontId="25" fillId="0" borderId="11" xfId="1" applyNumberFormat="1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26" fillId="2" borderId="7" xfId="0" applyFont="1" applyFill="1" applyBorder="1" applyAlignment="1">
      <alignment horizontal="center" vertical="center" wrapText="1"/>
    </xf>
    <xf numFmtId="0" fontId="26" fillId="2" borderId="25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 vertical="center" wrapText="1"/>
    </xf>
    <xf numFmtId="0" fontId="26" fillId="2" borderId="26" xfId="0" applyFont="1" applyFill="1" applyBorder="1" applyAlignment="1">
      <alignment horizontal="center" vertical="center" wrapText="1"/>
    </xf>
    <xf numFmtId="0" fontId="26" fillId="2" borderId="28" xfId="0" applyFont="1" applyFill="1" applyBorder="1" applyAlignment="1">
      <alignment horizontal="center" vertical="center" wrapText="1"/>
    </xf>
    <xf numFmtId="0" fontId="26" fillId="2" borderId="29" xfId="0" applyFont="1" applyFill="1" applyBorder="1" applyAlignment="1">
      <alignment horizontal="center" vertical="center" wrapText="1"/>
    </xf>
    <xf numFmtId="0" fontId="26" fillId="3" borderId="21" xfId="0" applyFont="1" applyFill="1" applyBorder="1" applyAlignment="1">
      <alignment horizontal="center" vertical="center"/>
    </xf>
    <xf numFmtId="0" fontId="26" fillId="3" borderId="2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/>
    </xf>
    <xf numFmtId="166" fontId="25" fillId="0" borderId="1" xfId="0" applyNumberFormat="1" applyFont="1" applyBorder="1" applyAlignment="1" applyProtection="1">
      <alignment horizontal="center"/>
      <protection locked="0"/>
    </xf>
    <xf numFmtId="0" fontId="25" fillId="0" borderId="1" xfId="0" applyFont="1" applyBorder="1" applyAlignment="1" applyProtection="1">
      <alignment horizontal="center"/>
      <protection locked="0"/>
    </xf>
    <xf numFmtId="0" fontId="25" fillId="0" borderId="1" xfId="0" applyFont="1" applyBorder="1" applyAlignment="1">
      <alignment horizontal="center" wrapText="1"/>
    </xf>
    <xf numFmtId="0" fontId="12" fillId="0" borderId="17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2" fillId="4" borderId="17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7" fillId="0" borderId="21" xfId="0" applyNumberFormat="1" applyFont="1" applyBorder="1" applyAlignment="1">
      <alignment horizontal="center" vertical="center"/>
    </xf>
    <xf numFmtId="165" fontId="7" fillId="0" borderId="22" xfId="0" applyNumberFormat="1" applyFont="1" applyBorder="1" applyAlignment="1">
      <alignment horizontal="center" vertical="center"/>
    </xf>
    <xf numFmtId="1" fontId="5" fillId="0" borderId="18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" fontId="12" fillId="0" borderId="14" xfId="0" applyNumberFormat="1" applyFont="1" applyBorder="1" applyAlignment="1">
      <alignment horizontal="center" vertical="center"/>
    </xf>
    <xf numFmtId="1" fontId="12" fillId="0" borderId="15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3" fontId="13" fillId="0" borderId="14" xfId="0" applyNumberFormat="1" applyFont="1" applyBorder="1" applyAlignment="1">
      <alignment horizontal="center" vertical="center"/>
    </xf>
    <xf numFmtId="3" fontId="13" fillId="0" borderId="15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 wrapText="1"/>
    </xf>
    <xf numFmtId="3" fontId="9" fillId="0" borderId="16" xfId="0" applyNumberFormat="1" applyFont="1" applyBorder="1" applyAlignment="1">
      <alignment horizontal="center" vertical="center" wrapText="1"/>
    </xf>
    <xf numFmtId="3" fontId="6" fillId="0" borderId="14" xfId="0" applyNumberFormat="1" applyFont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17" fontId="7" fillId="0" borderId="21" xfId="0" applyNumberFormat="1" applyFont="1" applyBorder="1" applyAlignment="1">
      <alignment horizontal="center" vertical="center"/>
    </xf>
    <xf numFmtId="17" fontId="7" fillId="0" borderId="22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3" fontId="19" fillId="0" borderId="14" xfId="0" applyNumberFormat="1" applyFont="1" applyBorder="1" applyAlignment="1">
      <alignment horizontal="center" vertical="center"/>
    </xf>
    <xf numFmtId="3" fontId="19" fillId="0" borderId="15" xfId="0" applyNumberFormat="1" applyFont="1" applyBorder="1" applyAlignment="1">
      <alignment horizontal="center" vertical="center"/>
    </xf>
    <xf numFmtId="14" fontId="7" fillId="0" borderId="21" xfId="0" applyNumberFormat="1" applyFont="1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/>
    </xf>
    <xf numFmtId="14" fontId="7" fillId="0" borderId="21" xfId="1" applyNumberFormat="1" applyFont="1" applyBorder="1" applyAlignment="1">
      <alignment horizontal="center" vertical="center" wrapText="1"/>
    </xf>
    <xf numFmtId="14" fontId="7" fillId="0" borderId="22" xfId="1" applyNumberFormat="1" applyFont="1" applyBorder="1" applyAlignment="1">
      <alignment horizontal="center" vertical="center" wrapText="1"/>
    </xf>
    <xf numFmtId="14" fontId="7" fillId="0" borderId="24" xfId="1" applyNumberFormat="1" applyFont="1" applyBorder="1" applyAlignment="1">
      <alignment horizontal="center" vertical="center" wrapText="1"/>
    </xf>
    <xf numFmtId="14" fontId="7" fillId="0" borderId="12" xfId="1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14" fontId="7" fillId="0" borderId="11" xfId="1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66" fontId="7" fillId="0" borderId="1" xfId="0" applyNumberFormat="1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2084B263-F365-4EC7-90EC-44B784C80B81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71</xdr:row>
      <xdr:rowOff>30390</xdr:rowOff>
    </xdr:from>
    <xdr:to>
      <xdr:col>2</xdr:col>
      <xdr:colOff>4199585</xdr:colOff>
      <xdr:row>83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30F47D63-6310-4073-8C5C-5BCCBED5D85C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71</xdr:row>
      <xdr:rowOff>11340</xdr:rowOff>
    </xdr:from>
    <xdr:to>
      <xdr:col>10</xdr:col>
      <xdr:colOff>2672046</xdr:colOff>
      <xdr:row>83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1D9E074D-F6F4-4D08-A51C-F0E559826CC4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51954</xdr:colOff>
      <xdr:row>0</xdr:row>
      <xdr:rowOff>69273</xdr:rowOff>
    </xdr:from>
    <xdr:to>
      <xdr:col>2</xdr:col>
      <xdr:colOff>1021434</xdr:colOff>
      <xdr:row>5</xdr:row>
      <xdr:rowOff>349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9729BAE-A721-4EB1-98B3-8FF7C89D1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69273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7</xdr:col>
      <xdr:colOff>1534754</xdr:colOff>
      <xdr:row>0</xdr:row>
      <xdr:rowOff>69621</xdr:rowOff>
    </xdr:from>
    <xdr:to>
      <xdr:col>10</xdr:col>
      <xdr:colOff>2646574</xdr:colOff>
      <xdr:row>5</xdr:row>
      <xdr:rowOff>348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3585E2-C699-40E7-994F-1D08A4A30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75299" y="69621"/>
          <a:ext cx="6376548" cy="1835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50957B1F-BCE9-4D9D-A93F-F10EDFBABDA0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E65FA48F-5200-49A9-83D9-512C5E85D1B7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BC20AE4-B67F-4654-834F-4DECC242A4CA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69272</xdr:colOff>
      <xdr:row>0</xdr:row>
      <xdr:rowOff>51955</xdr:rowOff>
    </xdr:from>
    <xdr:to>
      <xdr:col>2</xdr:col>
      <xdr:colOff>1038752</xdr:colOff>
      <xdr:row>4</xdr:row>
      <xdr:rowOff>364031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84F041E-2CCC-4C52-BAAE-F1AF49B64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" y="51955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17317</xdr:colOff>
      <xdr:row>0</xdr:row>
      <xdr:rowOff>34636</xdr:rowOff>
    </xdr:from>
    <xdr:to>
      <xdr:col>10</xdr:col>
      <xdr:colOff>2669012</xdr:colOff>
      <xdr:row>4</xdr:row>
      <xdr:rowOff>346363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D45924-81B5-4F99-8763-ECA567411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6FF68AD7-3F36-426D-8546-0B2C92946C17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55536AC1-811C-4868-8F9B-6824DE40A81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6D21BAE-07C5-4439-8AA3-7D5E22F75413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51955</xdr:colOff>
      <xdr:row>0</xdr:row>
      <xdr:rowOff>86590</xdr:rowOff>
    </xdr:from>
    <xdr:to>
      <xdr:col>2</xdr:col>
      <xdr:colOff>1021435</xdr:colOff>
      <xdr:row>5</xdr:row>
      <xdr:rowOff>17666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944DA51-57DF-4F51-9722-D9CFDAB14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5" y="86590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51955</xdr:colOff>
      <xdr:row>0</xdr:row>
      <xdr:rowOff>51954</xdr:rowOff>
    </xdr:from>
    <xdr:to>
      <xdr:col>11</xdr:col>
      <xdr:colOff>19332</xdr:colOff>
      <xdr:row>4</xdr:row>
      <xdr:rowOff>363681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052D0B-B024-4552-BA10-F82689D94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3819" y="51954"/>
          <a:ext cx="6375104" cy="1835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4350-0F8D-4838-9C03-837C0D45CB2E}">
  <dimension ref="A1:P84"/>
  <sheetViews>
    <sheetView view="pageBreakPreview" zoomScale="55" zoomScaleNormal="50" zoomScaleSheetLayoutView="55" workbookViewId="0">
      <selection activeCell="A34" sqref="A34:A35"/>
    </sheetView>
  </sheetViews>
  <sheetFormatPr baseColWidth="10" defaultRowHeight="12.75" x14ac:dyDescent="0.2"/>
  <cols>
    <col min="1" max="1" width="43.7109375" customWidth="1"/>
    <col min="2" max="2" width="22.140625" customWidth="1"/>
    <col min="3" max="3" width="63" customWidth="1"/>
    <col min="4" max="4" width="34.85546875" customWidth="1"/>
    <col min="5" max="5" width="30.42578125" customWidth="1"/>
    <col min="6" max="6" width="24.5703125" customWidth="1"/>
    <col min="7" max="7" width="23.42578125" customWidth="1"/>
    <col min="8" max="8" width="23.140625" customWidth="1"/>
    <col min="9" max="9" width="33.42578125" customWidth="1"/>
    <col min="10" max="10" width="22.42578125" customWidth="1"/>
    <col min="11" max="11" width="40.28515625" customWidth="1"/>
    <col min="13" max="13" width="11.42578125" customWidth="1"/>
    <col min="14" max="14" width="22.140625" customWidth="1"/>
    <col min="16" max="16" width="28.28515625" customWidth="1"/>
  </cols>
  <sheetData>
    <row r="1" spans="1:16" s="26" customFormat="1" ht="30" x14ac:dyDescent="0.2">
      <c r="A1" s="278" t="s">
        <v>43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5"/>
    </row>
    <row r="2" spans="1:16" s="26" customFormat="1" ht="30" x14ac:dyDescent="0.2">
      <c r="A2" s="278" t="s">
        <v>44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"/>
    </row>
    <row r="3" spans="1:16" s="26" customFormat="1" ht="30" customHeight="1" x14ac:dyDescent="0.2">
      <c r="A3" s="278" t="s">
        <v>60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"/>
    </row>
    <row r="4" spans="1:16" s="26" customFormat="1" ht="30" customHeight="1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7"/>
    </row>
    <row r="5" spans="1:16" s="26" customFormat="1" ht="30" customHeight="1" x14ac:dyDescent="0.2">
      <c r="A5" s="278" t="s">
        <v>61</v>
      </c>
      <c r="B5" s="278"/>
      <c r="C5" s="278"/>
      <c r="D5" s="278"/>
      <c r="E5" s="278"/>
      <c r="F5" s="278"/>
      <c r="G5" s="278"/>
      <c r="H5" s="278"/>
      <c r="I5" s="278"/>
      <c r="J5" s="278"/>
      <c r="K5" s="278"/>
    </row>
    <row r="6" spans="1:16" s="26" customFormat="1" ht="30" customHeight="1" x14ac:dyDescent="0.2">
      <c r="A6" s="75"/>
      <c r="B6" s="75"/>
      <c r="C6" s="75"/>
      <c r="D6" s="75"/>
      <c r="E6" s="29"/>
      <c r="F6" s="75"/>
      <c r="G6" s="75"/>
      <c r="H6" s="75"/>
      <c r="I6" s="75"/>
      <c r="J6" s="75"/>
      <c r="K6" s="29"/>
    </row>
    <row r="7" spans="1:16" s="34" customFormat="1" ht="39.950000000000003" customHeight="1" x14ac:dyDescent="0.4">
      <c r="A7" s="30" t="s">
        <v>62</v>
      </c>
      <c r="B7" s="279" t="s">
        <v>85</v>
      </c>
      <c r="C7" s="279"/>
      <c r="D7" s="279"/>
      <c r="E7" s="31"/>
      <c r="F7" s="32"/>
      <c r="G7" s="30" t="s">
        <v>1</v>
      </c>
      <c r="H7" s="279" t="s">
        <v>63</v>
      </c>
      <c r="I7" s="279"/>
      <c r="J7" s="279"/>
      <c r="K7" s="33"/>
    </row>
    <row r="8" spans="1:16" s="34" customFormat="1" ht="39.950000000000003" customHeight="1" x14ac:dyDescent="0.4">
      <c r="A8" s="30" t="s">
        <v>64</v>
      </c>
      <c r="B8" s="291" t="s">
        <v>65</v>
      </c>
      <c r="C8" s="291"/>
      <c r="D8" s="291"/>
      <c r="E8" s="35"/>
      <c r="F8" s="32"/>
      <c r="G8" s="30" t="s">
        <v>66</v>
      </c>
      <c r="H8" s="292" t="e">
        <f>IF(#REF!=0," ",#REF!)</f>
        <v>#REF!</v>
      </c>
      <c r="I8" s="292"/>
      <c r="J8" s="292"/>
      <c r="K8" s="33"/>
    </row>
    <row r="9" spans="1:16" s="34" customFormat="1" ht="39.950000000000003" customHeight="1" x14ac:dyDescent="0.4">
      <c r="A9" s="30" t="s">
        <v>67</v>
      </c>
      <c r="B9" s="279" t="s">
        <v>87</v>
      </c>
      <c r="C9" s="279"/>
      <c r="D9" s="279"/>
      <c r="E9" s="31"/>
      <c r="F9" s="32"/>
      <c r="G9" s="30" t="s">
        <v>36</v>
      </c>
      <c r="H9" s="293"/>
      <c r="I9" s="293"/>
      <c r="J9" s="293"/>
      <c r="K9" s="33"/>
    </row>
    <row r="10" spans="1:16" s="34" customFormat="1" ht="39.75" customHeight="1" x14ac:dyDescent="0.4">
      <c r="A10" s="30" t="s">
        <v>64</v>
      </c>
      <c r="B10" s="294" t="s">
        <v>92</v>
      </c>
      <c r="C10" s="294"/>
      <c r="D10" s="294"/>
      <c r="E10" s="35"/>
      <c r="F10" s="32"/>
      <c r="G10" s="30" t="s">
        <v>33</v>
      </c>
      <c r="H10" s="279" t="e">
        <f>#REF!</f>
        <v>#REF!</v>
      </c>
      <c r="I10" s="279"/>
      <c r="J10" s="279"/>
      <c r="K10" s="33"/>
    </row>
    <row r="11" spans="1:16" ht="39.75" customHeight="1" thickBo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spans="1:16" s="23" customFormat="1" ht="20.25" x14ac:dyDescent="0.3">
      <c r="A12" s="280" t="s">
        <v>2</v>
      </c>
      <c r="B12" s="282" t="s">
        <v>37</v>
      </c>
      <c r="C12" s="282" t="s">
        <v>3</v>
      </c>
      <c r="D12" s="284" t="s">
        <v>75</v>
      </c>
      <c r="E12" s="63" t="s">
        <v>76</v>
      </c>
      <c r="F12" s="286" t="s">
        <v>4</v>
      </c>
      <c r="G12" s="287"/>
      <c r="H12" s="287"/>
      <c r="I12" s="287"/>
      <c r="J12" s="288"/>
      <c r="K12" s="289" t="s">
        <v>32</v>
      </c>
    </row>
    <row r="13" spans="1:16" s="23" customFormat="1" ht="21" thickBot="1" x14ac:dyDescent="0.35">
      <c r="A13" s="281"/>
      <c r="B13" s="283"/>
      <c r="C13" s="283"/>
      <c r="D13" s="285"/>
      <c r="E13" s="64" t="s">
        <v>77</v>
      </c>
      <c r="F13" s="74" t="s">
        <v>5</v>
      </c>
      <c r="G13" s="74" t="s">
        <v>6</v>
      </c>
      <c r="H13" s="74" t="s">
        <v>7</v>
      </c>
      <c r="I13" s="24" t="s">
        <v>8</v>
      </c>
      <c r="J13" s="24" t="s">
        <v>31</v>
      </c>
      <c r="K13" s="290"/>
    </row>
    <row r="14" spans="1:16" ht="26.25" customHeight="1" x14ac:dyDescent="0.2">
      <c r="A14" s="274" t="s">
        <v>90</v>
      </c>
      <c r="B14" s="275">
        <v>146</v>
      </c>
      <c r="C14" s="276" t="s">
        <v>27</v>
      </c>
      <c r="D14" s="246" t="s">
        <v>78</v>
      </c>
      <c r="E14" s="248" t="s">
        <v>79</v>
      </c>
      <c r="F14" s="259"/>
      <c r="G14" s="2"/>
      <c r="H14" s="3"/>
      <c r="I14" s="20"/>
      <c r="J14" s="21"/>
      <c r="K14" s="265"/>
      <c r="M14" s="17">
        <f>SUM(F14+(F44*10)+(F32*10)+F22+F34+(F36*10)+F48)</f>
        <v>0</v>
      </c>
      <c r="N14" s="18" t="s">
        <v>52</v>
      </c>
      <c r="O14" s="18">
        <v>2715</v>
      </c>
      <c r="P14" s="18" t="s">
        <v>53</v>
      </c>
    </row>
    <row r="15" spans="1:16" ht="27" thickBot="1" x14ac:dyDescent="0.25">
      <c r="A15" s="268"/>
      <c r="B15" s="270"/>
      <c r="C15" s="277"/>
      <c r="D15" s="247"/>
      <c r="E15" s="249"/>
      <c r="F15" s="260"/>
      <c r="G15" s="4"/>
      <c r="H15" s="5"/>
      <c r="I15" s="6"/>
      <c r="J15" s="76"/>
      <c r="K15" s="266"/>
      <c r="M15" s="17">
        <f>SUM((F44/3)*20+F20)</f>
        <v>0</v>
      </c>
      <c r="N15" s="18" t="s">
        <v>52</v>
      </c>
      <c r="O15" s="18">
        <v>2707</v>
      </c>
      <c r="P15" s="18" t="s">
        <v>54</v>
      </c>
    </row>
    <row r="16" spans="1:16" ht="26.25" x14ac:dyDescent="0.2">
      <c r="A16" s="267" t="s">
        <v>46</v>
      </c>
      <c r="B16" s="269">
        <v>148</v>
      </c>
      <c r="C16" s="271" t="s">
        <v>9</v>
      </c>
      <c r="D16" s="246" t="s">
        <v>78</v>
      </c>
      <c r="E16" s="248" t="s">
        <v>80</v>
      </c>
      <c r="F16" s="259"/>
      <c r="G16" s="7"/>
      <c r="H16" s="8"/>
      <c r="I16" s="9"/>
      <c r="J16" s="22"/>
      <c r="K16" s="273"/>
      <c r="M16" s="17">
        <f>SUM(F24)</f>
        <v>0</v>
      </c>
      <c r="N16" s="18" t="s">
        <v>52</v>
      </c>
      <c r="O16" s="18">
        <v>2699</v>
      </c>
      <c r="P16" s="18" t="s">
        <v>55</v>
      </c>
    </row>
    <row r="17" spans="1:16" ht="27" thickBot="1" x14ac:dyDescent="0.25">
      <c r="A17" s="268"/>
      <c r="B17" s="270"/>
      <c r="C17" s="272"/>
      <c r="D17" s="247"/>
      <c r="E17" s="249"/>
      <c r="F17" s="260"/>
      <c r="G17" s="4"/>
      <c r="H17" s="5"/>
      <c r="I17" s="6"/>
      <c r="J17" s="76"/>
      <c r="K17" s="266"/>
      <c r="M17" s="17">
        <f>SUM(F26+F40)</f>
        <v>0</v>
      </c>
      <c r="N17" s="18" t="s">
        <v>52</v>
      </c>
      <c r="O17" s="18">
        <v>2657</v>
      </c>
      <c r="P17" s="18" t="s">
        <v>56</v>
      </c>
    </row>
    <row r="18" spans="1:16" ht="26.25" customHeight="1" x14ac:dyDescent="0.2">
      <c r="A18" s="240" t="s">
        <v>89</v>
      </c>
      <c r="B18" s="252">
        <v>150</v>
      </c>
      <c r="C18" s="244" t="s">
        <v>59</v>
      </c>
      <c r="D18" s="246" t="s">
        <v>78</v>
      </c>
      <c r="E18" s="248" t="s">
        <v>80</v>
      </c>
      <c r="F18" s="259"/>
      <c r="G18" s="7"/>
      <c r="H18" s="8"/>
      <c r="I18" s="9"/>
      <c r="J18" s="22"/>
      <c r="K18" s="263"/>
      <c r="M18" s="17">
        <f>SUM(F28*10)</f>
        <v>0</v>
      </c>
      <c r="N18" s="18" t="s">
        <v>52</v>
      </c>
      <c r="O18" s="18">
        <v>59</v>
      </c>
      <c r="P18" s="18" t="s">
        <v>57</v>
      </c>
    </row>
    <row r="19" spans="1:16" ht="27" thickBot="1" x14ac:dyDescent="0.25">
      <c r="A19" s="241"/>
      <c r="B19" s="253"/>
      <c r="C19" s="245"/>
      <c r="D19" s="247"/>
      <c r="E19" s="249"/>
      <c r="F19" s="260"/>
      <c r="G19" s="4"/>
      <c r="H19" s="5"/>
      <c r="I19" s="6"/>
      <c r="J19" s="76"/>
      <c r="K19" s="264"/>
    </row>
    <row r="20" spans="1:16" ht="26.25" x14ac:dyDescent="0.2">
      <c r="A20" s="240" t="s">
        <v>45</v>
      </c>
      <c r="B20" s="252">
        <v>6135</v>
      </c>
      <c r="C20" s="244" t="s">
        <v>47</v>
      </c>
      <c r="D20" s="246" t="s">
        <v>78</v>
      </c>
      <c r="E20" s="248" t="s">
        <v>79</v>
      </c>
      <c r="F20" s="259"/>
      <c r="G20" s="7"/>
      <c r="H20" s="8"/>
      <c r="I20" s="9"/>
      <c r="J20" s="22"/>
      <c r="K20" s="263"/>
    </row>
    <row r="21" spans="1:16" ht="27" thickBot="1" x14ac:dyDescent="0.25">
      <c r="A21" s="241"/>
      <c r="B21" s="253"/>
      <c r="C21" s="245"/>
      <c r="D21" s="247"/>
      <c r="E21" s="249"/>
      <c r="F21" s="260"/>
      <c r="G21" s="4"/>
      <c r="H21" s="5"/>
      <c r="I21" s="6"/>
      <c r="J21" s="76"/>
      <c r="K21" s="264"/>
    </row>
    <row r="22" spans="1:16" ht="26.25" x14ac:dyDescent="0.2">
      <c r="A22" s="240" t="s">
        <v>14</v>
      </c>
      <c r="B22" s="252">
        <v>2526</v>
      </c>
      <c r="C22" s="244" t="s">
        <v>21</v>
      </c>
      <c r="D22" s="246" t="s">
        <v>81</v>
      </c>
      <c r="E22" s="248" t="s">
        <v>79</v>
      </c>
      <c r="F22" s="259"/>
      <c r="G22" s="7"/>
      <c r="H22" s="8"/>
      <c r="I22" s="9"/>
      <c r="J22" s="10"/>
      <c r="K22" s="254"/>
    </row>
    <row r="23" spans="1:16" ht="27" thickBot="1" x14ac:dyDescent="0.25">
      <c r="A23" s="241"/>
      <c r="B23" s="253"/>
      <c r="C23" s="245"/>
      <c r="D23" s="247"/>
      <c r="E23" s="249"/>
      <c r="F23" s="260"/>
      <c r="G23" s="4"/>
      <c r="H23" s="5"/>
      <c r="I23" s="6"/>
      <c r="J23" s="11"/>
      <c r="K23" s="255"/>
    </row>
    <row r="24" spans="1:16" ht="26.25" x14ac:dyDescent="0.2">
      <c r="A24" s="240" t="s">
        <v>50</v>
      </c>
      <c r="B24" s="252">
        <v>2527</v>
      </c>
      <c r="C24" s="244" t="s">
        <v>22</v>
      </c>
      <c r="D24" s="246" t="s">
        <v>78</v>
      </c>
      <c r="E24" s="248" t="s">
        <v>79</v>
      </c>
      <c r="F24" s="259"/>
      <c r="G24" s="7"/>
      <c r="H24" s="8"/>
      <c r="I24" s="9" t="e">
        <f>IF(#REF!=0," ",#REF!)</f>
        <v>#REF!</v>
      </c>
      <c r="J24" s="10" t="e">
        <f>IF(#REF!=0," ",#REF!)</f>
        <v>#REF!</v>
      </c>
      <c r="K24" s="261"/>
    </row>
    <row r="25" spans="1:16" ht="27" thickBot="1" x14ac:dyDescent="0.25">
      <c r="A25" s="241"/>
      <c r="B25" s="253"/>
      <c r="C25" s="245"/>
      <c r="D25" s="247"/>
      <c r="E25" s="249"/>
      <c r="F25" s="260"/>
      <c r="G25" s="4"/>
      <c r="H25" s="5"/>
      <c r="I25" s="6" t="e">
        <f>IF(#REF!=0," ",#REF!)</f>
        <v>#REF!</v>
      </c>
      <c r="J25" s="11" t="e">
        <f>IF(#REF!=0," ",#REF!)</f>
        <v>#REF!</v>
      </c>
      <c r="K25" s="262"/>
    </row>
    <row r="26" spans="1:16" ht="26.25" x14ac:dyDescent="0.2">
      <c r="A26" s="240" t="s">
        <v>12</v>
      </c>
      <c r="B26" s="252">
        <v>3800</v>
      </c>
      <c r="C26" s="244" t="s">
        <v>39</v>
      </c>
      <c r="D26" s="246" t="s">
        <v>81</v>
      </c>
      <c r="E26" s="248" t="s">
        <v>82</v>
      </c>
      <c r="F26" s="259"/>
      <c r="G26" s="7"/>
      <c r="H26" s="8"/>
      <c r="I26" s="7"/>
      <c r="J26" s="10"/>
      <c r="K26" s="254"/>
    </row>
    <row r="27" spans="1:16" ht="27" thickBot="1" x14ac:dyDescent="0.25">
      <c r="A27" s="241"/>
      <c r="B27" s="253"/>
      <c r="C27" s="245"/>
      <c r="D27" s="247"/>
      <c r="E27" s="249"/>
      <c r="F27" s="260"/>
      <c r="G27" s="4"/>
      <c r="H27" s="5"/>
      <c r="I27" s="6"/>
      <c r="J27" s="11"/>
      <c r="K27" s="255"/>
    </row>
    <row r="28" spans="1:16" ht="26.25" x14ac:dyDescent="0.2">
      <c r="A28" s="240" t="s">
        <v>13</v>
      </c>
      <c r="B28" s="252">
        <v>3801</v>
      </c>
      <c r="C28" s="244" t="s">
        <v>23</v>
      </c>
      <c r="D28" s="246" t="s">
        <v>81</v>
      </c>
      <c r="E28" s="248" t="s">
        <v>82</v>
      </c>
      <c r="F28" s="259"/>
      <c r="G28" s="7"/>
      <c r="H28" s="8"/>
      <c r="I28" s="9"/>
      <c r="J28" s="10"/>
      <c r="K28" s="254"/>
    </row>
    <row r="29" spans="1:16" ht="27" thickBot="1" x14ac:dyDescent="0.25">
      <c r="A29" s="241"/>
      <c r="B29" s="253"/>
      <c r="C29" s="245"/>
      <c r="D29" s="247"/>
      <c r="E29" s="249"/>
      <c r="F29" s="260"/>
      <c r="G29" s="4"/>
      <c r="H29" s="5"/>
      <c r="I29" s="6"/>
      <c r="J29" s="11"/>
      <c r="K29" s="255"/>
    </row>
    <row r="30" spans="1:16" ht="26.25" customHeight="1" x14ac:dyDescent="0.2">
      <c r="A30" s="240" t="s">
        <v>15</v>
      </c>
      <c r="B30" s="252">
        <v>3802</v>
      </c>
      <c r="C30" s="244" t="s">
        <v>41</v>
      </c>
      <c r="D30" s="246" t="s">
        <v>81</v>
      </c>
      <c r="E30" s="248" t="s">
        <v>83</v>
      </c>
      <c r="F30" s="259"/>
      <c r="G30" s="7"/>
      <c r="H30" s="8"/>
      <c r="I30" s="9"/>
      <c r="J30" s="10"/>
      <c r="K30" s="254"/>
    </row>
    <row r="31" spans="1:16" ht="27" thickBot="1" x14ac:dyDescent="0.25">
      <c r="A31" s="241"/>
      <c r="B31" s="253"/>
      <c r="C31" s="245"/>
      <c r="D31" s="247"/>
      <c r="E31" s="249"/>
      <c r="F31" s="260"/>
      <c r="G31" s="4"/>
      <c r="H31" s="5"/>
      <c r="I31" s="6"/>
      <c r="J31" s="11"/>
      <c r="K31" s="255"/>
    </row>
    <row r="32" spans="1:16" ht="26.25" x14ac:dyDescent="0.2">
      <c r="A32" s="240" t="s">
        <v>16</v>
      </c>
      <c r="B32" s="252">
        <v>3805</v>
      </c>
      <c r="C32" s="244" t="s">
        <v>24</v>
      </c>
      <c r="D32" s="246" t="s">
        <v>81</v>
      </c>
      <c r="E32" s="248" t="s">
        <v>79</v>
      </c>
      <c r="F32" s="259"/>
      <c r="G32" s="7"/>
      <c r="H32" s="8"/>
      <c r="I32" s="9"/>
      <c r="J32" s="10"/>
      <c r="K32" s="254"/>
    </row>
    <row r="33" spans="1:11" ht="27" thickBot="1" x14ac:dyDescent="0.25">
      <c r="A33" s="241"/>
      <c r="B33" s="253"/>
      <c r="C33" s="245"/>
      <c r="D33" s="247"/>
      <c r="E33" s="249"/>
      <c r="F33" s="260"/>
      <c r="G33" s="4"/>
      <c r="H33" s="5"/>
      <c r="I33" s="6"/>
      <c r="J33" s="11"/>
      <c r="K33" s="255"/>
    </row>
    <row r="34" spans="1:11" ht="26.25" x14ac:dyDescent="0.2">
      <c r="A34" s="240" t="s">
        <v>95</v>
      </c>
      <c r="B34" s="252">
        <v>3808</v>
      </c>
      <c r="C34" s="244" t="s">
        <v>25</v>
      </c>
      <c r="D34" s="246" t="s">
        <v>78</v>
      </c>
      <c r="E34" s="248" t="s">
        <v>79</v>
      </c>
      <c r="F34" s="259"/>
      <c r="G34" s="7"/>
      <c r="H34" s="8"/>
      <c r="I34" s="9"/>
      <c r="J34" s="10"/>
      <c r="K34" s="254"/>
    </row>
    <row r="35" spans="1:11" ht="27" thickBot="1" x14ac:dyDescent="0.25">
      <c r="A35" s="241"/>
      <c r="B35" s="253"/>
      <c r="C35" s="245"/>
      <c r="D35" s="247"/>
      <c r="E35" s="249"/>
      <c r="F35" s="260"/>
      <c r="G35" s="4"/>
      <c r="H35" s="5"/>
      <c r="I35" s="6"/>
      <c r="J35" s="11"/>
      <c r="K35" s="255"/>
    </row>
    <row r="36" spans="1:11" ht="26.25" x14ac:dyDescent="0.2">
      <c r="A36" s="240" t="s">
        <v>19</v>
      </c>
      <c r="B36" s="252">
        <v>3810</v>
      </c>
      <c r="C36" s="244" t="s">
        <v>42</v>
      </c>
      <c r="D36" s="246" t="s">
        <v>81</v>
      </c>
      <c r="E36" s="248" t="s">
        <v>79</v>
      </c>
      <c r="F36" s="259"/>
      <c r="G36" s="7"/>
      <c r="H36" s="8"/>
      <c r="I36" s="9"/>
      <c r="J36" s="10"/>
      <c r="K36" s="235"/>
    </row>
    <row r="37" spans="1:11" ht="27" thickBot="1" x14ac:dyDescent="0.25">
      <c r="A37" s="241"/>
      <c r="B37" s="253"/>
      <c r="C37" s="245"/>
      <c r="D37" s="247"/>
      <c r="E37" s="249"/>
      <c r="F37" s="260"/>
      <c r="G37" s="4"/>
      <c r="H37" s="5"/>
      <c r="I37" s="6"/>
      <c r="J37" s="11"/>
      <c r="K37" s="236"/>
    </row>
    <row r="38" spans="1:11" ht="26.25" x14ac:dyDescent="0.2">
      <c r="A38" s="240" t="s">
        <v>51</v>
      </c>
      <c r="B38" s="252">
        <v>6056</v>
      </c>
      <c r="C38" s="244" t="s">
        <v>29</v>
      </c>
      <c r="D38" s="246" t="s">
        <v>78</v>
      </c>
      <c r="E38" s="248" t="s">
        <v>82</v>
      </c>
      <c r="F38" s="259"/>
      <c r="G38" s="14"/>
      <c r="H38" s="8"/>
      <c r="I38" s="9"/>
      <c r="J38" s="10"/>
      <c r="K38" s="235"/>
    </row>
    <row r="39" spans="1:11" ht="27" thickBot="1" x14ac:dyDescent="0.25">
      <c r="A39" s="241"/>
      <c r="B39" s="253"/>
      <c r="C39" s="245"/>
      <c r="D39" s="247"/>
      <c r="E39" s="249"/>
      <c r="F39" s="260"/>
      <c r="G39" s="15"/>
      <c r="H39" s="5"/>
      <c r="I39" s="6"/>
      <c r="J39" s="11"/>
      <c r="K39" s="236"/>
    </row>
    <row r="40" spans="1:11" ht="26.25" x14ac:dyDescent="0.2">
      <c r="A40" s="240" t="s">
        <v>17</v>
      </c>
      <c r="B40" s="252">
        <v>3820</v>
      </c>
      <c r="C40" s="244" t="s">
        <v>40</v>
      </c>
      <c r="D40" s="246" t="s">
        <v>78</v>
      </c>
      <c r="E40" s="248" t="s">
        <v>82</v>
      </c>
      <c r="F40" s="259"/>
      <c r="G40" s="7"/>
      <c r="H40" s="8"/>
      <c r="I40" s="9"/>
      <c r="J40" s="10"/>
      <c r="K40" s="235"/>
    </row>
    <row r="41" spans="1:11" ht="27" thickBot="1" x14ac:dyDescent="0.25">
      <c r="A41" s="256"/>
      <c r="B41" s="257"/>
      <c r="C41" s="258"/>
      <c r="D41" s="247"/>
      <c r="E41" s="249"/>
      <c r="F41" s="260"/>
      <c r="G41" s="4"/>
      <c r="H41" s="5"/>
      <c r="I41" s="6"/>
      <c r="J41" s="11"/>
      <c r="K41" s="236"/>
    </row>
    <row r="42" spans="1:11" ht="26.25" customHeight="1" x14ac:dyDescent="0.2">
      <c r="A42" s="240" t="s">
        <v>18</v>
      </c>
      <c r="B42" s="252">
        <v>3821</v>
      </c>
      <c r="C42" s="244" t="s">
        <v>26</v>
      </c>
      <c r="D42" s="246" t="s">
        <v>81</v>
      </c>
      <c r="E42" s="248" t="s">
        <v>82</v>
      </c>
      <c r="F42" s="250"/>
      <c r="G42" s="7"/>
      <c r="H42" s="8"/>
      <c r="I42" s="9" t="e">
        <f>IF(#REF!=0," ",#REF!)</f>
        <v>#REF!</v>
      </c>
      <c r="J42" s="10" t="e">
        <f>IF(#REF!=0," ",#REF!)</f>
        <v>#REF!</v>
      </c>
      <c r="K42" s="235"/>
    </row>
    <row r="43" spans="1:11" ht="27" thickBot="1" x14ac:dyDescent="0.25">
      <c r="A43" s="241"/>
      <c r="B43" s="253"/>
      <c r="C43" s="245"/>
      <c r="D43" s="247"/>
      <c r="E43" s="249"/>
      <c r="F43" s="251"/>
      <c r="G43" s="4"/>
      <c r="H43" s="5"/>
      <c r="I43" s="6" t="e">
        <f>IF(#REF!=0," ",#REF!)</f>
        <v>#REF!</v>
      </c>
      <c r="J43" s="11" t="e">
        <f>IF(#REF!=0," ",#REF!)</f>
        <v>#REF!</v>
      </c>
      <c r="K43" s="236"/>
    </row>
    <row r="44" spans="1:11" ht="26.25" x14ac:dyDescent="0.2">
      <c r="A44" s="240" t="s">
        <v>48</v>
      </c>
      <c r="B44" s="252">
        <v>3822</v>
      </c>
      <c r="C44" s="244" t="s">
        <v>35</v>
      </c>
      <c r="D44" s="246" t="s">
        <v>81</v>
      </c>
      <c r="E44" s="248" t="s">
        <v>79</v>
      </c>
      <c r="F44" s="250"/>
      <c r="G44" s="7"/>
      <c r="H44" s="8"/>
      <c r="I44" s="9" t="e">
        <f>IF(#REF!=0," ",#REF!)</f>
        <v>#REF!</v>
      </c>
      <c r="J44" s="10" t="e">
        <f>IF(#REF!=0," ",#REF!)</f>
        <v>#REF!</v>
      </c>
      <c r="K44" s="254"/>
    </row>
    <row r="45" spans="1:11" ht="27" thickBot="1" x14ac:dyDescent="0.25">
      <c r="A45" s="241"/>
      <c r="B45" s="253"/>
      <c r="C45" s="245"/>
      <c r="D45" s="247"/>
      <c r="E45" s="249"/>
      <c r="F45" s="251"/>
      <c r="G45" s="4"/>
      <c r="H45" s="5"/>
      <c r="I45" s="6" t="e">
        <f>IF(#REF!=0," ",#REF!)</f>
        <v>#REF!</v>
      </c>
      <c r="J45" s="11" t="e">
        <f>IF(#REF!=0," ",#REF!)</f>
        <v>#REF!</v>
      </c>
      <c r="K45" s="255"/>
    </row>
    <row r="46" spans="1:11" ht="26.25" customHeight="1" x14ac:dyDescent="0.2">
      <c r="A46" s="240" t="s">
        <v>30</v>
      </c>
      <c r="B46" s="252">
        <v>3832</v>
      </c>
      <c r="C46" s="244" t="s">
        <v>34</v>
      </c>
      <c r="D46" s="246" t="s">
        <v>78</v>
      </c>
      <c r="E46" s="248" t="s">
        <v>79</v>
      </c>
      <c r="F46" s="250"/>
      <c r="G46" s="8"/>
      <c r="H46" s="8"/>
      <c r="I46" s="9" t="e">
        <f>IF(#REF!=0," ",#REF!)</f>
        <v>#REF!</v>
      </c>
      <c r="J46" s="10" t="e">
        <f>IF(#REF!=0," ",#REF!)</f>
        <v>#REF!</v>
      </c>
      <c r="K46" s="235"/>
    </row>
    <row r="47" spans="1:11" ht="27" thickBot="1" x14ac:dyDescent="0.25">
      <c r="A47" s="241"/>
      <c r="B47" s="253"/>
      <c r="C47" s="245"/>
      <c r="D47" s="247"/>
      <c r="E47" s="249"/>
      <c r="F47" s="251"/>
      <c r="G47" s="5"/>
      <c r="H47" s="5"/>
      <c r="I47" s="6" t="e">
        <f>IF(#REF!=0," ",#REF!)</f>
        <v>#REF!</v>
      </c>
      <c r="J47" s="11" t="e">
        <f>IF(#REF!=0," ",#REF!)</f>
        <v>#REF!</v>
      </c>
      <c r="K47" s="236"/>
    </row>
    <row r="48" spans="1:11" ht="26.25" x14ac:dyDescent="0.2">
      <c r="A48" s="240" t="s">
        <v>49</v>
      </c>
      <c r="B48" s="252">
        <v>4173</v>
      </c>
      <c r="C48" s="244" t="s">
        <v>10</v>
      </c>
      <c r="D48" s="246" t="s">
        <v>78</v>
      </c>
      <c r="E48" s="248" t="s">
        <v>79</v>
      </c>
      <c r="F48" s="250"/>
      <c r="G48" s="8"/>
      <c r="H48" s="8"/>
      <c r="I48" s="9" t="e">
        <f>IF(#REF!=0," ",#REF!)</f>
        <v>#REF!</v>
      </c>
      <c r="J48" s="10" t="e">
        <f>IF(#REF!=0," ",#REF!)</f>
        <v>#REF!</v>
      </c>
      <c r="K48" s="254"/>
    </row>
    <row r="49" spans="1:13" ht="27" thickBot="1" x14ac:dyDescent="0.25">
      <c r="A49" s="241"/>
      <c r="B49" s="253"/>
      <c r="C49" s="245"/>
      <c r="D49" s="247"/>
      <c r="E49" s="249"/>
      <c r="F49" s="251"/>
      <c r="G49" s="5"/>
      <c r="H49" s="5"/>
      <c r="I49" s="6" t="e">
        <f>IF(#REF!=0," ",#REF!)</f>
        <v>#REF!</v>
      </c>
      <c r="J49" s="11" t="e">
        <f>IF(#REF!=0," ",#REF!)</f>
        <v>#REF!</v>
      </c>
      <c r="K49" s="255"/>
    </row>
    <row r="50" spans="1:13" ht="26.25" x14ac:dyDescent="0.2">
      <c r="A50" s="240" t="s">
        <v>20</v>
      </c>
      <c r="B50" s="242">
        <v>2</v>
      </c>
      <c r="C50" s="244" t="s">
        <v>28</v>
      </c>
      <c r="D50" s="246" t="s">
        <v>78</v>
      </c>
      <c r="E50" s="248" t="s">
        <v>84</v>
      </c>
      <c r="F50" s="250"/>
      <c r="G50" s="8"/>
      <c r="H50" s="8"/>
      <c r="I50" s="12" t="e">
        <f>IF(#REF!=0," ",#REF!)</f>
        <v>#REF!</v>
      </c>
      <c r="J50" s="10" t="e">
        <f>IF(#REF!=0," ",#REF!)</f>
        <v>#REF!</v>
      </c>
      <c r="K50" s="235"/>
    </row>
    <row r="51" spans="1:13" ht="27" thickBot="1" x14ac:dyDescent="0.25">
      <c r="A51" s="241"/>
      <c r="B51" s="243"/>
      <c r="C51" s="245"/>
      <c r="D51" s="247"/>
      <c r="E51" s="249"/>
      <c r="F51" s="251"/>
      <c r="G51" s="5"/>
      <c r="H51" s="5"/>
      <c r="I51" s="13" t="e">
        <f>IF(#REF!=0," ",#REF!)</f>
        <v>#REF!</v>
      </c>
      <c r="J51" s="11" t="e">
        <f>IF(#REF!=0," ",#REF!)</f>
        <v>#REF!</v>
      </c>
      <c r="K51" s="236"/>
    </row>
    <row r="52" spans="1:13" s="38" customFormat="1" ht="25.5" customHeight="1" x14ac:dyDescent="0.2">
      <c r="A52" s="36"/>
      <c r="B52" s="237" t="s">
        <v>68</v>
      </c>
      <c r="C52" s="237"/>
      <c r="D52" s="237"/>
      <c r="E52" s="237"/>
      <c r="F52" s="237"/>
      <c r="G52" s="237"/>
      <c r="H52" s="237"/>
      <c r="I52" s="237"/>
      <c r="J52" s="237"/>
      <c r="K52" s="37"/>
    </row>
    <row r="53" spans="1:13" s="34" customFormat="1" ht="25.5" customHeight="1" x14ac:dyDescent="0.2">
      <c r="A53" s="39"/>
      <c r="B53" s="40"/>
      <c r="C53" s="41"/>
      <c r="D53" s="42"/>
      <c r="E53" s="42"/>
      <c r="F53" s="42"/>
      <c r="G53" s="43"/>
      <c r="H53" s="43"/>
      <c r="I53" s="44"/>
      <c r="J53" s="45"/>
      <c r="K53" s="46"/>
    </row>
    <row r="54" spans="1:13" s="34" customFormat="1" ht="25.5" customHeight="1" thickBot="1" x14ac:dyDescent="0.25">
      <c r="A54" s="39"/>
      <c r="C54" s="73" t="s">
        <v>69</v>
      </c>
      <c r="D54" s="47"/>
      <c r="E54" s="44"/>
      <c r="F54" s="42"/>
      <c r="G54" s="238" t="s">
        <v>70</v>
      </c>
      <c r="H54" s="238"/>
      <c r="I54" s="48"/>
      <c r="J54" s="45"/>
      <c r="K54" s="46"/>
    </row>
    <row r="55" spans="1:13" s="34" customFormat="1" ht="25.5" customHeight="1" x14ac:dyDescent="0.2">
      <c r="A55" s="39"/>
      <c r="B55" s="40"/>
      <c r="C55" s="41"/>
      <c r="D55" s="42"/>
      <c r="E55" s="42"/>
      <c r="F55" s="42"/>
      <c r="G55" s="43"/>
      <c r="H55" s="43"/>
      <c r="I55" s="44"/>
      <c r="J55" s="45"/>
      <c r="K55" s="46"/>
    </row>
    <row r="56" spans="1:13" s="34" customFormat="1" ht="30" customHeight="1" x14ac:dyDescent="0.2">
      <c r="A56" s="239" t="s">
        <v>11</v>
      </c>
      <c r="B56" s="239"/>
      <c r="C56" s="239"/>
      <c r="D56" s="239"/>
      <c r="E56" s="239"/>
      <c r="F56" s="239"/>
      <c r="G56" s="239"/>
      <c r="H56" s="239"/>
      <c r="I56" s="239"/>
      <c r="J56" s="239"/>
      <c r="K56" s="239"/>
      <c r="M56" s="34" t="s">
        <v>0</v>
      </c>
    </row>
    <row r="57" spans="1:13" s="34" customFormat="1" ht="30" customHeight="1" x14ac:dyDescent="0.2">
      <c r="A57" s="49"/>
      <c r="B57" s="231"/>
      <c r="C57" s="231"/>
      <c r="D57" s="231"/>
      <c r="E57" s="231"/>
      <c r="F57" s="231"/>
      <c r="G57" s="231"/>
      <c r="H57" s="231"/>
      <c r="I57" s="231"/>
      <c r="J57" s="231"/>
      <c r="K57" s="50"/>
    </row>
    <row r="58" spans="1:13" s="34" customFormat="1" ht="30" customHeight="1" x14ac:dyDescent="0.2">
      <c r="A58" s="49"/>
      <c r="B58" s="231"/>
      <c r="C58" s="231"/>
      <c r="D58" s="231"/>
      <c r="E58" s="231"/>
      <c r="F58" s="231"/>
      <c r="G58" s="231"/>
      <c r="H58" s="231"/>
      <c r="I58" s="231"/>
      <c r="J58" s="231"/>
      <c r="K58" s="49"/>
      <c r="L58" s="49"/>
    </row>
    <row r="59" spans="1:13" s="34" customFormat="1" ht="30" customHeight="1" x14ac:dyDescent="0.2">
      <c r="A59" s="49"/>
      <c r="B59" s="231"/>
      <c r="C59" s="231"/>
      <c r="D59" s="231"/>
      <c r="E59" s="231"/>
      <c r="F59" s="231"/>
      <c r="G59" s="231"/>
      <c r="H59" s="231"/>
      <c r="I59" s="231"/>
      <c r="J59" s="231"/>
      <c r="K59" s="49"/>
      <c r="L59" s="41"/>
    </row>
    <row r="60" spans="1:13" s="34" customFormat="1" ht="30" customHeight="1" x14ac:dyDescent="0.2">
      <c r="A60" s="51"/>
      <c r="B60" s="52"/>
      <c r="C60" s="53"/>
      <c r="D60" s="53"/>
      <c r="E60" s="53"/>
      <c r="F60" s="52"/>
      <c r="G60" s="52"/>
      <c r="H60" s="52"/>
      <c r="I60" s="53"/>
      <c r="J60" s="53"/>
      <c r="K60" s="53"/>
    </row>
    <row r="61" spans="1:13" s="34" customFormat="1" ht="30" customHeight="1" x14ac:dyDescent="0.2">
      <c r="A61" s="51"/>
      <c r="B61" s="52"/>
      <c r="C61" s="53"/>
      <c r="D61" s="53"/>
      <c r="E61" s="53"/>
      <c r="F61" s="52"/>
      <c r="H61" s="52"/>
      <c r="I61" s="52"/>
    </row>
    <row r="62" spans="1:13" s="34" customFormat="1" ht="30" customHeight="1" x14ac:dyDescent="0.2">
      <c r="A62" s="54"/>
      <c r="B62" s="70"/>
      <c r="C62" s="55"/>
      <c r="D62" s="55"/>
      <c r="E62" s="55"/>
      <c r="F62" s="70"/>
      <c r="G62" s="16"/>
      <c r="H62" s="70"/>
      <c r="I62" s="70"/>
      <c r="J62" s="16"/>
      <c r="K62" s="16"/>
    </row>
    <row r="63" spans="1:13" s="33" customFormat="1" ht="20.100000000000001" customHeight="1" x14ac:dyDescent="0.2">
      <c r="A63" s="228" t="s">
        <v>71</v>
      </c>
      <c r="B63" s="228"/>
      <c r="C63" s="228"/>
      <c r="D63" s="65"/>
      <c r="E63" s="65"/>
      <c r="F63" s="72"/>
      <c r="G63" s="66"/>
      <c r="H63" s="232" t="s">
        <v>58</v>
      </c>
      <c r="I63" s="232"/>
      <c r="J63" s="232"/>
      <c r="K63" s="232"/>
      <c r="L63" s="56"/>
    </row>
    <row r="64" spans="1:13" s="33" customFormat="1" ht="20.100000000000001" customHeight="1" x14ac:dyDescent="0.2">
      <c r="A64" s="233" t="s">
        <v>72</v>
      </c>
      <c r="B64" s="233"/>
      <c r="C64" s="233"/>
      <c r="D64" s="72"/>
      <c r="E64" s="72"/>
      <c r="F64" s="72"/>
      <c r="G64" s="66"/>
      <c r="H64" s="233" t="s">
        <v>38</v>
      </c>
      <c r="I64" s="233"/>
      <c r="J64" s="233"/>
      <c r="K64" s="233"/>
    </row>
    <row r="65" spans="1:12" s="33" customFormat="1" ht="30" customHeight="1" x14ac:dyDescent="0.2">
      <c r="A65" s="72"/>
      <c r="B65" s="72"/>
      <c r="C65" s="72"/>
      <c r="D65" s="72"/>
      <c r="E65" s="72"/>
      <c r="F65" s="72"/>
      <c r="G65" s="66"/>
      <c r="H65" s="72"/>
      <c r="I65" s="72"/>
      <c r="J65" s="72"/>
      <c r="K65" s="72"/>
    </row>
    <row r="66" spans="1:12" s="33" customFormat="1" ht="30" customHeight="1" x14ac:dyDescent="0.2">
      <c r="A66" s="72"/>
      <c r="B66" s="72"/>
      <c r="C66" s="72"/>
      <c r="D66" s="72"/>
      <c r="E66" s="72"/>
      <c r="F66" s="72"/>
      <c r="G66" s="66"/>
      <c r="H66" s="72"/>
      <c r="I66" s="72"/>
      <c r="J66" s="72"/>
      <c r="K66" s="72"/>
    </row>
    <row r="67" spans="1:12" s="33" customFormat="1" ht="30" customHeight="1" x14ac:dyDescent="0.2">
      <c r="A67" s="72"/>
      <c r="B67" s="72"/>
      <c r="C67" s="72"/>
      <c r="D67" s="72"/>
      <c r="E67" s="72"/>
      <c r="F67" s="72"/>
      <c r="G67" s="66"/>
      <c r="H67" s="72"/>
      <c r="I67" s="72"/>
      <c r="J67" s="72"/>
      <c r="K67" s="72"/>
    </row>
    <row r="68" spans="1:12" s="33" customFormat="1" ht="30" customHeight="1" x14ac:dyDescent="0.2">
      <c r="A68" s="72"/>
      <c r="B68" s="72"/>
      <c r="C68" s="66"/>
      <c r="D68" s="66"/>
      <c r="E68" s="66"/>
      <c r="F68" s="72"/>
      <c r="G68" s="66"/>
      <c r="H68" s="72"/>
      <c r="I68" s="72"/>
      <c r="J68" s="66"/>
      <c r="K68" s="66"/>
    </row>
    <row r="69" spans="1:12" s="34" customFormat="1" ht="30" customHeight="1" x14ac:dyDescent="0.2">
      <c r="A69" s="234" t="s">
        <v>86</v>
      </c>
      <c r="B69" s="234"/>
      <c r="C69" s="234"/>
      <c r="D69" s="67"/>
      <c r="E69" s="67"/>
      <c r="F69" s="68"/>
      <c r="G69" s="69"/>
      <c r="H69" s="234"/>
      <c r="I69" s="234"/>
      <c r="J69" s="234"/>
      <c r="K69" s="234"/>
      <c r="L69" s="57"/>
    </row>
    <row r="70" spans="1:12" s="34" customFormat="1" ht="30" customHeight="1" x14ac:dyDescent="0.2">
      <c r="A70" s="227" t="s">
        <v>73</v>
      </c>
      <c r="B70" s="227"/>
      <c r="C70" s="227"/>
      <c r="D70" s="72"/>
      <c r="E70" s="72"/>
      <c r="F70" s="65"/>
      <c r="G70" s="67"/>
      <c r="H70" s="228" t="s">
        <v>74</v>
      </c>
      <c r="I70" s="228"/>
      <c r="J70" s="228"/>
      <c r="K70" s="228"/>
      <c r="L70" s="57"/>
    </row>
    <row r="71" spans="1:12" s="26" customFormat="1" ht="30" customHeight="1" x14ac:dyDescent="0.2">
      <c r="A71" s="229"/>
      <c r="B71" s="229"/>
      <c r="C71" s="229"/>
      <c r="D71" s="70"/>
      <c r="E71" s="70"/>
      <c r="F71" s="58"/>
      <c r="G71" s="59"/>
      <c r="H71" s="59"/>
      <c r="I71" s="59"/>
      <c r="J71" s="59"/>
      <c r="K71" s="1"/>
      <c r="L71" s="60"/>
    </row>
    <row r="72" spans="1:12" s="26" customFormat="1" ht="30" customHeight="1" x14ac:dyDescent="0.2">
      <c r="B72" s="230"/>
      <c r="C72" s="230"/>
      <c r="D72" s="71"/>
      <c r="E72" s="71"/>
      <c r="G72" s="61"/>
      <c r="H72" s="61"/>
      <c r="I72" s="61"/>
      <c r="J72" s="61"/>
    </row>
    <row r="73" spans="1:12" s="26" customFormat="1" ht="30" customHeight="1" x14ac:dyDescent="0.2">
      <c r="G73" s="61"/>
      <c r="H73" s="61"/>
      <c r="I73" s="61"/>
      <c r="J73" s="61"/>
    </row>
    <row r="74" spans="1:12" s="26" customFormat="1" ht="30" customHeight="1" x14ac:dyDescent="0.2">
      <c r="G74" s="61"/>
      <c r="H74" s="61"/>
      <c r="I74" s="61"/>
      <c r="J74" s="61"/>
    </row>
    <row r="75" spans="1:12" s="26" customFormat="1" ht="30" customHeight="1" x14ac:dyDescent="0.2">
      <c r="G75" s="61"/>
      <c r="H75" s="61"/>
      <c r="I75" s="61"/>
      <c r="J75" s="61"/>
    </row>
    <row r="76" spans="1:12" s="26" customFormat="1" ht="30" customHeight="1" x14ac:dyDescent="0.2">
      <c r="G76" s="61"/>
      <c r="H76" s="61"/>
      <c r="I76" s="61"/>
      <c r="J76" s="61"/>
    </row>
    <row r="77" spans="1:12" s="26" customFormat="1" ht="30" customHeight="1" x14ac:dyDescent="0.2">
      <c r="G77" s="61"/>
      <c r="H77" s="61"/>
      <c r="I77" s="61"/>
      <c r="J77" s="61"/>
    </row>
    <row r="78" spans="1:12" s="26" customFormat="1" ht="30" customHeight="1" x14ac:dyDescent="0.2">
      <c r="G78" s="61"/>
      <c r="H78" s="61"/>
      <c r="I78" s="61"/>
      <c r="J78" s="61"/>
    </row>
    <row r="79" spans="1:12" s="26" customFormat="1" ht="30" customHeight="1" x14ac:dyDescent="0.2">
      <c r="G79" s="61"/>
      <c r="H79" s="61"/>
      <c r="I79" s="61"/>
      <c r="J79" s="61"/>
    </row>
    <row r="80" spans="1:12" s="26" customFormat="1" ht="30" customHeight="1" x14ac:dyDescent="0.2">
      <c r="G80" s="61"/>
      <c r="H80" s="61"/>
      <c r="I80" s="61"/>
      <c r="J80" s="61"/>
    </row>
    <row r="81" spans="7:10" s="26" customFormat="1" ht="30" customHeight="1" x14ac:dyDescent="0.2">
      <c r="G81" s="61"/>
      <c r="H81" s="61"/>
      <c r="I81" s="61"/>
      <c r="J81" s="61"/>
    </row>
    <row r="82" spans="7:10" s="26" customFormat="1" ht="30" customHeight="1" x14ac:dyDescent="0.2">
      <c r="G82" s="61"/>
      <c r="H82" s="61"/>
      <c r="I82" s="61"/>
      <c r="J82" s="61"/>
    </row>
    <row r="83" spans="7:10" s="26" customFormat="1" ht="30" customHeight="1" x14ac:dyDescent="0.2">
      <c r="G83" s="61"/>
      <c r="H83" s="61"/>
      <c r="I83" s="61"/>
      <c r="J83" s="61"/>
    </row>
    <row r="84" spans="7:10" s="26" customFormat="1" ht="30" customHeight="1" x14ac:dyDescent="0.2">
      <c r="H84" s="62"/>
    </row>
  </sheetData>
  <mergeCells count="167"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50:K51"/>
    <mergeCell ref="B52:J52"/>
    <mergeCell ref="G54:H54"/>
    <mergeCell ref="A56:K56"/>
    <mergeCell ref="B57:J57"/>
    <mergeCell ref="B58:J58"/>
    <mergeCell ref="A50:A51"/>
    <mergeCell ref="B50:B51"/>
    <mergeCell ref="C50:C51"/>
    <mergeCell ref="D50:D51"/>
    <mergeCell ref="E50:E51"/>
    <mergeCell ref="F50:F51"/>
    <mergeCell ref="A70:C70"/>
    <mergeCell ref="H70:K70"/>
    <mergeCell ref="A71:C71"/>
    <mergeCell ref="B72:C72"/>
    <mergeCell ref="B59:J59"/>
    <mergeCell ref="A63:C63"/>
    <mergeCell ref="H63:K63"/>
    <mergeCell ref="A64:C64"/>
    <mergeCell ref="H64:K64"/>
    <mergeCell ref="A69:C69"/>
    <mergeCell ref="H69:K6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7" orientation="portrait" r:id="rId1"/>
  <colBreaks count="1" manualBreakCount="1">
    <brk id="11" max="8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ECB8-89A3-4236-9076-2588A8C831BA}">
  <dimension ref="A1:P87"/>
  <sheetViews>
    <sheetView view="pageBreakPreview" zoomScale="55" zoomScaleNormal="50" zoomScaleSheetLayoutView="55" workbookViewId="0">
      <selection activeCell="K36" sqref="K36:K37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0" t="s">
        <v>43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78"/>
    </row>
    <row r="2" spans="1:16" s="79" customFormat="1" ht="30" x14ac:dyDescent="0.2">
      <c r="A2" s="210" t="s">
        <v>44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80"/>
    </row>
    <row r="3" spans="1:16" s="79" customFormat="1" ht="30" customHeight="1" x14ac:dyDescent="0.2">
      <c r="A3" s="210" t="s">
        <v>60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0" t="s">
        <v>61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62</v>
      </c>
      <c r="B7" s="211" t="s">
        <v>85</v>
      </c>
      <c r="C7" s="211"/>
      <c r="D7" s="211"/>
      <c r="E7" s="84"/>
      <c r="F7" s="85"/>
      <c r="G7" s="83" t="s">
        <v>1</v>
      </c>
      <c r="H7" s="211" t="s">
        <v>63</v>
      </c>
      <c r="I7" s="211"/>
      <c r="J7" s="211"/>
      <c r="K7" s="86"/>
    </row>
    <row r="8" spans="1:16" s="87" customFormat="1" ht="39.950000000000003" customHeight="1" x14ac:dyDescent="0.35">
      <c r="A8" s="83" t="s">
        <v>64</v>
      </c>
      <c r="B8" s="223" t="s">
        <v>65</v>
      </c>
      <c r="C8" s="223"/>
      <c r="D8" s="223"/>
      <c r="E8" s="88"/>
      <c r="F8" s="85"/>
      <c r="G8" s="83" t="s">
        <v>66</v>
      </c>
      <c r="H8" s="224">
        <v>46272</v>
      </c>
      <c r="I8" s="224"/>
      <c r="J8" s="224"/>
      <c r="K8" s="86"/>
    </row>
    <row r="9" spans="1:16" s="87" customFormat="1" ht="39.950000000000003" customHeight="1" x14ac:dyDescent="0.35">
      <c r="A9" s="83" t="s">
        <v>67</v>
      </c>
      <c r="B9" s="211" t="s">
        <v>91</v>
      </c>
      <c r="C9" s="211"/>
      <c r="D9" s="211"/>
      <c r="E9" s="84"/>
      <c r="F9" s="85"/>
      <c r="G9" s="83" t="s">
        <v>36</v>
      </c>
      <c r="H9" s="225"/>
      <c r="I9" s="225"/>
      <c r="J9" s="225"/>
      <c r="K9" s="86"/>
    </row>
    <row r="10" spans="1:16" s="87" customFormat="1" ht="39.75" customHeight="1" x14ac:dyDescent="0.35">
      <c r="A10" s="83" t="s">
        <v>64</v>
      </c>
      <c r="B10" s="226" t="s">
        <v>93</v>
      </c>
      <c r="C10" s="226"/>
      <c r="D10" s="226"/>
      <c r="E10" s="88"/>
      <c r="F10" s="85"/>
      <c r="G10" s="83" t="s">
        <v>33</v>
      </c>
      <c r="H10" s="211" t="s">
        <v>100</v>
      </c>
      <c r="I10" s="211"/>
      <c r="J10" s="211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2" t="s">
        <v>2</v>
      </c>
      <c r="B12" s="214" t="s">
        <v>37</v>
      </c>
      <c r="C12" s="214" t="s">
        <v>3</v>
      </c>
      <c r="D12" s="216" t="s">
        <v>75</v>
      </c>
      <c r="E12" s="91" t="s">
        <v>76</v>
      </c>
      <c r="F12" s="218" t="s">
        <v>4</v>
      </c>
      <c r="G12" s="219"/>
      <c r="H12" s="219"/>
      <c r="I12" s="219"/>
      <c r="J12" s="220"/>
      <c r="K12" s="221" t="s">
        <v>32</v>
      </c>
    </row>
    <row r="13" spans="1:16" s="92" customFormat="1" ht="21" thickBot="1" x14ac:dyDescent="0.35">
      <c r="A13" s="213"/>
      <c r="B13" s="215"/>
      <c r="C13" s="215"/>
      <c r="D13" s="217"/>
      <c r="E13" s="94" t="s">
        <v>77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2"/>
    </row>
    <row r="14" spans="1:16" ht="26.25" customHeight="1" x14ac:dyDescent="0.2">
      <c r="A14" s="206" t="s">
        <v>90</v>
      </c>
      <c r="B14" s="207">
        <v>146</v>
      </c>
      <c r="C14" s="208" t="s">
        <v>27</v>
      </c>
      <c r="D14" s="176" t="s">
        <v>78</v>
      </c>
      <c r="E14" s="178" t="s">
        <v>79</v>
      </c>
      <c r="F14" s="191"/>
      <c r="G14" s="96"/>
      <c r="H14" s="97"/>
      <c r="I14" s="98"/>
      <c r="J14" s="99"/>
      <c r="K14" s="197"/>
      <c r="M14" s="100">
        <f>SUM(F14+(F44*10)+(F32*10)+F22+F34+(F36*10)+F48)</f>
        <v>20</v>
      </c>
      <c r="N14" s="101" t="s">
        <v>52</v>
      </c>
      <c r="O14" s="101">
        <v>2715</v>
      </c>
      <c r="P14" s="101" t="s">
        <v>53</v>
      </c>
    </row>
    <row r="15" spans="1:16" ht="26.25" thickBot="1" x14ac:dyDescent="0.25">
      <c r="A15" s="200"/>
      <c r="B15" s="202"/>
      <c r="C15" s="209"/>
      <c r="D15" s="177"/>
      <c r="E15" s="179"/>
      <c r="F15" s="192"/>
      <c r="G15" s="102"/>
      <c r="H15" s="103"/>
      <c r="I15" s="104"/>
      <c r="J15" s="105"/>
      <c r="K15" s="198"/>
      <c r="M15" s="100">
        <f>SUM((F44/3)*20+F20)</f>
        <v>0</v>
      </c>
      <c r="N15" s="101" t="s">
        <v>52</v>
      </c>
      <c r="O15" s="101">
        <v>2707</v>
      </c>
      <c r="P15" s="101" t="s">
        <v>54</v>
      </c>
    </row>
    <row r="16" spans="1:16" ht="25.5" x14ac:dyDescent="0.2">
      <c r="A16" s="199" t="s">
        <v>46</v>
      </c>
      <c r="B16" s="201">
        <v>148</v>
      </c>
      <c r="C16" s="203" t="s">
        <v>9</v>
      </c>
      <c r="D16" s="176" t="s">
        <v>78</v>
      </c>
      <c r="E16" s="178" t="s">
        <v>80</v>
      </c>
      <c r="F16" s="191">
        <v>5</v>
      </c>
      <c r="G16" s="106">
        <v>5</v>
      </c>
      <c r="H16" s="107">
        <v>5</v>
      </c>
      <c r="I16" s="98" t="s">
        <v>105</v>
      </c>
      <c r="J16" s="99">
        <v>46388</v>
      </c>
      <c r="K16" s="205"/>
      <c r="M16" s="100">
        <f>SUM(F24)</f>
        <v>0</v>
      </c>
      <c r="N16" s="101" t="s">
        <v>52</v>
      </c>
      <c r="O16" s="101">
        <v>2699</v>
      </c>
      <c r="P16" s="101" t="s">
        <v>55</v>
      </c>
    </row>
    <row r="17" spans="1:16" ht="26.25" thickBot="1" x14ac:dyDescent="0.25">
      <c r="A17" s="200"/>
      <c r="B17" s="202"/>
      <c r="C17" s="204"/>
      <c r="D17" s="177"/>
      <c r="E17" s="179"/>
      <c r="F17" s="192"/>
      <c r="G17" s="102"/>
      <c r="H17" s="103"/>
      <c r="I17" s="104"/>
      <c r="J17" s="105"/>
      <c r="K17" s="198"/>
      <c r="M17" s="100">
        <f>SUM(F26+F40)</f>
        <v>0</v>
      </c>
      <c r="N17" s="101" t="s">
        <v>52</v>
      </c>
      <c r="O17" s="101">
        <v>2657</v>
      </c>
      <c r="P17" s="101" t="s">
        <v>56</v>
      </c>
    </row>
    <row r="18" spans="1:16" ht="26.25" customHeight="1" x14ac:dyDescent="0.2">
      <c r="A18" s="170" t="s">
        <v>89</v>
      </c>
      <c r="B18" s="184">
        <v>150</v>
      </c>
      <c r="C18" s="174" t="s">
        <v>59</v>
      </c>
      <c r="D18" s="176" t="s">
        <v>78</v>
      </c>
      <c r="E18" s="178" t="s">
        <v>80</v>
      </c>
      <c r="F18" s="191"/>
      <c r="G18" s="106"/>
      <c r="H18" s="107"/>
      <c r="I18" s="108"/>
      <c r="J18" s="109"/>
      <c r="K18" s="195"/>
      <c r="M18" s="100">
        <f>SUM(F28*10)</f>
        <v>0</v>
      </c>
      <c r="N18" s="101" t="s">
        <v>52</v>
      </c>
      <c r="O18" s="101">
        <v>59</v>
      </c>
      <c r="P18" s="101" t="s">
        <v>57</v>
      </c>
    </row>
    <row r="19" spans="1:16" ht="26.25" thickBot="1" x14ac:dyDescent="0.25">
      <c r="A19" s="171"/>
      <c r="B19" s="185"/>
      <c r="C19" s="175"/>
      <c r="D19" s="177"/>
      <c r="E19" s="179"/>
      <c r="F19" s="192"/>
      <c r="G19" s="102"/>
      <c r="H19" s="103"/>
      <c r="I19" s="104"/>
      <c r="J19" s="105"/>
      <c r="K19" s="196"/>
    </row>
    <row r="20" spans="1:16" ht="25.5" x14ac:dyDescent="0.2">
      <c r="A20" s="170" t="s">
        <v>45</v>
      </c>
      <c r="B20" s="184">
        <v>6135</v>
      </c>
      <c r="C20" s="174" t="s">
        <v>47</v>
      </c>
      <c r="D20" s="176" t="s">
        <v>78</v>
      </c>
      <c r="E20" s="178" t="s">
        <v>79</v>
      </c>
      <c r="F20" s="191"/>
      <c r="G20" s="106"/>
      <c r="H20" s="107"/>
      <c r="I20" s="108"/>
      <c r="J20" s="109"/>
      <c r="K20" s="195"/>
    </row>
    <row r="21" spans="1:16" ht="26.25" thickBot="1" x14ac:dyDescent="0.25">
      <c r="A21" s="171"/>
      <c r="B21" s="185"/>
      <c r="C21" s="175"/>
      <c r="D21" s="177"/>
      <c r="E21" s="179"/>
      <c r="F21" s="192"/>
      <c r="G21" s="102"/>
      <c r="H21" s="103"/>
      <c r="I21" s="104"/>
      <c r="J21" s="105"/>
      <c r="K21" s="196"/>
    </row>
    <row r="22" spans="1:16" ht="25.5" x14ac:dyDescent="0.2">
      <c r="A22" s="170" t="s">
        <v>14</v>
      </c>
      <c r="B22" s="184">
        <v>2526</v>
      </c>
      <c r="C22" s="174" t="s">
        <v>21</v>
      </c>
      <c r="D22" s="176" t="s">
        <v>81</v>
      </c>
      <c r="E22" s="178" t="s">
        <v>79</v>
      </c>
      <c r="F22" s="191"/>
      <c r="G22" s="106"/>
      <c r="H22" s="107"/>
      <c r="I22" s="108"/>
      <c r="J22" s="155"/>
      <c r="K22" s="186"/>
    </row>
    <row r="23" spans="1:16" ht="26.25" thickBot="1" x14ac:dyDescent="0.25">
      <c r="A23" s="171"/>
      <c r="B23" s="185"/>
      <c r="C23" s="175"/>
      <c r="D23" s="177"/>
      <c r="E23" s="179"/>
      <c r="F23" s="192"/>
      <c r="G23" s="102"/>
      <c r="H23" s="103"/>
      <c r="I23" s="104"/>
      <c r="J23" s="111"/>
      <c r="K23" s="187"/>
    </row>
    <row r="24" spans="1:16" ht="25.5" x14ac:dyDescent="0.2">
      <c r="A24" s="170" t="s">
        <v>50</v>
      </c>
      <c r="B24" s="184">
        <v>2527</v>
      </c>
      <c r="C24" s="174" t="s">
        <v>22</v>
      </c>
      <c r="D24" s="176" t="s">
        <v>78</v>
      </c>
      <c r="E24" s="178" t="s">
        <v>79</v>
      </c>
      <c r="F24" s="191"/>
      <c r="G24" s="106"/>
      <c r="H24" s="107"/>
      <c r="I24" s="108"/>
      <c r="J24" s="110"/>
      <c r="K24" s="193"/>
    </row>
    <row r="25" spans="1:16" ht="26.25" thickBot="1" x14ac:dyDescent="0.25">
      <c r="A25" s="171"/>
      <c r="B25" s="185"/>
      <c r="C25" s="175"/>
      <c r="D25" s="177"/>
      <c r="E25" s="179"/>
      <c r="F25" s="192"/>
      <c r="G25" s="102"/>
      <c r="H25" s="103"/>
      <c r="I25" s="104"/>
      <c r="J25" s="111"/>
      <c r="K25" s="194"/>
    </row>
    <row r="26" spans="1:16" ht="25.5" x14ac:dyDescent="0.2">
      <c r="A26" s="170" t="s">
        <v>12</v>
      </c>
      <c r="B26" s="184">
        <v>3800</v>
      </c>
      <c r="C26" s="174" t="s">
        <v>39</v>
      </c>
      <c r="D26" s="176" t="s">
        <v>81</v>
      </c>
      <c r="E26" s="178" t="s">
        <v>82</v>
      </c>
      <c r="F26" s="191"/>
      <c r="G26" s="106"/>
      <c r="H26" s="107"/>
      <c r="I26" s="106"/>
      <c r="J26" s="110"/>
      <c r="K26" s="186"/>
    </row>
    <row r="27" spans="1:16" ht="26.25" thickBot="1" x14ac:dyDescent="0.25">
      <c r="A27" s="171"/>
      <c r="B27" s="185"/>
      <c r="C27" s="175"/>
      <c r="D27" s="177"/>
      <c r="E27" s="179"/>
      <c r="F27" s="192"/>
      <c r="G27" s="102"/>
      <c r="H27" s="103"/>
      <c r="I27" s="104"/>
      <c r="J27" s="111"/>
      <c r="K27" s="187"/>
    </row>
    <row r="28" spans="1:16" ht="25.5" x14ac:dyDescent="0.2">
      <c r="A28" s="170" t="s">
        <v>13</v>
      </c>
      <c r="B28" s="184">
        <v>3801</v>
      </c>
      <c r="C28" s="174" t="s">
        <v>23</v>
      </c>
      <c r="D28" s="176" t="s">
        <v>81</v>
      </c>
      <c r="E28" s="178" t="s">
        <v>82</v>
      </c>
      <c r="F28" s="191"/>
      <c r="G28" s="106"/>
      <c r="H28" s="107"/>
      <c r="I28" s="108"/>
      <c r="J28" s="110"/>
      <c r="K28" s="186"/>
    </row>
    <row r="29" spans="1:16" ht="26.25" thickBot="1" x14ac:dyDescent="0.25">
      <c r="A29" s="171"/>
      <c r="B29" s="185"/>
      <c r="C29" s="175"/>
      <c r="D29" s="177"/>
      <c r="E29" s="179"/>
      <c r="F29" s="192"/>
      <c r="G29" s="102"/>
      <c r="H29" s="103"/>
      <c r="I29" s="104"/>
      <c r="J29" s="111"/>
      <c r="K29" s="187"/>
    </row>
    <row r="30" spans="1:16" ht="26.25" customHeight="1" x14ac:dyDescent="0.2">
      <c r="A30" s="170" t="s">
        <v>15</v>
      </c>
      <c r="B30" s="184">
        <v>3802</v>
      </c>
      <c r="C30" s="174" t="s">
        <v>41</v>
      </c>
      <c r="D30" s="176" t="s">
        <v>81</v>
      </c>
      <c r="E30" s="178" t="s">
        <v>83</v>
      </c>
      <c r="F30" s="191"/>
      <c r="G30" s="106"/>
      <c r="H30" s="107"/>
      <c r="I30" s="108"/>
      <c r="J30" s="110"/>
      <c r="K30" s="186"/>
    </row>
    <row r="31" spans="1:16" ht="26.25" thickBot="1" x14ac:dyDescent="0.25">
      <c r="A31" s="171"/>
      <c r="B31" s="185"/>
      <c r="C31" s="175"/>
      <c r="D31" s="177"/>
      <c r="E31" s="179"/>
      <c r="F31" s="192"/>
      <c r="G31" s="102"/>
      <c r="H31" s="103"/>
      <c r="I31" s="104"/>
      <c r="J31" s="111"/>
      <c r="K31" s="187"/>
    </row>
    <row r="32" spans="1:16" ht="25.5" x14ac:dyDescent="0.2">
      <c r="A32" s="170" t="s">
        <v>16</v>
      </c>
      <c r="B32" s="184">
        <v>3805</v>
      </c>
      <c r="C32" s="174" t="s">
        <v>24</v>
      </c>
      <c r="D32" s="176" t="s">
        <v>81</v>
      </c>
      <c r="E32" s="178" t="s">
        <v>79</v>
      </c>
      <c r="F32" s="191"/>
      <c r="G32" s="106"/>
      <c r="H32" s="107"/>
      <c r="I32" s="108"/>
      <c r="J32" s="110"/>
      <c r="K32" s="186"/>
    </row>
    <row r="33" spans="1:11" ht="26.25" thickBot="1" x14ac:dyDescent="0.25">
      <c r="A33" s="171"/>
      <c r="B33" s="185"/>
      <c r="C33" s="175"/>
      <c r="D33" s="177"/>
      <c r="E33" s="179"/>
      <c r="F33" s="192"/>
      <c r="G33" s="102"/>
      <c r="H33" s="103"/>
      <c r="I33" s="104"/>
      <c r="J33" s="111"/>
      <c r="K33" s="187"/>
    </row>
    <row r="34" spans="1:11" ht="25.5" x14ac:dyDescent="0.2">
      <c r="A34" s="170" t="s">
        <v>95</v>
      </c>
      <c r="B34" s="184">
        <v>3808</v>
      </c>
      <c r="C34" s="174" t="s">
        <v>25</v>
      </c>
      <c r="D34" s="176" t="s">
        <v>78</v>
      </c>
      <c r="E34" s="178" t="s">
        <v>79</v>
      </c>
      <c r="F34" s="191"/>
      <c r="G34" s="106"/>
      <c r="H34" s="107"/>
      <c r="I34" s="108"/>
      <c r="J34" s="110"/>
      <c r="K34" s="186"/>
    </row>
    <row r="35" spans="1:11" ht="26.25" thickBot="1" x14ac:dyDescent="0.25">
      <c r="A35" s="171"/>
      <c r="B35" s="185"/>
      <c r="C35" s="175"/>
      <c r="D35" s="177"/>
      <c r="E35" s="179"/>
      <c r="F35" s="192"/>
      <c r="G35" s="102"/>
      <c r="H35" s="103"/>
      <c r="I35" s="104"/>
      <c r="J35" s="111"/>
      <c r="K35" s="187"/>
    </row>
    <row r="36" spans="1:11" ht="25.5" x14ac:dyDescent="0.2">
      <c r="A36" s="170" t="s">
        <v>19</v>
      </c>
      <c r="B36" s="184">
        <v>3810</v>
      </c>
      <c r="C36" s="174" t="s">
        <v>42</v>
      </c>
      <c r="D36" s="176" t="s">
        <v>81</v>
      </c>
      <c r="E36" s="178" t="s">
        <v>79</v>
      </c>
      <c r="F36" s="191">
        <v>2</v>
      </c>
      <c r="G36" s="106">
        <v>2</v>
      </c>
      <c r="H36" s="107">
        <v>2</v>
      </c>
      <c r="I36" s="108" t="s">
        <v>111</v>
      </c>
      <c r="J36" s="110">
        <v>46388</v>
      </c>
      <c r="K36" s="165"/>
    </row>
    <row r="37" spans="1:11" ht="26.25" thickBot="1" x14ac:dyDescent="0.25">
      <c r="A37" s="171"/>
      <c r="B37" s="185"/>
      <c r="C37" s="175"/>
      <c r="D37" s="177"/>
      <c r="E37" s="179"/>
      <c r="F37" s="192"/>
      <c r="G37" s="102"/>
      <c r="H37" s="103"/>
      <c r="I37" s="104"/>
      <c r="J37" s="111"/>
      <c r="K37" s="166"/>
    </row>
    <row r="38" spans="1:11" ht="25.5" x14ac:dyDescent="0.2">
      <c r="A38" s="170" t="s">
        <v>51</v>
      </c>
      <c r="B38" s="184">
        <v>6056</v>
      </c>
      <c r="C38" s="174" t="s">
        <v>29</v>
      </c>
      <c r="D38" s="176" t="s">
        <v>78</v>
      </c>
      <c r="E38" s="178" t="s">
        <v>82</v>
      </c>
      <c r="F38" s="191"/>
      <c r="G38" s="112"/>
      <c r="H38" s="107"/>
      <c r="I38" s="108"/>
      <c r="J38" s="110"/>
      <c r="K38" s="165"/>
    </row>
    <row r="39" spans="1:11" ht="26.25" thickBot="1" x14ac:dyDescent="0.25">
      <c r="A39" s="171"/>
      <c r="B39" s="185"/>
      <c r="C39" s="175"/>
      <c r="D39" s="177"/>
      <c r="E39" s="179"/>
      <c r="F39" s="192"/>
      <c r="G39" s="113"/>
      <c r="H39" s="103"/>
      <c r="I39" s="104"/>
      <c r="J39" s="111"/>
      <c r="K39" s="166"/>
    </row>
    <row r="40" spans="1:11" ht="25.5" x14ac:dyDescent="0.2">
      <c r="A40" s="170" t="s">
        <v>17</v>
      </c>
      <c r="B40" s="184">
        <v>3820</v>
      </c>
      <c r="C40" s="174" t="s">
        <v>40</v>
      </c>
      <c r="D40" s="176" t="s">
        <v>78</v>
      </c>
      <c r="E40" s="178" t="s">
        <v>82</v>
      </c>
      <c r="F40" s="191"/>
      <c r="G40" s="106"/>
      <c r="H40" s="107"/>
      <c r="I40" s="108"/>
      <c r="J40" s="110"/>
      <c r="K40" s="165"/>
    </row>
    <row r="41" spans="1:11" ht="26.25" thickBot="1" x14ac:dyDescent="0.25">
      <c r="A41" s="188"/>
      <c r="B41" s="189"/>
      <c r="C41" s="190"/>
      <c r="D41" s="177"/>
      <c r="E41" s="179"/>
      <c r="F41" s="192"/>
      <c r="G41" s="102"/>
      <c r="H41" s="103"/>
      <c r="I41" s="104"/>
      <c r="J41" s="111"/>
      <c r="K41" s="166"/>
    </row>
    <row r="42" spans="1:11" ht="26.25" customHeight="1" x14ac:dyDescent="0.2">
      <c r="A42" s="170" t="s">
        <v>18</v>
      </c>
      <c r="B42" s="184">
        <v>3821</v>
      </c>
      <c r="C42" s="174" t="s">
        <v>26</v>
      </c>
      <c r="D42" s="176" t="s">
        <v>81</v>
      </c>
      <c r="E42" s="178" t="s">
        <v>82</v>
      </c>
      <c r="F42" s="180"/>
      <c r="G42" s="106"/>
      <c r="H42" s="107"/>
      <c r="I42" s="108"/>
      <c r="J42" s="110"/>
      <c r="K42" s="165"/>
    </row>
    <row r="43" spans="1:11" ht="26.25" thickBot="1" x14ac:dyDescent="0.25">
      <c r="A43" s="171"/>
      <c r="B43" s="185"/>
      <c r="C43" s="175"/>
      <c r="D43" s="177"/>
      <c r="E43" s="179"/>
      <c r="F43" s="181"/>
      <c r="G43" s="102"/>
      <c r="H43" s="103"/>
      <c r="I43" s="104"/>
      <c r="J43" s="111"/>
      <c r="K43" s="166"/>
    </row>
    <row r="44" spans="1:11" ht="25.5" x14ac:dyDescent="0.2">
      <c r="A44" s="170" t="s">
        <v>98</v>
      </c>
      <c r="B44" s="184">
        <v>6317</v>
      </c>
      <c r="C44" s="174" t="s">
        <v>35</v>
      </c>
      <c r="D44" s="176" t="s">
        <v>81</v>
      </c>
      <c r="E44" s="178" t="s">
        <v>79</v>
      </c>
      <c r="F44" s="180"/>
      <c r="G44" s="106"/>
      <c r="H44" s="107"/>
      <c r="I44" s="108"/>
      <c r="J44" s="110"/>
      <c r="K44" s="186"/>
    </row>
    <row r="45" spans="1:11" ht="26.25" thickBot="1" x14ac:dyDescent="0.25">
      <c r="A45" s="171"/>
      <c r="B45" s="185"/>
      <c r="C45" s="175"/>
      <c r="D45" s="177"/>
      <c r="E45" s="179"/>
      <c r="F45" s="181"/>
      <c r="G45" s="102"/>
      <c r="H45" s="103"/>
      <c r="I45" s="104"/>
      <c r="J45" s="111"/>
      <c r="K45" s="187"/>
    </row>
    <row r="46" spans="1:11" ht="26.25" customHeight="1" x14ac:dyDescent="0.2">
      <c r="A46" s="170" t="s">
        <v>30</v>
      </c>
      <c r="B46" s="184">
        <v>3832</v>
      </c>
      <c r="C46" s="174" t="s">
        <v>34</v>
      </c>
      <c r="D46" s="176" t="s">
        <v>78</v>
      </c>
      <c r="E46" s="178" t="s">
        <v>79</v>
      </c>
      <c r="F46" s="180"/>
      <c r="G46" s="107"/>
      <c r="H46" s="107"/>
      <c r="I46" s="108"/>
      <c r="J46" s="110"/>
      <c r="K46" s="165"/>
    </row>
    <row r="47" spans="1:11" ht="26.25" thickBot="1" x14ac:dyDescent="0.25">
      <c r="A47" s="171"/>
      <c r="B47" s="185"/>
      <c r="C47" s="175"/>
      <c r="D47" s="177"/>
      <c r="E47" s="179"/>
      <c r="F47" s="181"/>
      <c r="G47" s="103"/>
      <c r="H47" s="103"/>
      <c r="I47" s="104"/>
      <c r="J47" s="111"/>
      <c r="K47" s="166"/>
    </row>
    <row r="48" spans="1:11" ht="25.5" x14ac:dyDescent="0.2">
      <c r="A48" s="170" t="s">
        <v>99</v>
      </c>
      <c r="B48" s="184">
        <v>4172</v>
      </c>
      <c r="C48" s="174" t="s">
        <v>10</v>
      </c>
      <c r="D48" s="176" t="s">
        <v>78</v>
      </c>
      <c r="E48" s="178" t="s">
        <v>79</v>
      </c>
      <c r="F48" s="180"/>
      <c r="G48" s="107"/>
      <c r="H48" s="107"/>
      <c r="I48" s="108"/>
      <c r="J48" s="110"/>
      <c r="K48" s="186"/>
    </row>
    <row r="49" spans="1:13" ht="26.25" thickBot="1" x14ac:dyDescent="0.25">
      <c r="A49" s="171"/>
      <c r="B49" s="185"/>
      <c r="C49" s="175"/>
      <c r="D49" s="177"/>
      <c r="E49" s="179"/>
      <c r="F49" s="181"/>
      <c r="G49" s="103"/>
      <c r="H49" s="103"/>
      <c r="I49" s="104"/>
      <c r="J49" s="111"/>
      <c r="K49" s="187"/>
    </row>
    <row r="50" spans="1:13" ht="25.5" x14ac:dyDescent="0.2">
      <c r="A50" s="170" t="s">
        <v>20</v>
      </c>
      <c r="B50" s="172">
        <v>2</v>
      </c>
      <c r="C50" s="174" t="s">
        <v>28</v>
      </c>
      <c r="D50" s="176" t="s">
        <v>78</v>
      </c>
      <c r="E50" s="178" t="s">
        <v>84</v>
      </c>
      <c r="F50" s="180"/>
      <c r="G50" s="107"/>
      <c r="H50" s="107"/>
      <c r="I50" s="114"/>
      <c r="J50" s="110"/>
      <c r="K50" s="165"/>
    </row>
    <row r="51" spans="1:13" ht="26.25" thickBot="1" x14ac:dyDescent="0.25">
      <c r="A51" s="171"/>
      <c r="B51" s="173"/>
      <c r="C51" s="175"/>
      <c r="D51" s="177"/>
      <c r="E51" s="179"/>
      <c r="F51" s="181"/>
      <c r="G51" s="103"/>
      <c r="H51" s="103"/>
      <c r="I51" s="115"/>
      <c r="J51" s="111"/>
      <c r="K51" s="166"/>
    </row>
    <row r="52" spans="1:13" ht="25.5" customHeight="1" x14ac:dyDescent="0.2">
      <c r="A52" s="170" t="s">
        <v>101</v>
      </c>
      <c r="B52" s="182">
        <v>6509</v>
      </c>
      <c r="C52" s="174" t="s">
        <v>102</v>
      </c>
      <c r="D52" s="176" t="s">
        <v>81</v>
      </c>
      <c r="E52" s="178" t="s">
        <v>79</v>
      </c>
      <c r="F52" s="180"/>
      <c r="G52" s="107"/>
      <c r="H52" s="107"/>
      <c r="I52" s="114"/>
      <c r="J52" s="110"/>
      <c r="K52" s="165"/>
    </row>
    <row r="53" spans="1:13" ht="26.25" thickBot="1" x14ac:dyDescent="0.25">
      <c r="A53" s="171"/>
      <c r="B53" s="183"/>
      <c r="C53" s="175"/>
      <c r="D53" s="177"/>
      <c r="E53" s="179"/>
      <c r="F53" s="181"/>
      <c r="G53" s="103"/>
      <c r="H53" s="103"/>
      <c r="I53" s="115"/>
      <c r="J53" s="111"/>
      <c r="K53" s="166"/>
    </row>
    <row r="54" spans="1:13" s="118" customFormat="1" ht="25.5" customHeight="1" x14ac:dyDescent="0.2">
      <c r="A54" s="116"/>
      <c r="B54" s="167" t="s">
        <v>97</v>
      </c>
      <c r="C54" s="167"/>
      <c r="D54" s="167"/>
      <c r="E54" s="167"/>
      <c r="F54" s="167"/>
      <c r="G54" s="167"/>
      <c r="H54" s="167"/>
      <c r="I54" s="167"/>
      <c r="J54" s="167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69</v>
      </c>
      <c r="D56" s="128"/>
      <c r="E56" s="124"/>
      <c r="F56" s="122"/>
      <c r="G56" s="168" t="s">
        <v>70</v>
      </c>
      <c r="H56" s="168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69" t="s">
        <v>11</v>
      </c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M58" s="87" t="s">
        <v>0</v>
      </c>
    </row>
    <row r="59" spans="1:13" s="87" customFormat="1" ht="30" customHeight="1" x14ac:dyDescent="0.2">
      <c r="A59" s="130"/>
      <c r="B59" s="161"/>
      <c r="C59" s="161"/>
      <c r="D59" s="161"/>
      <c r="E59" s="161"/>
      <c r="F59" s="161"/>
      <c r="G59" s="161"/>
      <c r="H59" s="161"/>
      <c r="I59" s="161"/>
      <c r="J59" s="161"/>
      <c r="K59" s="131"/>
    </row>
    <row r="60" spans="1:13" s="87" customFormat="1" ht="30" customHeight="1" x14ac:dyDescent="0.2">
      <c r="A60" s="130"/>
      <c r="B60" s="161"/>
      <c r="C60" s="161"/>
      <c r="D60" s="161"/>
      <c r="E60" s="161"/>
      <c r="F60" s="161"/>
      <c r="G60" s="161"/>
      <c r="H60" s="161"/>
      <c r="I60" s="161"/>
      <c r="J60" s="161"/>
      <c r="K60" s="130"/>
      <c r="L60" s="130"/>
    </row>
    <row r="61" spans="1:13" s="87" customFormat="1" ht="30" customHeight="1" x14ac:dyDescent="0.2">
      <c r="A61" s="130"/>
      <c r="B61" s="161"/>
      <c r="C61" s="161"/>
      <c r="D61" s="161"/>
      <c r="E61" s="161"/>
      <c r="F61" s="161"/>
      <c r="G61" s="161"/>
      <c r="H61" s="161"/>
      <c r="I61" s="161"/>
      <c r="J61" s="161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20.100000000000001" customHeight="1" x14ac:dyDescent="0.2">
      <c r="A65" s="162" t="s">
        <v>96</v>
      </c>
      <c r="B65" s="162"/>
      <c r="C65" s="162"/>
      <c r="D65" s="139"/>
      <c r="E65" s="139"/>
      <c r="F65" s="140"/>
      <c r="G65" s="141"/>
      <c r="H65" s="163" t="s">
        <v>58</v>
      </c>
      <c r="I65" s="163"/>
      <c r="J65" s="163"/>
      <c r="K65" s="163"/>
      <c r="L65" s="142"/>
    </row>
    <row r="66" spans="1:12" s="86" customFormat="1" ht="20.100000000000001" customHeight="1" x14ac:dyDescent="0.2">
      <c r="A66" s="157" t="s">
        <v>72</v>
      </c>
      <c r="B66" s="157"/>
      <c r="C66" s="157"/>
      <c r="D66" s="140"/>
      <c r="E66" s="140"/>
      <c r="F66" s="140"/>
      <c r="G66" s="141"/>
      <c r="H66" s="157" t="s">
        <v>38</v>
      </c>
      <c r="I66" s="157"/>
      <c r="J66" s="157"/>
      <c r="K66" s="157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43"/>
      <c r="B71" s="143"/>
      <c r="C71" s="143"/>
      <c r="D71" s="144"/>
      <c r="E71" s="144"/>
      <c r="F71" s="145"/>
      <c r="G71" s="146"/>
      <c r="H71" s="164"/>
      <c r="I71" s="164"/>
      <c r="J71" s="164"/>
      <c r="K71" s="164"/>
      <c r="L71" s="147"/>
    </row>
    <row r="72" spans="1:12" s="87" customFormat="1" ht="18" customHeight="1" x14ac:dyDescent="0.2">
      <c r="A72" s="157" t="s">
        <v>86</v>
      </c>
      <c r="B72" s="157"/>
      <c r="C72" s="157"/>
      <c r="D72" s="144"/>
      <c r="E72" s="144"/>
      <c r="F72" s="145"/>
      <c r="G72" s="146"/>
      <c r="H72" s="158" t="s">
        <v>74</v>
      </c>
      <c r="I72" s="158"/>
      <c r="J72" s="158"/>
      <c r="K72" s="158"/>
      <c r="L72" s="147"/>
    </row>
    <row r="73" spans="1:12" s="87" customFormat="1" ht="30" customHeight="1" x14ac:dyDescent="0.2">
      <c r="A73" s="157" t="s">
        <v>73</v>
      </c>
      <c r="B73" s="157"/>
      <c r="C73" s="157"/>
      <c r="D73" s="140"/>
      <c r="E73" s="140"/>
      <c r="F73" s="139"/>
      <c r="G73" s="144"/>
      <c r="L73" s="147"/>
    </row>
    <row r="74" spans="1:12" s="79" customFormat="1" ht="30" customHeight="1" x14ac:dyDescent="0.2">
      <c r="A74" s="159"/>
      <c r="B74" s="159"/>
      <c r="C74" s="159"/>
      <c r="D74" s="136"/>
      <c r="E74" s="136"/>
      <c r="F74" s="148"/>
      <c r="G74" s="149"/>
      <c r="H74" s="149"/>
      <c r="I74" s="149"/>
      <c r="J74" s="149"/>
      <c r="K74" s="150"/>
      <c r="L74" s="151"/>
    </row>
    <row r="75" spans="1:12" s="79" customFormat="1" ht="30" customHeight="1" x14ac:dyDescent="0.2">
      <c r="B75" s="160"/>
      <c r="C75" s="160"/>
      <c r="D75" s="152"/>
      <c r="E75" s="152"/>
      <c r="G75" s="153"/>
      <c r="H75" s="153"/>
      <c r="I75" s="153"/>
      <c r="J75" s="153"/>
    </row>
    <row r="76" spans="1:12" s="79" customFormat="1" ht="30" customHeight="1" x14ac:dyDescent="0.2">
      <c r="G76" s="153"/>
      <c r="H76" s="153"/>
      <c r="I76" s="153"/>
      <c r="J76" s="153"/>
    </row>
    <row r="77" spans="1:12" s="79" customFormat="1" ht="30" customHeight="1" x14ac:dyDescent="0.2">
      <c r="G77" s="153"/>
      <c r="H77" s="153"/>
      <c r="I77" s="153"/>
      <c r="J77" s="153"/>
    </row>
    <row r="78" spans="1:12" s="79" customFormat="1" ht="30" customHeight="1" x14ac:dyDescent="0.2">
      <c r="G78" s="153"/>
      <c r="H78" s="153"/>
      <c r="I78" s="153"/>
      <c r="J78" s="153"/>
    </row>
    <row r="79" spans="1:12" s="79" customFormat="1" ht="30" customHeight="1" x14ac:dyDescent="0.2">
      <c r="G79" s="153"/>
      <c r="H79" s="153"/>
      <c r="I79" s="153"/>
      <c r="J79" s="153"/>
    </row>
    <row r="80" spans="1:12" s="79" customFormat="1" ht="30" customHeight="1" x14ac:dyDescent="0.2">
      <c r="G80" s="153"/>
      <c r="H80" s="153"/>
      <c r="I80" s="153"/>
      <c r="J80" s="153"/>
    </row>
    <row r="81" spans="7:10" s="79" customFormat="1" ht="30" customHeight="1" x14ac:dyDescent="0.2">
      <c r="G81" s="153"/>
      <c r="H81" s="153"/>
      <c r="I81" s="153"/>
      <c r="J81" s="153"/>
    </row>
    <row r="82" spans="7:10" s="79" customFormat="1" ht="30" customHeight="1" x14ac:dyDescent="0.2">
      <c r="G82" s="153"/>
      <c r="H82" s="153"/>
      <c r="I82" s="153"/>
      <c r="J82" s="153"/>
    </row>
    <row r="83" spans="7:10" s="79" customFormat="1" ht="30" customHeight="1" x14ac:dyDescent="0.2">
      <c r="G83" s="153"/>
      <c r="H83" s="153"/>
      <c r="I83" s="153"/>
      <c r="J83" s="153"/>
    </row>
    <row r="84" spans="7:10" s="79" customFormat="1" ht="30" customHeight="1" x14ac:dyDescent="0.2">
      <c r="G84" s="153"/>
      <c r="H84" s="153"/>
      <c r="I84" s="153"/>
      <c r="J84" s="153"/>
    </row>
    <row r="85" spans="7:10" s="79" customFormat="1" ht="30" customHeight="1" x14ac:dyDescent="0.2">
      <c r="G85" s="153"/>
      <c r="H85" s="153"/>
      <c r="I85" s="153"/>
      <c r="J85" s="153"/>
    </row>
    <row r="86" spans="7:10" s="79" customFormat="1" ht="30" customHeight="1" x14ac:dyDescent="0.2">
      <c r="G86" s="153"/>
      <c r="H86" s="153"/>
      <c r="I86" s="153"/>
      <c r="J86" s="153"/>
    </row>
    <row r="87" spans="7:10" s="79" customFormat="1" ht="30" customHeight="1" x14ac:dyDescent="0.2">
      <c r="H87" s="154"/>
    </row>
  </sheetData>
  <mergeCells count="174"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2:C72"/>
    <mergeCell ref="H71:K7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0E61-ADE0-477A-89D7-AE3977AA0777}">
  <dimension ref="A1:P87"/>
  <sheetViews>
    <sheetView tabSelected="1" view="pageBreakPreview" topLeftCell="A27" zoomScale="55" zoomScaleNormal="50" zoomScaleSheetLayoutView="55" workbookViewId="0">
      <selection activeCell="H44" sqref="H44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0" t="s">
        <v>43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78"/>
    </row>
    <row r="2" spans="1:16" s="79" customFormat="1" ht="30" x14ac:dyDescent="0.2">
      <c r="A2" s="210" t="s">
        <v>44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80"/>
    </row>
    <row r="3" spans="1:16" s="79" customFormat="1" ht="30" customHeight="1" x14ac:dyDescent="0.2">
      <c r="A3" s="210" t="s">
        <v>60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0" t="s">
        <v>61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62</v>
      </c>
      <c r="B7" s="211" t="s">
        <v>85</v>
      </c>
      <c r="C7" s="211"/>
      <c r="D7" s="211"/>
      <c r="E7" s="84"/>
      <c r="F7" s="85"/>
      <c r="G7" s="83" t="s">
        <v>1</v>
      </c>
      <c r="H7" s="211" t="s">
        <v>63</v>
      </c>
      <c r="I7" s="211"/>
      <c r="J7" s="211"/>
      <c r="K7" s="86"/>
    </row>
    <row r="8" spans="1:16" s="87" customFormat="1" ht="39.950000000000003" customHeight="1" x14ac:dyDescent="0.35">
      <c r="A8" s="83" t="s">
        <v>64</v>
      </c>
      <c r="B8" s="223" t="s">
        <v>65</v>
      </c>
      <c r="C8" s="223"/>
      <c r="D8" s="223"/>
      <c r="E8" s="88"/>
      <c r="F8" s="85"/>
      <c r="G8" s="83" t="s">
        <v>66</v>
      </c>
      <c r="H8" s="224">
        <v>46272</v>
      </c>
      <c r="I8" s="224"/>
      <c r="J8" s="224"/>
      <c r="K8" s="86"/>
    </row>
    <row r="9" spans="1:16" s="87" customFormat="1" ht="39.950000000000003" customHeight="1" x14ac:dyDescent="0.35">
      <c r="A9" s="83" t="s">
        <v>67</v>
      </c>
      <c r="B9" s="211" t="s">
        <v>88</v>
      </c>
      <c r="C9" s="211"/>
      <c r="D9" s="211"/>
      <c r="E9" s="84"/>
      <c r="F9" s="85"/>
      <c r="G9" s="83" t="s">
        <v>36</v>
      </c>
      <c r="H9" s="225"/>
      <c r="I9" s="225"/>
      <c r="J9" s="225"/>
      <c r="K9" s="86"/>
    </row>
    <row r="10" spans="1:16" s="87" customFormat="1" ht="39.75" customHeight="1" x14ac:dyDescent="0.35">
      <c r="A10" s="83" t="s">
        <v>64</v>
      </c>
      <c r="B10" s="226" t="s">
        <v>94</v>
      </c>
      <c r="C10" s="226"/>
      <c r="D10" s="226"/>
      <c r="E10" s="88"/>
      <c r="F10" s="85"/>
      <c r="G10" s="83" t="s">
        <v>33</v>
      </c>
      <c r="H10" s="211" t="s">
        <v>100</v>
      </c>
      <c r="I10" s="211"/>
      <c r="J10" s="211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2" t="s">
        <v>2</v>
      </c>
      <c r="B12" s="214" t="s">
        <v>37</v>
      </c>
      <c r="C12" s="214" t="s">
        <v>3</v>
      </c>
      <c r="D12" s="216" t="s">
        <v>75</v>
      </c>
      <c r="E12" s="91" t="s">
        <v>76</v>
      </c>
      <c r="F12" s="218" t="s">
        <v>4</v>
      </c>
      <c r="G12" s="219"/>
      <c r="H12" s="219"/>
      <c r="I12" s="219"/>
      <c r="J12" s="220"/>
      <c r="K12" s="221" t="s">
        <v>32</v>
      </c>
    </row>
    <row r="13" spans="1:16" s="92" customFormat="1" ht="21" thickBot="1" x14ac:dyDescent="0.35">
      <c r="A13" s="213"/>
      <c r="B13" s="215"/>
      <c r="C13" s="215"/>
      <c r="D13" s="217"/>
      <c r="E13" s="94" t="s">
        <v>77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2"/>
    </row>
    <row r="14" spans="1:16" ht="26.25" customHeight="1" x14ac:dyDescent="0.2">
      <c r="A14" s="206" t="s">
        <v>90</v>
      </c>
      <c r="B14" s="207">
        <v>146</v>
      </c>
      <c r="C14" s="208" t="s">
        <v>27</v>
      </c>
      <c r="D14" s="176" t="s">
        <v>78</v>
      </c>
      <c r="E14" s="178" t="s">
        <v>79</v>
      </c>
      <c r="F14" s="191"/>
      <c r="G14" s="96"/>
      <c r="H14" s="97"/>
      <c r="I14" s="98"/>
      <c r="J14" s="99"/>
      <c r="K14" s="197"/>
      <c r="M14" s="100">
        <f>SUM(F14+(F44*10)+(F32*10)+F22+F34+(F36*10)+F48)</f>
        <v>55</v>
      </c>
      <c r="N14" s="101" t="s">
        <v>52</v>
      </c>
      <c r="O14" s="101">
        <v>2715</v>
      </c>
      <c r="P14" s="101" t="s">
        <v>53</v>
      </c>
    </row>
    <row r="15" spans="1:16" ht="26.25" thickBot="1" x14ac:dyDescent="0.25">
      <c r="A15" s="200"/>
      <c r="B15" s="202"/>
      <c r="C15" s="209"/>
      <c r="D15" s="177"/>
      <c r="E15" s="179"/>
      <c r="F15" s="192"/>
      <c r="G15" s="102"/>
      <c r="H15" s="103"/>
      <c r="I15" s="104"/>
      <c r="J15" s="105"/>
      <c r="K15" s="198"/>
      <c r="M15" s="100">
        <f>SUM((F44/3)*20+F20)</f>
        <v>60</v>
      </c>
      <c r="N15" s="101" t="s">
        <v>52</v>
      </c>
      <c r="O15" s="101">
        <v>2707</v>
      </c>
      <c r="P15" s="101" t="s">
        <v>54</v>
      </c>
    </row>
    <row r="16" spans="1:16" ht="25.5" x14ac:dyDescent="0.2">
      <c r="A16" s="199" t="s">
        <v>46</v>
      </c>
      <c r="B16" s="201">
        <v>148</v>
      </c>
      <c r="C16" s="203" t="s">
        <v>9</v>
      </c>
      <c r="D16" s="176" t="s">
        <v>78</v>
      </c>
      <c r="E16" s="178" t="s">
        <v>80</v>
      </c>
      <c r="F16" s="191">
        <v>60</v>
      </c>
      <c r="G16" s="106">
        <v>60</v>
      </c>
      <c r="H16" s="107">
        <v>60</v>
      </c>
      <c r="I16" s="98" t="s">
        <v>105</v>
      </c>
      <c r="J16" s="99">
        <v>46388</v>
      </c>
      <c r="K16" s="205"/>
      <c r="M16" s="100">
        <f>SUM(F24)</f>
        <v>35</v>
      </c>
      <c r="N16" s="101" t="s">
        <v>52</v>
      </c>
      <c r="O16" s="101">
        <v>2699</v>
      </c>
      <c r="P16" s="101" t="s">
        <v>55</v>
      </c>
    </row>
    <row r="17" spans="1:16" ht="26.25" thickBot="1" x14ac:dyDescent="0.25">
      <c r="A17" s="200"/>
      <c r="B17" s="202"/>
      <c r="C17" s="204"/>
      <c r="D17" s="177"/>
      <c r="E17" s="179"/>
      <c r="F17" s="192"/>
      <c r="G17" s="102"/>
      <c r="H17" s="103"/>
      <c r="I17" s="104"/>
      <c r="J17" s="105"/>
      <c r="K17" s="198"/>
      <c r="M17" s="100">
        <f>SUM(F26+F40)</f>
        <v>0</v>
      </c>
      <c r="N17" s="101" t="s">
        <v>52</v>
      </c>
      <c r="O17" s="101">
        <v>2657</v>
      </c>
      <c r="P17" s="101" t="s">
        <v>56</v>
      </c>
    </row>
    <row r="18" spans="1:16" ht="26.25" customHeight="1" x14ac:dyDescent="0.2">
      <c r="A18" s="170" t="s">
        <v>89</v>
      </c>
      <c r="B18" s="184">
        <v>150</v>
      </c>
      <c r="C18" s="174" t="s">
        <v>59</v>
      </c>
      <c r="D18" s="176" t="s">
        <v>78</v>
      </c>
      <c r="E18" s="178" t="s">
        <v>80</v>
      </c>
      <c r="F18" s="191">
        <v>60</v>
      </c>
      <c r="G18" s="106">
        <v>10</v>
      </c>
      <c r="H18" s="107">
        <v>10</v>
      </c>
      <c r="I18" s="98" t="s">
        <v>106</v>
      </c>
      <c r="J18" s="99">
        <v>46419</v>
      </c>
      <c r="K18" s="195"/>
      <c r="M18" s="100">
        <f>SUM(F28*10)</f>
        <v>600</v>
      </c>
      <c r="N18" s="101" t="s">
        <v>52</v>
      </c>
      <c r="O18" s="101">
        <v>59</v>
      </c>
      <c r="P18" s="101" t="s">
        <v>57</v>
      </c>
    </row>
    <row r="19" spans="1:16" ht="26.25" thickBot="1" x14ac:dyDescent="0.25">
      <c r="A19" s="171"/>
      <c r="B19" s="185"/>
      <c r="C19" s="175"/>
      <c r="D19" s="177"/>
      <c r="E19" s="179"/>
      <c r="F19" s="192"/>
      <c r="G19" s="102">
        <v>50</v>
      </c>
      <c r="H19" s="103">
        <v>50</v>
      </c>
      <c r="I19" s="104" t="s">
        <v>113</v>
      </c>
      <c r="J19" s="105">
        <v>46388</v>
      </c>
      <c r="K19" s="196"/>
    </row>
    <row r="20" spans="1:16" ht="25.5" x14ac:dyDescent="0.2">
      <c r="A20" s="170" t="s">
        <v>45</v>
      </c>
      <c r="B20" s="184">
        <v>6135</v>
      </c>
      <c r="C20" s="174" t="s">
        <v>47</v>
      </c>
      <c r="D20" s="176" t="s">
        <v>78</v>
      </c>
      <c r="E20" s="178" t="s">
        <v>79</v>
      </c>
      <c r="F20" s="191">
        <v>60</v>
      </c>
      <c r="G20" s="106">
        <v>60</v>
      </c>
      <c r="H20" s="107">
        <v>60</v>
      </c>
      <c r="I20" s="98" t="s">
        <v>107</v>
      </c>
      <c r="J20" s="99">
        <v>46722</v>
      </c>
      <c r="K20" s="195"/>
    </row>
    <row r="21" spans="1:16" ht="26.25" thickBot="1" x14ac:dyDescent="0.25">
      <c r="A21" s="171"/>
      <c r="B21" s="185"/>
      <c r="C21" s="175"/>
      <c r="D21" s="177"/>
      <c r="E21" s="179"/>
      <c r="F21" s="192"/>
      <c r="G21" s="102"/>
      <c r="H21" s="103"/>
      <c r="I21" s="104"/>
      <c r="J21" s="104"/>
      <c r="K21" s="196"/>
    </row>
    <row r="22" spans="1:16" ht="25.5" x14ac:dyDescent="0.2">
      <c r="A22" s="170" t="s">
        <v>14</v>
      </c>
      <c r="B22" s="184">
        <v>2526</v>
      </c>
      <c r="C22" s="174" t="s">
        <v>21</v>
      </c>
      <c r="D22" s="176" t="s">
        <v>81</v>
      </c>
      <c r="E22" s="178" t="s">
        <v>79</v>
      </c>
      <c r="F22" s="191">
        <v>30</v>
      </c>
      <c r="G22" s="106">
        <v>30</v>
      </c>
      <c r="H22" s="107">
        <v>30</v>
      </c>
      <c r="I22" s="98">
        <v>2526250606</v>
      </c>
      <c r="J22" s="156">
        <v>46919</v>
      </c>
      <c r="K22" s="186"/>
    </row>
    <row r="23" spans="1:16" ht="26.25" thickBot="1" x14ac:dyDescent="0.25">
      <c r="A23" s="171"/>
      <c r="B23" s="185"/>
      <c r="C23" s="175"/>
      <c r="D23" s="177"/>
      <c r="E23" s="179"/>
      <c r="F23" s="192"/>
      <c r="G23" s="102"/>
      <c r="H23" s="103"/>
      <c r="I23" s="104"/>
      <c r="J23" s="111"/>
      <c r="K23" s="187"/>
    </row>
    <row r="24" spans="1:16" ht="25.5" x14ac:dyDescent="0.2">
      <c r="A24" s="170" t="s">
        <v>103</v>
      </c>
      <c r="B24" s="184">
        <v>3825</v>
      </c>
      <c r="C24" s="174" t="s">
        <v>104</v>
      </c>
      <c r="D24" s="176" t="s">
        <v>78</v>
      </c>
      <c r="E24" s="178" t="s">
        <v>79</v>
      </c>
      <c r="F24" s="191">
        <v>35</v>
      </c>
      <c r="G24" s="106">
        <v>35</v>
      </c>
      <c r="H24" s="107">
        <v>35</v>
      </c>
      <c r="I24" s="98" t="s">
        <v>108</v>
      </c>
      <c r="J24" s="99">
        <v>46813</v>
      </c>
      <c r="K24" s="193"/>
    </row>
    <row r="25" spans="1:16" ht="26.25" thickBot="1" x14ac:dyDescent="0.25">
      <c r="A25" s="171"/>
      <c r="B25" s="185"/>
      <c r="C25" s="175"/>
      <c r="D25" s="177"/>
      <c r="E25" s="179"/>
      <c r="F25" s="192"/>
      <c r="G25" s="102"/>
      <c r="H25" s="103"/>
      <c r="I25" s="104"/>
      <c r="J25" s="111"/>
      <c r="K25" s="194"/>
    </row>
    <row r="26" spans="1:16" ht="25.5" x14ac:dyDescent="0.2">
      <c r="A26" s="170" t="s">
        <v>12</v>
      </c>
      <c r="B26" s="184">
        <v>3800</v>
      </c>
      <c r="C26" s="174" t="s">
        <v>39</v>
      </c>
      <c r="D26" s="176" t="s">
        <v>81</v>
      </c>
      <c r="E26" s="178" t="s">
        <v>82</v>
      </c>
      <c r="F26" s="191"/>
      <c r="G26" s="106"/>
      <c r="H26" s="107"/>
      <c r="I26" s="98"/>
      <c r="J26" s="99"/>
      <c r="K26" s="186"/>
    </row>
    <row r="27" spans="1:16" ht="26.25" thickBot="1" x14ac:dyDescent="0.25">
      <c r="A27" s="171"/>
      <c r="B27" s="185"/>
      <c r="C27" s="175"/>
      <c r="D27" s="177"/>
      <c r="E27" s="179"/>
      <c r="F27" s="192"/>
      <c r="G27" s="102"/>
      <c r="H27" s="103"/>
      <c r="I27" s="104"/>
      <c r="J27" s="115"/>
      <c r="K27" s="187"/>
    </row>
    <row r="28" spans="1:16" ht="25.5" x14ac:dyDescent="0.2">
      <c r="A28" s="170" t="s">
        <v>13</v>
      </c>
      <c r="B28" s="184">
        <v>3801</v>
      </c>
      <c r="C28" s="174" t="s">
        <v>23</v>
      </c>
      <c r="D28" s="176" t="s">
        <v>81</v>
      </c>
      <c r="E28" s="178" t="s">
        <v>82</v>
      </c>
      <c r="F28" s="191">
        <v>60</v>
      </c>
      <c r="G28" s="106">
        <v>60</v>
      </c>
      <c r="H28" s="107">
        <v>60</v>
      </c>
      <c r="I28" s="98" t="s">
        <v>109</v>
      </c>
      <c r="J28" s="99">
        <v>46447</v>
      </c>
      <c r="K28" s="186"/>
    </row>
    <row r="29" spans="1:16" ht="26.25" thickBot="1" x14ac:dyDescent="0.25">
      <c r="A29" s="171"/>
      <c r="B29" s="185"/>
      <c r="C29" s="175"/>
      <c r="D29" s="177"/>
      <c r="E29" s="179"/>
      <c r="F29" s="192"/>
      <c r="G29" s="102"/>
      <c r="H29" s="103"/>
      <c r="I29" s="104"/>
      <c r="J29" s="111"/>
      <c r="K29" s="187"/>
    </row>
    <row r="30" spans="1:16" ht="26.25" customHeight="1" x14ac:dyDescent="0.2">
      <c r="A30" s="170" t="s">
        <v>15</v>
      </c>
      <c r="B30" s="184">
        <v>3802</v>
      </c>
      <c r="C30" s="174" t="s">
        <v>41</v>
      </c>
      <c r="D30" s="176" t="s">
        <v>81</v>
      </c>
      <c r="E30" s="178" t="s">
        <v>83</v>
      </c>
      <c r="F30" s="191"/>
      <c r="G30" s="106"/>
      <c r="H30" s="107"/>
      <c r="I30" s="98"/>
      <c r="J30" s="99"/>
      <c r="K30" s="186"/>
    </row>
    <row r="31" spans="1:16" ht="26.25" thickBot="1" x14ac:dyDescent="0.25">
      <c r="A31" s="171"/>
      <c r="B31" s="185"/>
      <c r="C31" s="175"/>
      <c r="D31" s="177"/>
      <c r="E31" s="179"/>
      <c r="F31" s="192"/>
      <c r="G31" s="102"/>
      <c r="H31" s="103"/>
      <c r="I31" s="104"/>
      <c r="J31" s="111"/>
      <c r="K31" s="187"/>
    </row>
    <row r="32" spans="1:16" ht="25.5" x14ac:dyDescent="0.2">
      <c r="A32" s="170" t="s">
        <v>16</v>
      </c>
      <c r="B32" s="184">
        <v>3805</v>
      </c>
      <c r="C32" s="174" t="s">
        <v>24</v>
      </c>
      <c r="D32" s="176" t="s">
        <v>81</v>
      </c>
      <c r="E32" s="178" t="s">
        <v>79</v>
      </c>
      <c r="F32" s="191"/>
      <c r="G32" s="106"/>
      <c r="H32" s="107"/>
      <c r="I32" s="98"/>
      <c r="J32" s="99"/>
      <c r="K32" s="186"/>
    </row>
    <row r="33" spans="1:11" ht="26.25" thickBot="1" x14ac:dyDescent="0.25">
      <c r="A33" s="171"/>
      <c r="B33" s="185"/>
      <c r="C33" s="175"/>
      <c r="D33" s="177"/>
      <c r="E33" s="179"/>
      <c r="F33" s="192"/>
      <c r="G33" s="102"/>
      <c r="H33" s="103"/>
      <c r="I33" s="104"/>
      <c r="J33" s="115"/>
      <c r="K33" s="187"/>
    </row>
    <row r="34" spans="1:11" ht="25.5" x14ac:dyDescent="0.2">
      <c r="A34" s="170" t="s">
        <v>95</v>
      </c>
      <c r="B34" s="184">
        <v>3808</v>
      </c>
      <c r="C34" s="174" t="s">
        <v>25</v>
      </c>
      <c r="D34" s="176" t="s">
        <v>78</v>
      </c>
      <c r="E34" s="178" t="s">
        <v>79</v>
      </c>
      <c r="F34" s="191">
        <v>25</v>
      </c>
      <c r="G34" s="106">
        <v>25</v>
      </c>
      <c r="H34" s="107">
        <v>25</v>
      </c>
      <c r="I34" s="98" t="s">
        <v>110</v>
      </c>
      <c r="J34" s="99">
        <v>46784</v>
      </c>
      <c r="K34" s="186"/>
    </row>
    <row r="35" spans="1:11" ht="26.25" thickBot="1" x14ac:dyDescent="0.25">
      <c r="A35" s="171"/>
      <c r="B35" s="185"/>
      <c r="C35" s="175"/>
      <c r="D35" s="177"/>
      <c r="E35" s="179"/>
      <c r="F35" s="192"/>
      <c r="G35" s="102"/>
      <c r="H35" s="103"/>
      <c r="I35" s="104"/>
      <c r="J35" s="115"/>
      <c r="K35" s="187"/>
    </row>
    <row r="36" spans="1:11" ht="25.5" x14ac:dyDescent="0.2">
      <c r="A36" s="170" t="s">
        <v>19</v>
      </c>
      <c r="B36" s="184">
        <v>3810</v>
      </c>
      <c r="C36" s="174" t="s">
        <v>42</v>
      </c>
      <c r="D36" s="176" t="s">
        <v>81</v>
      </c>
      <c r="E36" s="178" t="s">
        <v>79</v>
      </c>
      <c r="F36" s="191"/>
      <c r="G36" s="106"/>
      <c r="H36" s="107"/>
      <c r="I36" s="98"/>
      <c r="J36" s="99"/>
      <c r="K36" s="165"/>
    </row>
    <row r="37" spans="1:11" ht="26.25" thickBot="1" x14ac:dyDescent="0.25">
      <c r="A37" s="171"/>
      <c r="B37" s="185"/>
      <c r="C37" s="175"/>
      <c r="D37" s="177"/>
      <c r="E37" s="179"/>
      <c r="F37" s="192"/>
      <c r="G37" s="102"/>
      <c r="H37" s="103"/>
      <c r="I37" s="104"/>
      <c r="J37" s="115"/>
      <c r="K37" s="166"/>
    </row>
    <row r="38" spans="1:11" ht="25.5" x14ac:dyDescent="0.2">
      <c r="A38" s="170" t="s">
        <v>51</v>
      </c>
      <c r="B38" s="184">
        <v>6056</v>
      </c>
      <c r="C38" s="174" t="s">
        <v>29</v>
      </c>
      <c r="D38" s="176" t="s">
        <v>78</v>
      </c>
      <c r="E38" s="178" t="s">
        <v>82</v>
      </c>
      <c r="F38" s="191"/>
      <c r="G38" s="112"/>
      <c r="H38" s="107"/>
      <c r="I38" s="98"/>
      <c r="J38" s="99"/>
      <c r="K38" s="165"/>
    </row>
    <row r="39" spans="1:11" ht="26.25" thickBot="1" x14ac:dyDescent="0.25">
      <c r="A39" s="171"/>
      <c r="B39" s="185"/>
      <c r="C39" s="175"/>
      <c r="D39" s="177"/>
      <c r="E39" s="179"/>
      <c r="F39" s="192"/>
      <c r="G39" s="113"/>
      <c r="H39" s="103"/>
      <c r="I39" s="104"/>
      <c r="J39" s="111"/>
      <c r="K39" s="166"/>
    </row>
    <row r="40" spans="1:11" ht="25.5" x14ac:dyDescent="0.2">
      <c r="A40" s="170" t="s">
        <v>17</v>
      </c>
      <c r="B40" s="184">
        <v>3820</v>
      </c>
      <c r="C40" s="174" t="s">
        <v>40</v>
      </c>
      <c r="D40" s="176" t="s">
        <v>78</v>
      </c>
      <c r="E40" s="178" t="s">
        <v>82</v>
      </c>
      <c r="F40" s="191"/>
      <c r="G40" s="106"/>
      <c r="H40" s="107"/>
      <c r="I40" s="98"/>
      <c r="J40" s="99"/>
      <c r="K40" s="165"/>
    </row>
    <row r="41" spans="1:11" ht="26.25" thickBot="1" x14ac:dyDescent="0.25">
      <c r="A41" s="188"/>
      <c r="B41" s="189"/>
      <c r="C41" s="190"/>
      <c r="D41" s="177"/>
      <c r="E41" s="179"/>
      <c r="F41" s="192"/>
      <c r="G41" s="102"/>
      <c r="H41" s="103"/>
      <c r="I41" s="104"/>
      <c r="J41" s="111"/>
      <c r="K41" s="166"/>
    </row>
    <row r="42" spans="1:11" ht="26.25" customHeight="1" x14ac:dyDescent="0.2">
      <c r="A42" s="170" t="s">
        <v>18</v>
      </c>
      <c r="B42" s="184">
        <v>3821</v>
      </c>
      <c r="C42" s="174" t="s">
        <v>26</v>
      </c>
      <c r="D42" s="176" t="s">
        <v>81</v>
      </c>
      <c r="E42" s="178" t="s">
        <v>82</v>
      </c>
      <c r="F42" s="180"/>
      <c r="G42" s="106"/>
      <c r="H42" s="107"/>
      <c r="I42" s="98"/>
      <c r="J42" s="99"/>
      <c r="K42" s="165"/>
    </row>
    <row r="43" spans="1:11" ht="26.25" thickBot="1" x14ac:dyDescent="0.25">
      <c r="A43" s="171"/>
      <c r="B43" s="185"/>
      <c r="C43" s="175"/>
      <c r="D43" s="177"/>
      <c r="E43" s="179"/>
      <c r="F43" s="181"/>
      <c r="G43" s="102"/>
      <c r="H43" s="103"/>
      <c r="I43" s="104"/>
      <c r="J43" s="115"/>
      <c r="K43" s="166"/>
    </row>
    <row r="44" spans="1:11" ht="25.5" x14ac:dyDescent="0.2">
      <c r="A44" s="170" t="s">
        <v>98</v>
      </c>
      <c r="B44" s="184">
        <v>6317</v>
      </c>
      <c r="C44" s="174" t="s">
        <v>35</v>
      </c>
      <c r="D44" s="176" t="s">
        <v>81</v>
      </c>
      <c r="E44" s="178" t="s">
        <v>79</v>
      </c>
      <c r="F44" s="180"/>
      <c r="G44" s="106"/>
      <c r="H44" s="107"/>
      <c r="I44" s="98"/>
      <c r="J44" s="99"/>
      <c r="K44" s="186"/>
    </row>
    <row r="45" spans="1:11" ht="26.25" thickBot="1" x14ac:dyDescent="0.25">
      <c r="A45" s="171"/>
      <c r="B45" s="185"/>
      <c r="C45" s="175"/>
      <c r="D45" s="177"/>
      <c r="E45" s="179"/>
      <c r="F45" s="181"/>
      <c r="G45" s="102"/>
      <c r="H45" s="103"/>
      <c r="I45" s="104"/>
      <c r="J45" s="115"/>
      <c r="K45" s="187"/>
    </row>
    <row r="46" spans="1:11" ht="26.25" customHeight="1" x14ac:dyDescent="0.2">
      <c r="A46" s="170" t="s">
        <v>30</v>
      </c>
      <c r="B46" s="184">
        <v>3832</v>
      </c>
      <c r="C46" s="174" t="s">
        <v>34</v>
      </c>
      <c r="D46" s="176" t="s">
        <v>78</v>
      </c>
      <c r="E46" s="178" t="s">
        <v>79</v>
      </c>
      <c r="F46" s="180"/>
      <c r="G46" s="107"/>
      <c r="H46" s="107"/>
      <c r="I46" s="98"/>
      <c r="J46" s="99"/>
      <c r="K46" s="165"/>
    </row>
    <row r="47" spans="1:11" ht="26.25" thickBot="1" x14ac:dyDescent="0.25">
      <c r="A47" s="171"/>
      <c r="B47" s="185"/>
      <c r="C47" s="175"/>
      <c r="D47" s="177"/>
      <c r="E47" s="179"/>
      <c r="F47" s="181"/>
      <c r="G47" s="103"/>
      <c r="H47" s="103"/>
      <c r="I47" s="104"/>
      <c r="J47" s="115"/>
      <c r="K47" s="166"/>
    </row>
    <row r="48" spans="1:11" ht="25.5" x14ac:dyDescent="0.2">
      <c r="A48" s="170" t="s">
        <v>99</v>
      </c>
      <c r="B48" s="184">
        <v>4172</v>
      </c>
      <c r="C48" s="174" t="s">
        <v>10</v>
      </c>
      <c r="D48" s="176" t="s">
        <v>78</v>
      </c>
      <c r="E48" s="178" t="s">
        <v>79</v>
      </c>
      <c r="F48" s="180"/>
      <c r="G48" s="107"/>
      <c r="H48" s="107"/>
      <c r="I48" s="98"/>
      <c r="J48" s="99"/>
      <c r="K48" s="186"/>
    </row>
    <row r="49" spans="1:13" ht="26.25" thickBot="1" x14ac:dyDescent="0.25">
      <c r="A49" s="171"/>
      <c r="B49" s="185"/>
      <c r="C49" s="175"/>
      <c r="D49" s="177"/>
      <c r="E49" s="179"/>
      <c r="F49" s="181"/>
      <c r="G49" s="103"/>
      <c r="H49" s="103"/>
      <c r="I49" s="104"/>
      <c r="J49" s="115"/>
      <c r="K49" s="187"/>
    </row>
    <row r="50" spans="1:13" ht="25.5" x14ac:dyDescent="0.2">
      <c r="A50" s="170" t="s">
        <v>20</v>
      </c>
      <c r="B50" s="172">
        <v>2</v>
      </c>
      <c r="C50" s="174" t="s">
        <v>28</v>
      </c>
      <c r="D50" s="176" t="s">
        <v>78</v>
      </c>
      <c r="E50" s="178" t="s">
        <v>84</v>
      </c>
      <c r="F50" s="180"/>
      <c r="G50" s="107"/>
      <c r="H50" s="107"/>
      <c r="I50" s="98"/>
      <c r="J50" s="99"/>
      <c r="K50" s="165"/>
    </row>
    <row r="51" spans="1:13" ht="26.25" thickBot="1" x14ac:dyDescent="0.25">
      <c r="A51" s="171"/>
      <c r="B51" s="173"/>
      <c r="C51" s="175"/>
      <c r="D51" s="177"/>
      <c r="E51" s="179"/>
      <c r="F51" s="181"/>
      <c r="G51" s="103"/>
      <c r="H51" s="103"/>
      <c r="I51" s="115"/>
      <c r="J51" s="115"/>
      <c r="K51" s="166"/>
    </row>
    <row r="52" spans="1:13" ht="25.5" x14ac:dyDescent="0.2">
      <c r="A52" s="170" t="s">
        <v>101</v>
      </c>
      <c r="B52" s="182">
        <v>6509</v>
      </c>
      <c r="C52" s="174" t="s">
        <v>102</v>
      </c>
      <c r="D52" s="176" t="s">
        <v>81</v>
      </c>
      <c r="E52" s="178" t="s">
        <v>79</v>
      </c>
      <c r="F52" s="180">
        <v>25</v>
      </c>
      <c r="G52" s="107">
        <v>25</v>
      </c>
      <c r="H52" s="107">
        <v>25</v>
      </c>
      <c r="I52" s="98" t="s">
        <v>112</v>
      </c>
      <c r="J52" s="99">
        <v>46600</v>
      </c>
      <c r="K52" s="165"/>
    </row>
    <row r="53" spans="1:13" ht="26.25" thickBot="1" x14ac:dyDescent="0.25">
      <c r="A53" s="171"/>
      <c r="B53" s="183"/>
      <c r="C53" s="175"/>
      <c r="D53" s="177"/>
      <c r="E53" s="179"/>
      <c r="F53" s="181"/>
      <c r="G53" s="103"/>
      <c r="H53" s="103"/>
      <c r="I53" s="115"/>
      <c r="J53" s="111"/>
      <c r="K53" s="166"/>
    </row>
    <row r="54" spans="1:13" s="118" customFormat="1" ht="25.5" customHeight="1" x14ac:dyDescent="0.2">
      <c r="A54" s="116"/>
      <c r="B54" s="167" t="s">
        <v>97</v>
      </c>
      <c r="C54" s="167"/>
      <c r="D54" s="167"/>
      <c r="E54" s="167"/>
      <c r="F54" s="167"/>
      <c r="G54" s="167"/>
      <c r="H54" s="167"/>
      <c r="I54" s="167"/>
      <c r="J54" s="167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69</v>
      </c>
      <c r="D56" s="128"/>
      <c r="E56" s="124"/>
      <c r="F56" s="122"/>
      <c r="G56" s="168" t="s">
        <v>70</v>
      </c>
      <c r="H56" s="168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69" t="s">
        <v>11</v>
      </c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M58" s="87" t="s">
        <v>0</v>
      </c>
    </row>
    <row r="59" spans="1:13" s="87" customFormat="1" ht="30" customHeight="1" x14ac:dyDescent="0.2">
      <c r="A59" s="130"/>
      <c r="B59" s="161"/>
      <c r="C59" s="161"/>
      <c r="D59" s="161"/>
      <c r="E59" s="161"/>
      <c r="F59" s="161"/>
      <c r="G59" s="161"/>
      <c r="H59" s="161"/>
      <c r="I59" s="161"/>
      <c r="J59" s="161"/>
      <c r="K59" s="131"/>
    </row>
    <row r="60" spans="1:13" s="87" customFormat="1" ht="30" customHeight="1" x14ac:dyDescent="0.2">
      <c r="A60" s="130"/>
      <c r="B60" s="161"/>
      <c r="C60" s="161"/>
      <c r="D60" s="161"/>
      <c r="E60" s="161"/>
      <c r="F60" s="161"/>
      <c r="G60" s="161"/>
      <c r="H60" s="161"/>
      <c r="I60" s="161"/>
      <c r="J60" s="161"/>
      <c r="K60" s="130"/>
      <c r="L60" s="130"/>
    </row>
    <row r="61" spans="1:13" s="87" customFormat="1" ht="30" customHeight="1" x14ac:dyDescent="0.2">
      <c r="A61" s="130"/>
      <c r="B61" s="161"/>
      <c r="C61" s="161"/>
      <c r="D61" s="161"/>
      <c r="E61" s="161"/>
      <c r="F61" s="161"/>
      <c r="G61" s="161"/>
      <c r="H61" s="161"/>
      <c r="I61" s="161"/>
      <c r="J61" s="161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20.100000000000001" customHeight="1" x14ac:dyDescent="0.2">
      <c r="A65" s="162" t="s">
        <v>96</v>
      </c>
      <c r="B65" s="162"/>
      <c r="C65" s="162"/>
      <c r="D65" s="139"/>
      <c r="E65" s="139"/>
      <c r="F65" s="140"/>
      <c r="G65" s="141"/>
      <c r="H65" s="163" t="s">
        <v>58</v>
      </c>
      <c r="I65" s="163"/>
      <c r="J65" s="163"/>
      <c r="K65" s="163"/>
      <c r="L65" s="142"/>
    </row>
    <row r="66" spans="1:12" s="86" customFormat="1" ht="20.100000000000001" customHeight="1" x14ac:dyDescent="0.2">
      <c r="A66" s="157" t="s">
        <v>72</v>
      </c>
      <c r="B66" s="157"/>
      <c r="C66" s="157"/>
      <c r="D66" s="140"/>
      <c r="E66" s="140"/>
      <c r="F66" s="140"/>
      <c r="G66" s="141"/>
      <c r="H66" s="157" t="s">
        <v>38</v>
      </c>
      <c r="I66" s="157"/>
      <c r="J66" s="157"/>
      <c r="K66" s="157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43"/>
      <c r="B71" s="143"/>
      <c r="C71" s="143"/>
      <c r="D71" s="144"/>
      <c r="E71" s="144"/>
      <c r="F71" s="145"/>
      <c r="G71" s="146"/>
      <c r="H71" s="164"/>
      <c r="I71" s="164"/>
      <c r="J71" s="164"/>
      <c r="K71" s="164"/>
      <c r="L71" s="147"/>
    </row>
    <row r="72" spans="1:12" s="87" customFormat="1" ht="18" customHeight="1" x14ac:dyDescent="0.2">
      <c r="A72" s="157" t="s">
        <v>86</v>
      </c>
      <c r="B72" s="157"/>
      <c r="C72" s="157"/>
      <c r="D72" s="144"/>
      <c r="E72" s="144"/>
      <c r="F72" s="145"/>
      <c r="G72" s="146"/>
      <c r="H72" s="158" t="s">
        <v>74</v>
      </c>
      <c r="I72" s="158"/>
      <c r="J72" s="158"/>
      <c r="K72" s="158"/>
      <c r="L72" s="147"/>
    </row>
    <row r="73" spans="1:12" s="87" customFormat="1" ht="30" customHeight="1" x14ac:dyDescent="0.2">
      <c r="A73" s="157" t="s">
        <v>73</v>
      </c>
      <c r="B73" s="157"/>
      <c r="C73" s="157"/>
      <c r="D73" s="140"/>
      <c r="E73" s="140"/>
      <c r="F73" s="139"/>
      <c r="G73" s="144"/>
      <c r="L73" s="147"/>
    </row>
    <row r="74" spans="1:12" s="79" customFormat="1" ht="30" customHeight="1" x14ac:dyDescent="0.2">
      <c r="A74" s="159"/>
      <c r="B74" s="159"/>
      <c r="C74" s="159"/>
      <c r="D74" s="136"/>
      <c r="E74" s="136"/>
      <c r="F74" s="148"/>
      <c r="G74" s="149"/>
      <c r="H74" s="149"/>
      <c r="I74" s="149"/>
      <c r="J74" s="149"/>
      <c r="K74" s="150"/>
      <c r="L74" s="151"/>
    </row>
    <row r="75" spans="1:12" s="79" customFormat="1" ht="30" customHeight="1" x14ac:dyDescent="0.2">
      <c r="B75" s="160"/>
      <c r="C75" s="160"/>
      <c r="D75" s="152"/>
      <c r="E75" s="152"/>
      <c r="G75" s="153"/>
      <c r="H75" s="153"/>
      <c r="I75" s="153"/>
      <c r="J75" s="153"/>
    </row>
    <row r="76" spans="1:12" s="79" customFormat="1" ht="30" customHeight="1" x14ac:dyDescent="0.2">
      <c r="G76" s="153"/>
      <c r="H76" s="153"/>
      <c r="I76" s="153"/>
      <c r="J76" s="153"/>
    </row>
    <row r="77" spans="1:12" s="79" customFormat="1" ht="30" customHeight="1" x14ac:dyDescent="0.2">
      <c r="G77" s="153"/>
      <c r="H77" s="153"/>
      <c r="I77" s="153"/>
      <c r="J77" s="153"/>
    </row>
    <row r="78" spans="1:12" s="79" customFormat="1" ht="30" customHeight="1" x14ac:dyDescent="0.2">
      <c r="G78" s="153"/>
      <c r="H78" s="153"/>
      <c r="I78" s="153"/>
      <c r="J78" s="153"/>
    </row>
    <row r="79" spans="1:12" s="79" customFormat="1" ht="30" customHeight="1" x14ac:dyDescent="0.2">
      <c r="G79" s="153"/>
      <c r="H79" s="153"/>
      <c r="I79" s="153"/>
      <c r="J79" s="153"/>
    </row>
    <row r="80" spans="1:12" s="79" customFormat="1" ht="30" customHeight="1" x14ac:dyDescent="0.2">
      <c r="G80" s="153"/>
      <c r="H80" s="153"/>
      <c r="I80" s="153"/>
      <c r="J80" s="153"/>
    </row>
    <row r="81" spans="7:10" s="79" customFormat="1" ht="30" customHeight="1" x14ac:dyDescent="0.2">
      <c r="G81" s="153"/>
      <c r="H81" s="153"/>
      <c r="I81" s="153"/>
      <c r="J81" s="153"/>
    </row>
    <row r="82" spans="7:10" s="79" customFormat="1" ht="30" customHeight="1" x14ac:dyDescent="0.2">
      <c r="G82" s="153"/>
      <c r="H82" s="153"/>
      <c r="I82" s="153"/>
      <c r="J82" s="153"/>
    </row>
    <row r="83" spans="7:10" s="79" customFormat="1" ht="30" customHeight="1" x14ac:dyDescent="0.2">
      <c r="G83" s="153"/>
      <c r="H83" s="153"/>
      <c r="I83" s="153"/>
      <c r="J83" s="153"/>
    </row>
    <row r="84" spans="7:10" s="79" customFormat="1" ht="30" customHeight="1" x14ac:dyDescent="0.2">
      <c r="G84" s="153"/>
      <c r="H84" s="153"/>
      <c r="I84" s="153"/>
      <c r="J84" s="153"/>
    </row>
    <row r="85" spans="7:10" s="79" customFormat="1" ht="30" customHeight="1" x14ac:dyDescent="0.2">
      <c r="G85" s="153"/>
      <c r="H85" s="153"/>
      <c r="I85" s="153"/>
      <c r="J85" s="153"/>
    </row>
    <row r="86" spans="7:10" s="79" customFormat="1" ht="30" customHeight="1" x14ac:dyDescent="0.2">
      <c r="G86" s="153"/>
      <c r="H86" s="153"/>
      <c r="I86" s="153"/>
      <c r="J86" s="153"/>
    </row>
    <row r="87" spans="7:10" s="79" customFormat="1" ht="30" customHeight="1" x14ac:dyDescent="0.2">
      <c r="H87" s="154"/>
    </row>
  </sheetData>
  <mergeCells count="174"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A73:C73"/>
    <mergeCell ref="H72:K72"/>
    <mergeCell ref="A74:C74"/>
    <mergeCell ref="B75:C75"/>
    <mergeCell ref="B61:J61"/>
    <mergeCell ref="A65:C65"/>
    <mergeCell ref="H65:K65"/>
    <mergeCell ref="A66:C66"/>
    <mergeCell ref="H66:K66"/>
    <mergeCell ref="A72:C72"/>
    <mergeCell ref="H71:K71"/>
  </mergeCells>
  <printOptions horizontalCentered="1" verticalCentered="1"/>
  <pageMargins left="3.937007874015748E-2" right="3.937007874015748E-2" top="0.19685039370078741" bottom="0.19685039370078741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H.G.</vt:lpstr>
      <vt:lpstr>N.H.G</vt:lpstr>
      <vt:lpstr>HENM</vt:lpstr>
      <vt:lpstr>H.G.!Área_de_impresión</vt:lpstr>
      <vt:lpstr>HENM!Área_de_impresión</vt:lpstr>
      <vt:lpstr>N.H.G!Área_de_impresión</vt:lpstr>
    </vt:vector>
  </TitlesOfParts>
  <Company>SESEQ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MIGUELL</dc:creator>
  <cp:lastModifiedBy>LESLIE ENCISO</cp:lastModifiedBy>
  <cp:lastPrinted>2026-09-07T19:25:31Z</cp:lastPrinted>
  <dcterms:created xsi:type="dcterms:W3CDTF">2013-03-21T18:12:10Z</dcterms:created>
  <dcterms:modified xsi:type="dcterms:W3CDTF">2026-09-07T20:10:23Z</dcterms:modified>
</cp:coreProperties>
</file>