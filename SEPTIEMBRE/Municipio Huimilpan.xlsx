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D9A1FABC-DAAC-41FD-AE88-7D64F2F8F4BF}" xr6:coauthVersionLast="47" xr6:coauthVersionMax="47" xr10:uidLastSave="{00000000-0000-0000-0000-000000000000}"/>
  <bookViews>
    <workbookView xWindow="-120" yWindow="-120" windowWidth="24240" windowHeight="13140" tabRatio="868" xr2:uid="{00000000-000D-0000-FFFF-FFFF00000000}"/>
  </bookViews>
  <sheets>
    <sheet name="APAPÁTARO" sheetId="45" r:id="rId1"/>
    <sheet name="HUIMILPAN" sheetId="55" r:id="rId2"/>
    <sheet name="CEJA DE BRAVO" sheetId="46" r:id="rId3"/>
    <sheet name="LOS CUES" sheetId="47" r:id="rId4"/>
    <sheet name="LAGUNILLAS" sheetId="48" r:id="rId5"/>
    <sheet name="EL MILAGRO" sheetId="49" r:id="rId6"/>
    <sheet name="LA NORIA" sheetId="50" r:id="rId7"/>
    <sheet name="SAN PEDRO H" sheetId="51" r:id="rId8"/>
    <sheet name="UMME EL VEGIL" sheetId="52" state="hidden" r:id="rId9"/>
    <sheet name="BUENAVISTA" sheetId="53" r:id="rId10"/>
    <sheet name="UMME MF2" sheetId="54" r:id="rId11"/>
    <sheet name="GENERAL" sheetId="44" r:id="rId12"/>
  </sheets>
  <definedNames>
    <definedName name="_xlnm.Print_Area" localSheetId="0">APAPÁTARO!$A$1:$P$87</definedName>
    <definedName name="_xlnm.Print_Area" localSheetId="9">BUENAVISTA!$A$1:$P$87</definedName>
    <definedName name="_xlnm.Print_Area" localSheetId="2">'CEJA DE BRAVO'!$A$1:$P$87</definedName>
    <definedName name="_xlnm.Print_Area" localSheetId="5">'EL MILAGRO'!$A$1:$P$87</definedName>
    <definedName name="_xlnm.Print_Area" localSheetId="11">GENERAL!$A$1:$P$87</definedName>
    <definedName name="_xlnm.Print_Area" localSheetId="1">HUIMILPAN!$A$1:$P$87</definedName>
    <definedName name="_xlnm.Print_Area" localSheetId="6">'LA NORIA'!$A$1:$P$87</definedName>
    <definedName name="_xlnm.Print_Area" localSheetId="4">LAGUNILLAS!$A$1:$P$87</definedName>
    <definedName name="_xlnm.Print_Area" localSheetId="3">'LOS CUES'!$A$1:$P$87</definedName>
    <definedName name="_xlnm.Print_Area" localSheetId="7">'SAN PEDRO H'!$A$1:$P$87</definedName>
    <definedName name="_xlnm.Print_Area" localSheetId="8">'UMME EL VEGIL'!$A$1:$P$87</definedName>
    <definedName name="_xlnm.Print_Area" localSheetId="10">'UMME MF2'!$A$1:$P$87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48" l="1"/>
  <c r="I52" i="48"/>
  <c r="J52" i="49"/>
  <c r="I52" i="49"/>
  <c r="J52" i="53"/>
  <c r="I52" i="53"/>
  <c r="J52" i="54"/>
  <c r="I52" i="54"/>
  <c r="J34" i="45" l="1"/>
  <c r="I34" i="45"/>
  <c r="J32" i="45"/>
  <c r="I32" i="45"/>
  <c r="J24" i="45"/>
  <c r="I24" i="45"/>
  <c r="I22" i="45"/>
  <c r="J38" i="55"/>
  <c r="I38" i="55"/>
  <c r="J36" i="55"/>
  <c r="I36" i="55"/>
  <c r="J34" i="55"/>
  <c r="I34" i="55"/>
  <c r="J30" i="55"/>
  <c r="I30" i="55"/>
  <c r="J28" i="55"/>
  <c r="I28" i="55"/>
  <c r="J24" i="55"/>
  <c r="I24" i="55"/>
  <c r="I22" i="55"/>
  <c r="J20" i="55"/>
  <c r="I20" i="55"/>
  <c r="J18" i="55"/>
  <c r="I18" i="55"/>
  <c r="J14" i="55"/>
  <c r="I14" i="55"/>
  <c r="J38" i="46"/>
  <c r="I38" i="46"/>
  <c r="J36" i="46"/>
  <c r="I36" i="46"/>
  <c r="J32" i="46"/>
  <c r="I32" i="46"/>
  <c r="J30" i="46"/>
  <c r="I30" i="46"/>
  <c r="J28" i="46"/>
  <c r="I28" i="46"/>
  <c r="J24" i="46"/>
  <c r="I24" i="46"/>
  <c r="I22" i="46"/>
  <c r="J20" i="46"/>
  <c r="I20" i="46"/>
  <c r="J30" i="47"/>
  <c r="I30" i="47"/>
  <c r="J28" i="47"/>
  <c r="I28" i="47"/>
  <c r="J36" i="48"/>
  <c r="I36" i="48"/>
  <c r="J28" i="48"/>
  <c r="I28" i="48"/>
  <c r="J24" i="48"/>
  <c r="I24" i="48"/>
  <c r="J32" i="49"/>
  <c r="I32" i="49"/>
  <c r="J28" i="49"/>
  <c r="I28" i="49"/>
  <c r="J24" i="49"/>
  <c r="I24" i="49"/>
  <c r="I22" i="49"/>
  <c r="J36" i="50"/>
  <c r="I36" i="50"/>
  <c r="J20" i="50"/>
  <c r="I20" i="50"/>
  <c r="J18" i="50"/>
  <c r="I18" i="50"/>
  <c r="J34" i="51"/>
  <c r="I34" i="51"/>
  <c r="J32" i="51"/>
  <c r="I32" i="51"/>
  <c r="J40" i="52"/>
  <c r="I40" i="52"/>
  <c r="J38" i="52"/>
  <c r="I38" i="52"/>
  <c r="J36" i="52"/>
  <c r="I36" i="52"/>
  <c r="J34" i="52"/>
  <c r="I34" i="52"/>
  <c r="J32" i="52"/>
  <c r="I32" i="52"/>
  <c r="J30" i="52"/>
  <c r="I30" i="52"/>
  <c r="J28" i="52"/>
  <c r="I28" i="52"/>
  <c r="J26" i="52"/>
  <c r="I26" i="52"/>
  <c r="J22" i="52"/>
  <c r="I22" i="52"/>
  <c r="J20" i="52"/>
  <c r="I20" i="52"/>
  <c r="J18" i="52"/>
  <c r="I18" i="52"/>
  <c r="J28" i="53"/>
  <c r="I28" i="53"/>
  <c r="J24" i="53"/>
  <c r="I24" i="53"/>
  <c r="I22" i="53"/>
  <c r="J34" i="54"/>
  <c r="I34" i="54"/>
  <c r="F14" i="44"/>
  <c r="J52" i="45"/>
  <c r="I52" i="45"/>
  <c r="J52" i="55"/>
  <c r="I52" i="55"/>
  <c r="J52" i="46"/>
  <c r="I52" i="46"/>
  <c r="J52" i="51"/>
  <c r="I52" i="51"/>
  <c r="H52" i="53"/>
  <c r="G52" i="53"/>
  <c r="F52" i="44"/>
  <c r="H52" i="44" s="1"/>
  <c r="H52" i="54"/>
  <c r="G52" i="54"/>
  <c r="H52" i="52"/>
  <c r="G52" i="52"/>
  <c r="H52" i="51"/>
  <c r="G52" i="51"/>
  <c r="H52" i="50"/>
  <c r="G52" i="50"/>
  <c r="H52" i="49"/>
  <c r="G52" i="49"/>
  <c r="H52" i="48"/>
  <c r="G52" i="48"/>
  <c r="H52" i="47"/>
  <c r="G52" i="47"/>
  <c r="H52" i="46"/>
  <c r="G52" i="46"/>
  <c r="H52" i="55"/>
  <c r="G52" i="55"/>
  <c r="H52" i="45"/>
  <c r="G52" i="45"/>
  <c r="G52" i="44" l="1"/>
  <c r="J51" i="55"/>
  <c r="I51" i="55"/>
  <c r="J50" i="55"/>
  <c r="I50" i="55"/>
  <c r="H50" i="55"/>
  <c r="G50" i="55"/>
  <c r="J49" i="55"/>
  <c r="I49" i="55"/>
  <c r="J48" i="55"/>
  <c r="I48" i="55"/>
  <c r="H48" i="55"/>
  <c r="G48" i="55"/>
  <c r="J47" i="55"/>
  <c r="I47" i="55"/>
  <c r="J46" i="55"/>
  <c r="I46" i="55"/>
  <c r="H46" i="55"/>
  <c r="G46" i="55"/>
  <c r="J45" i="55"/>
  <c r="I45" i="55"/>
  <c r="J44" i="55"/>
  <c r="I44" i="55"/>
  <c r="H44" i="55"/>
  <c r="G44" i="55"/>
  <c r="H42" i="55"/>
  <c r="G42" i="55"/>
  <c r="H40" i="55"/>
  <c r="G40" i="55"/>
  <c r="H38" i="55"/>
  <c r="G38" i="55"/>
  <c r="H36" i="55"/>
  <c r="G36" i="55"/>
  <c r="H34" i="55"/>
  <c r="G34" i="55"/>
  <c r="H32" i="55"/>
  <c r="G32" i="55"/>
  <c r="H30" i="55"/>
  <c r="G30" i="55"/>
  <c r="H28" i="55"/>
  <c r="G28" i="55"/>
  <c r="H26" i="55"/>
  <c r="G26" i="55"/>
  <c r="H24" i="55"/>
  <c r="G24" i="55"/>
  <c r="H22" i="55"/>
  <c r="G22" i="55"/>
  <c r="H20" i="55"/>
  <c r="G20" i="55"/>
  <c r="M18" i="55"/>
  <c r="H18" i="55"/>
  <c r="G18" i="55"/>
  <c r="M17" i="55"/>
  <c r="M16" i="55"/>
  <c r="J16" i="55"/>
  <c r="I16" i="55"/>
  <c r="H16" i="55"/>
  <c r="G16" i="55"/>
  <c r="M15" i="55"/>
  <c r="M14" i="55"/>
  <c r="H14" i="55"/>
  <c r="G14" i="55"/>
  <c r="H10" i="55"/>
  <c r="H8" i="55"/>
  <c r="J30" i="51"/>
  <c r="J14" i="51"/>
  <c r="H8" i="45"/>
  <c r="H8" i="47"/>
  <c r="H8" i="48"/>
  <c r="H8" i="49"/>
  <c r="H8" i="51"/>
  <c r="H8" i="53"/>
  <c r="H38" i="45" l="1"/>
  <c r="G38" i="45"/>
  <c r="J31" i="45"/>
  <c r="I31" i="45"/>
  <c r="J30" i="45"/>
  <c r="I30" i="45"/>
  <c r="J15" i="45"/>
  <c r="I15" i="45"/>
  <c r="J14" i="45"/>
  <c r="I14" i="45"/>
  <c r="J14" i="46"/>
  <c r="I14" i="46"/>
  <c r="H38" i="46"/>
  <c r="G38" i="46"/>
  <c r="H38" i="47"/>
  <c r="G38" i="47"/>
  <c r="J48" i="47"/>
  <c r="I48" i="47"/>
  <c r="J46" i="47"/>
  <c r="I46" i="47"/>
  <c r="I22" i="47"/>
  <c r="J14" i="47"/>
  <c r="I14" i="47"/>
  <c r="J34" i="48"/>
  <c r="I34" i="48"/>
  <c r="J30" i="48"/>
  <c r="I30" i="48"/>
  <c r="J14" i="48"/>
  <c r="I14" i="48"/>
  <c r="H38" i="48"/>
  <c r="G38" i="48"/>
  <c r="J31" i="49"/>
  <c r="I31" i="49"/>
  <c r="J30" i="49"/>
  <c r="I30" i="49"/>
  <c r="J15" i="49"/>
  <c r="I15" i="49"/>
  <c r="J14" i="49"/>
  <c r="I14" i="49"/>
  <c r="H38" i="49"/>
  <c r="G38" i="49"/>
  <c r="J14" i="50"/>
  <c r="J38" i="50"/>
  <c r="I38" i="50"/>
  <c r="H38" i="50"/>
  <c r="G38" i="50"/>
  <c r="H26" i="50"/>
  <c r="G26" i="50"/>
  <c r="H24" i="50"/>
  <c r="G24" i="50"/>
  <c r="H22" i="50"/>
  <c r="G22" i="50"/>
  <c r="H18" i="50"/>
  <c r="G18" i="50"/>
  <c r="J48" i="51"/>
  <c r="I48" i="51"/>
  <c r="J38" i="51"/>
  <c r="I38" i="51"/>
  <c r="H38" i="51"/>
  <c r="G38" i="51"/>
  <c r="J36" i="51"/>
  <c r="I36" i="51"/>
  <c r="H36" i="51"/>
  <c r="G36" i="51"/>
  <c r="G38" i="52"/>
  <c r="G36" i="52"/>
  <c r="H36" i="52"/>
  <c r="J48" i="52"/>
  <c r="I48" i="52"/>
  <c r="J24" i="52"/>
  <c r="I24" i="52"/>
  <c r="J16" i="52"/>
  <c r="I16" i="52"/>
  <c r="J14" i="52"/>
  <c r="I14" i="52"/>
  <c r="J48" i="53"/>
  <c r="I48" i="53"/>
  <c r="H48" i="53"/>
  <c r="G48" i="53"/>
  <c r="J38" i="53"/>
  <c r="I38" i="53"/>
  <c r="H38" i="53"/>
  <c r="G38" i="53"/>
  <c r="J36" i="53"/>
  <c r="I36" i="53"/>
  <c r="H36" i="53"/>
  <c r="G36" i="53"/>
  <c r="J30" i="53"/>
  <c r="I30" i="53"/>
  <c r="H30" i="53"/>
  <c r="G30" i="53"/>
  <c r="H26" i="53"/>
  <c r="G26" i="53"/>
  <c r="H24" i="53"/>
  <c r="G24" i="53"/>
  <c r="H22" i="53"/>
  <c r="G22" i="53"/>
  <c r="J18" i="53"/>
  <c r="I18" i="53"/>
  <c r="H18" i="53"/>
  <c r="G18" i="53"/>
  <c r="J14" i="53"/>
  <c r="I14" i="53"/>
  <c r="H14" i="53"/>
  <c r="G14" i="53"/>
  <c r="F28" i="44"/>
  <c r="H28" i="44" s="1"/>
  <c r="G14" i="44"/>
  <c r="F16" i="44"/>
  <c r="F18" i="44"/>
  <c r="F20" i="44"/>
  <c r="G20" i="44" s="1"/>
  <c r="F22" i="44"/>
  <c r="H22" i="44" s="1"/>
  <c r="F24" i="44"/>
  <c r="G24" i="44" s="1"/>
  <c r="F26" i="44"/>
  <c r="H26" i="44" s="1"/>
  <c r="F30" i="44"/>
  <c r="G30" i="44" s="1"/>
  <c r="F32" i="44"/>
  <c r="H32" i="44" s="1"/>
  <c r="F34" i="44"/>
  <c r="H34" i="44" s="1"/>
  <c r="F36" i="44"/>
  <c r="G36" i="44" s="1"/>
  <c r="F38" i="44"/>
  <c r="H38" i="44" s="1"/>
  <c r="F40" i="44"/>
  <c r="H40" i="44" s="1"/>
  <c r="F42" i="44"/>
  <c r="H42" i="44" s="1"/>
  <c r="F44" i="44"/>
  <c r="H44" i="44" s="1"/>
  <c r="F46" i="44"/>
  <c r="H46" i="44" s="1"/>
  <c r="F48" i="44"/>
  <c r="H48" i="44" s="1"/>
  <c r="F50" i="44"/>
  <c r="H50" i="44" s="1"/>
  <c r="J51" i="45"/>
  <c r="I51" i="45"/>
  <c r="J50" i="45"/>
  <c r="I50" i="45"/>
  <c r="J49" i="45"/>
  <c r="I49" i="45"/>
  <c r="J48" i="45"/>
  <c r="I48" i="45"/>
  <c r="J47" i="45"/>
  <c r="I47" i="45"/>
  <c r="J46" i="45"/>
  <c r="I46" i="45"/>
  <c r="J45" i="45"/>
  <c r="I45" i="45"/>
  <c r="J44" i="45"/>
  <c r="I44" i="45"/>
  <c r="J43" i="45"/>
  <c r="I43" i="45"/>
  <c r="J42" i="45"/>
  <c r="I42" i="45"/>
  <c r="J35" i="45"/>
  <c r="I35" i="45"/>
  <c r="J29" i="45"/>
  <c r="I29" i="45"/>
  <c r="J28" i="45"/>
  <c r="I28" i="45"/>
  <c r="J21" i="45"/>
  <c r="I21" i="45"/>
  <c r="J20" i="45"/>
  <c r="I20" i="45"/>
  <c r="J19" i="45"/>
  <c r="I19" i="45"/>
  <c r="J18" i="45"/>
  <c r="I18" i="45"/>
  <c r="J17" i="45"/>
  <c r="I17" i="45"/>
  <c r="J16" i="45"/>
  <c r="I16" i="45"/>
  <c r="J51" i="46"/>
  <c r="I51" i="46"/>
  <c r="J50" i="46"/>
  <c r="I50" i="46"/>
  <c r="J49" i="46"/>
  <c r="I49" i="46"/>
  <c r="J48" i="46"/>
  <c r="I48" i="46"/>
  <c r="J47" i="46"/>
  <c r="I47" i="46"/>
  <c r="J46" i="46"/>
  <c r="I46" i="46"/>
  <c r="J45" i="46"/>
  <c r="I45" i="46"/>
  <c r="J44" i="46"/>
  <c r="I44" i="46"/>
  <c r="J43" i="46"/>
  <c r="I43" i="46"/>
  <c r="J42" i="46"/>
  <c r="I42" i="46"/>
  <c r="J51" i="47"/>
  <c r="I51" i="47"/>
  <c r="J50" i="47"/>
  <c r="I50" i="47"/>
  <c r="J44" i="47"/>
  <c r="I44" i="47"/>
  <c r="J38" i="47"/>
  <c r="I38" i="47"/>
  <c r="J37" i="47"/>
  <c r="I37" i="47"/>
  <c r="J36" i="47"/>
  <c r="I36" i="47"/>
  <c r="J33" i="47"/>
  <c r="I33" i="47"/>
  <c r="J32" i="47"/>
  <c r="I32" i="47"/>
  <c r="J31" i="47"/>
  <c r="I31" i="47"/>
  <c r="J27" i="47"/>
  <c r="I27" i="47"/>
  <c r="J24" i="47"/>
  <c r="I24" i="47"/>
  <c r="J23" i="47"/>
  <c r="I23" i="47"/>
  <c r="J21" i="47"/>
  <c r="I21" i="47"/>
  <c r="J20" i="47"/>
  <c r="I20" i="47"/>
  <c r="J15" i="47"/>
  <c r="I15" i="47"/>
  <c r="J51" i="48"/>
  <c r="I51" i="48"/>
  <c r="J50" i="48"/>
  <c r="I50" i="48"/>
  <c r="J49" i="48"/>
  <c r="I49" i="48"/>
  <c r="J48" i="48"/>
  <c r="I48" i="48"/>
  <c r="J47" i="48"/>
  <c r="I47" i="48"/>
  <c r="J46" i="48"/>
  <c r="I46" i="48"/>
  <c r="J45" i="48"/>
  <c r="I45" i="48"/>
  <c r="J44" i="48"/>
  <c r="I44" i="48"/>
  <c r="J43" i="48"/>
  <c r="I43" i="48"/>
  <c r="J42" i="48"/>
  <c r="I42" i="48"/>
  <c r="J41" i="48"/>
  <c r="I41" i="48"/>
  <c r="J40" i="48"/>
  <c r="I40" i="48"/>
  <c r="J39" i="48"/>
  <c r="I39" i="48"/>
  <c r="J38" i="48"/>
  <c r="I38" i="48"/>
  <c r="J33" i="48"/>
  <c r="I33" i="48"/>
  <c r="J32" i="48"/>
  <c r="I32" i="48"/>
  <c r="J31" i="48"/>
  <c r="I31" i="48"/>
  <c r="J21" i="48"/>
  <c r="I21" i="48"/>
  <c r="J20" i="48"/>
  <c r="I20" i="48"/>
  <c r="J19" i="48"/>
  <c r="I19" i="48"/>
  <c r="J18" i="48"/>
  <c r="I18" i="48"/>
  <c r="J17" i="48"/>
  <c r="I17" i="48"/>
  <c r="J16" i="48"/>
  <c r="I16" i="48"/>
  <c r="J51" i="49"/>
  <c r="I51" i="49"/>
  <c r="J50" i="49"/>
  <c r="I50" i="49"/>
  <c r="J49" i="49"/>
  <c r="I49" i="49"/>
  <c r="J48" i="49"/>
  <c r="I48" i="49"/>
  <c r="J47" i="49"/>
  <c r="I47" i="49"/>
  <c r="J46" i="49"/>
  <c r="I46" i="49"/>
  <c r="J45" i="49"/>
  <c r="I45" i="49"/>
  <c r="J44" i="49"/>
  <c r="I44" i="49"/>
  <c r="J43" i="49"/>
  <c r="I43" i="49"/>
  <c r="J42" i="49"/>
  <c r="I42" i="49"/>
  <c r="J39" i="49"/>
  <c r="I39" i="49"/>
  <c r="J38" i="49"/>
  <c r="I38" i="49"/>
  <c r="J37" i="49"/>
  <c r="I37" i="49"/>
  <c r="J36" i="49"/>
  <c r="I36" i="49"/>
  <c r="J29" i="49"/>
  <c r="I29" i="49"/>
  <c r="J21" i="49"/>
  <c r="I21" i="49"/>
  <c r="J20" i="49"/>
  <c r="I20" i="49"/>
  <c r="J19" i="49"/>
  <c r="I19" i="49"/>
  <c r="J18" i="49"/>
  <c r="I18" i="49"/>
  <c r="J17" i="49"/>
  <c r="I17" i="49"/>
  <c r="J16" i="49"/>
  <c r="I16" i="49"/>
  <c r="J39" i="50"/>
  <c r="I39" i="50"/>
  <c r="J37" i="50"/>
  <c r="I37" i="50"/>
  <c r="J35" i="50"/>
  <c r="I35" i="50"/>
  <c r="J33" i="50"/>
  <c r="I33" i="50"/>
  <c r="J32" i="50"/>
  <c r="I32" i="50"/>
  <c r="J31" i="50"/>
  <c r="I31" i="50"/>
  <c r="J30" i="50"/>
  <c r="I30" i="50"/>
  <c r="J29" i="50"/>
  <c r="I29" i="50"/>
  <c r="J28" i="50"/>
  <c r="I28" i="50"/>
  <c r="J21" i="50"/>
  <c r="I21" i="50"/>
  <c r="J17" i="50"/>
  <c r="I17" i="50"/>
  <c r="J16" i="50"/>
  <c r="I16" i="50"/>
  <c r="J15" i="50"/>
  <c r="I15" i="50"/>
  <c r="J51" i="51"/>
  <c r="I51" i="51"/>
  <c r="J50" i="51"/>
  <c r="I50" i="51"/>
  <c r="J46" i="51"/>
  <c r="I46" i="51"/>
  <c r="J45" i="51"/>
  <c r="I45" i="51"/>
  <c r="J44" i="51"/>
  <c r="I44" i="51"/>
  <c r="J43" i="51"/>
  <c r="I43" i="51"/>
  <c r="J42" i="51"/>
  <c r="I42" i="51"/>
  <c r="J41" i="51"/>
  <c r="I41" i="51"/>
  <c r="J40" i="51"/>
  <c r="I40" i="51"/>
  <c r="J39" i="51"/>
  <c r="I39" i="51"/>
  <c r="J37" i="51"/>
  <c r="I37" i="51"/>
  <c r="J31" i="51"/>
  <c r="I31" i="51"/>
  <c r="I30" i="51"/>
  <c r="J29" i="51"/>
  <c r="I29" i="51"/>
  <c r="J28" i="51"/>
  <c r="I28" i="51"/>
  <c r="J25" i="51"/>
  <c r="I25" i="51"/>
  <c r="J24" i="51"/>
  <c r="I24" i="51"/>
  <c r="J21" i="51"/>
  <c r="I21" i="51"/>
  <c r="J20" i="51"/>
  <c r="I20" i="51"/>
  <c r="J15" i="51"/>
  <c r="I15" i="51"/>
  <c r="J51" i="52"/>
  <c r="I51" i="52"/>
  <c r="J50" i="52"/>
  <c r="I50" i="52"/>
  <c r="J46" i="52"/>
  <c r="I46" i="52"/>
  <c r="J45" i="52"/>
  <c r="I45" i="52"/>
  <c r="J44" i="52"/>
  <c r="I44" i="52"/>
  <c r="J43" i="52"/>
  <c r="I43" i="52"/>
  <c r="J42" i="52"/>
  <c r="I42" i="52"/>
  <c r="J51" i="53"/>
  <c r="I51" i="53"/>
  <c r="J50" i="53"/>
  <c r="I50" i="53"/>
  <c r="J47" i="53"/>
  <c r="I47" i="53"/>
  <c r="J46" i="53"/>
  <c r="I46" i="53"/>
  <c r="J45" i="53"/>
  <c r="I45" i="53"/>
  <c r="J44" i="53"/>
  <c r="I44" i="53"/>
  <c r="J43" i="53"/>
  <c r="I43" i="53"/>
  <c r="J42" i="53"/>
  <c r="I42" i="53"/>
  <c r="J37" i="53"/>
  <c r="I37" i="53"/>
  <c r="J35" i="53"/>
  <c r="I35" i="53"/>
  <c r="J34" i="53"/>
  <c r="I34" i="53"/>
  <c r="J33" i="53"/>
  <c r="I33" i="53"/>
  <c r="J31" i="53"/>
  <c r="I31" i="53"/>
  <c r="J21" i="53"/>
  <c r="I21" i="53"/>
  <c r="J20" i="53"/>
  <c r="I20" i="53"/>
  <c r="J19" i="53"/>
  <c r="I19" i="53"/>
  <c r="J17" i="53"/>
  <c r="I17" i="53"/>
  <c r="J16" i="53"/>
  <c r="I16" i="53"/>
  <c r="J15" i="53"/>
  <c r="I15" i="53"/>
  <c r="J51" i="54"/>
  <c r="I51" i="54"/>
  <c r="J50" i="54"/>
  <c r="I50" i="54"/>
  <c r="J49" i="54"/>
  <c r="I49" i="54"/>
  <c r="J48" i="54"/>
  <c r="I48" i="54"/>
  <c r="J47" i="54"/>
  <c r="I47" i="54"/>
  <c r="J46" i="54"/>
  <c r="I46" i="54"/>
  <c r="J45" i="54"/>
  <c r="I45" i="54"/>
  <c r="J27" i="54"/>
  <c r="I27" i="54"/>
  <c r="J26" i="54"/>
  <c r="I26" i="54"/>
  <c r="J25" i="54"/>
  <c r="I25" i="54"/>
  <c r="J24" i="54"/>
  <c r="I24" i="54"/>
  <c r="J21" i="54"/>
  <c r="I21" i="54"/>
  <c r="J20" i="54"/>
  <c r="I20" i="54"/>
  <c r="J19" i="54"/>
  <c r="I19" i="54"/>
  <c r="J14" i="54"/>
  <c r="H50" i="46"/>
  <c r="G50" i="46"/>
  <c r="H50" i="47"/>
  <c r="G50" i="47"/>
  <c r="H50" i="48"/>
  <c r="G50" i="48"/>
  <c r="H50" i="49"/>
  <c r="G50" i="49"/>
  <c r="H50" i="50"/>
  <c r="G50" i="50"/>
  <c r="H50" i="51"/>
  <c r="G50" i="51"/>
  <c r="H50" i="52"/>
  <c r="G50" i="52"/>
  <c r="H50" i="53"/>
  <c r="G50" i="53"/>
  <c r="H50" i="54"/>
  <c r="G50" i="54"/>
  <c r="H50" i="45"/>
  <c r="G50" i="45"/>
  <c r="H48" i="46"/>
  <c r="G48" i="46"/>
  <c r="H48" i="47"/>
  <c r="G48" i="47"/>
  <c r="H48" i="48"/>
  <c r="G48" i="48"/>
  <c r="H48" i="49"/>
  <c r="G48" i="49"/>
  <c r="H48" i="50"/>
  <c r="G48" i="50"/>
  <c r="H48" i="51"/>
  <c r="G48" i="51"/>
  <c r="H48" i="52"/>
  <c r="G48" i="52"/>
  <c r="H48" i="54"/>
  <c r="G48" i="54"/>
  <c r="H48" i="45"/>
  <c r="G48" i="45"/>
  <c r="H46" i="46"/>
  <c r="G46" i="46"/>
  <c r="H46" i="47"/>
  <c r="G46" i="47"/>
  <c r="H46" i="48"/>
  <c r="G46" i="48"/>
  <c r="H46" i="49"/>
  <c r="G46" i="49"/>
  <c r="H46" i="50"/>
  <c r="G46" i="50"/>
  <c r="H46" i="51"/>
  <c r="G46" i="51"/>
  <c r="H46" i="52"/>
  <c r="G46" i="52"/>
  <c r="H46" i="53"/>
  <c r="G46" i="53"/>
  <c r="H46" i="54"/>
  <c r="G46" i="54"/>
  <c r="H46" i="45"/>
  <c r="G46" i="45"/>
  <c r="H44" i="46"/>
  <c r="G44" i="46"/>
  <c r="H44" i="47"/>
  <c r="G44" i="47"/>
  <c r="H44" i="48"/>
  <c r="G44" i="48"/>
  <c r="H44" i="49"/>
  <c r="G44" i="49"/>
  <c r="H44" i="50"/>
  <c r="G44" i="50"/>
  <c r="H44" i="51"/>
  <c r="G44" i="51"/>
  <c r="H44" i="52"/>
  <c r="G44" i="52"/>
  <c r="H44" i="53"/>
  <c r="G44" i="53"/>
  <c r="H44" i="54"/>
  <c r="G44" i="54"/>
  <c r="H44" i="45"/>
  <c r="G44" i="45"/>
  <c r="H42" i="46"/>
  <c r="G42" i="46"/>
  <c r="H42" i="47"/>
  <c r="G42" i="47"/>
  <c r="H42" i="48"/>
  <c r="G42" i="48"/>
  <c r="H42" i="49"/>
  <c r="G42" i="49"/>
  <c r="H42" i="50"/>
  <c r="G42" i="50"/>
  <c r="H42" i="51"/>
  <c r="G42" i="51"/>
  <c r="H42" i="52"/>
  <c r="G42" i="52"/>
  <c r="H42" i="53"/>
  <c r="G42" i="53"/>
  <c r="H42" i="54"/>
  <c r="G42" i="54"/>
  <c r="H42" i="45"/>
  <c r="G42" i="45"/>
  <c r="H40" i="46"/>
  <c r="G40" i="46"/>
  <c r="H40" i="47"/>
  <c r="G40" i="47"/>
  <c r="H40" i="48"/>
  <c r="G40" i="48"/>
  <c r="H40" i="49"/>
  <c r="G40" i="49"/>
  <c r="H40" i="50"/>
  <c r="G40" i="50"/>
  <c r="H40" i="51"/>
  <c r="G40" i="51"/>
  <c r="H40" i="52"/>
  <c r="G40" i="52"/>
  <c r="H40" i="53"/>
  <c r="G40" i="53"/>
  <c r="H40" i="54"/>
  <c r="G40" i="54"/>
  <c r="H40" i="45"/>
  <c r="G40" i="45"/>
  <c r="H38" i="52"/>
  <c r="H38" i="54"/>
  <c r="G38" i="54"/>
  <c r="H36" i="46"/>
  <c r="G36" i="46"/>
  <c r="H36" i="47"/>
  <c r="G36" i="47"/>
  <c r="H36" i="48"/>
  <c r="G36" i="48"/>
  <c r="H36" i="49"/>
  <c r="G36" i="49"/>
  <c r="H36" i="50"/>
  <c r="G36" i="50"/>
  <c r="H36" i="54"/>
  <c r="G36" i="54"/>
  <c r="H36" i="45"/>
  <c r="G36" i="45"/>
  <c r="H34" i="46"/>
  <c r="G34" i="46"/>
  <c r="H34" i="47"/>
  <c r="G34" i="47"/>
  <c r="H34" i="48"/>
  <c r="G34" i="48"/>
  <c r="H34" i="49"/>
  <c r="G34" i="49"/>
  <c r="H34" i="50"/>
  <c r="G34" i="50"/>
  <c r="H34" i="51"/>
  <c r="G34" i="51"/>
  <c r="H34" i="52"/>
  <c r="G34" i="52"/>
  <c r="H34" i="53"/>
  <c r="G34" i="53"/>
  <c r="H34" i="54"/>
  <c r="G34" i="54"/>
  <c r="H34" i="45"/>
  <c r="G34" i="45"/>
  <c r="H32" i="46"/>
  <c r="G32" i="46"/>
  <c r="H32" i="47"/>
  <c r="G32" i="47"/>
  <c r="H32" i="48"/>
  <c r="G32" i="48"/>
  <c r="H32" i="49"/>
  <c r="G32" i="49"/>
  <c r="H32" i="50"/>
  <c r="G32" i="50"/>
  <c r="H32" i="51"/>
  <c r="G32" i="51"/>
  <c r="H32" i="52"/>
  <c r="G32" i="52"/>
  <c r="H32" i="53"/>
  <c r="G32" i="53"/>
  <c r="H32" i="54"/>
  <c r="G32" i="54"/>
  <c r="H32" i="45"/>
  <c r="G32" i="45"/>
  <c r="H30" i="46"/>
  <c r="G30" i="46"/>
  <c r="H30" i="47"/>
  <c r="G30" i="47"/>
  <c r="H30" i="48"/>
  <c r="G30" i="48"/>
  <c r="H30" i="49"/>
  <c r="G30" i="49"/>
  <c r="H30" i="50"/>
  <c r="G30" i="50"/>
  <c r="H30" i="51"/>
  <c r="G30" i="51"/>
  <c r="H30" i="52"/>
  <c r="G30" i="52"/>
  <c r="H30" i="54"/>
  <c r="G30" i="54"/>
  <c r="H30" i="45"/>
  <c r="G30" i="45"/>
  <c r="H28" i="46"/>
  <c r="G28" i="46"/>
  <c r="H28" i="47"/>
  <c r="G28" i="47"/>
  <c r="H28" i="48"/>
  <c r="G28" i="48"/>
  <c r="H28" i="49"/>
  <c r="G28" i="49"/>
  <c r="H28" i="50"/>
  <c r="G28" i="50"/>
  <c r="H28" i="51"/>
  <c r="G28" i="51"/>
  <c r="H28" i="52"/>
  <c r="G28" i="52"/>
  <c r="H28" i="53"/>
  <c r="G28" i="53"/>
  <c r="H28" i="54"/>
  <c r="G28" i="54"/>
  <c r="H28" i="45"/>
  <c r="G28" i="45"/>
  <c r="H26" i="46"/>
  <c r="G26" i="46"/>
  <c r="H26" i="47"/>
  <c r="G26" i="47"/>
  <c r="H26" i="48"/>
  <c r="G26" i="48"/>
  <c r="H26" i="49"/>
  <c r="G26" i="49"/>
  <c r="H26" i="51"/>
  <c r="G26" i="51"/>
  <c r="H26" i="52"/>
  <c r="G26" i="52"/>
  <c r="H26" i="54"/>
  <c r="G26" i="54"/>
  <c r="H26" i="45"/>
  <c r="G26" i="45"/>
  <c r="H24" i="46"/>
  <c r="G24" i="46"/>
  <c r="H24" i="47"/>
  <c r="G24" i="47"/>
  <c r="H24" i="48"/>
  <c r="G24" i="48"/>
  <c r="H24" i="49"/>
  <c r="G24" i="49"/>
  <c r="H24" i="51"/>
  <c r="G24" i="51"/>
  <c r="H24" i="52"/>
  <c r="G24" i="52"/>
  <c r="H24" i="54"/>
  <c r="G24" i="54"/>
  <c r="H24" i="45"/>
  <c r="G24" i="45"/>
  <c r="H22" i="46"/>
  <c r="G22" i="46"/>
  <c r="H22" i="47"/>
  <c r="G22" i="47"/>
  <c r="H22" i="48"/>
  <c r="G22" i="48"/>
  <c r="H22" i="49"/>
  <c r="G22" i="49"/>
  <c r="H22" i="51"/>
  <c r="G22" i="51"/>
  <c r="H22" i="52"/>
  <c r="G22" i="52"/>
  <c r="H22" i="54"/>
  <c r="G22" i="54"/>
  <c r="H22" i="45"/>
  <c r="G22" i="45"/>
  <c r="H20" i="46"/>
  <c r="G20" i="46"/>
  <c r="H20" i="47"/>
  <c r="G20" i="47"/>
  <c r="H20" i="48"/>
  <c r="G20" i="48"/>
  <c r="H20" i="49"/>
  <c r="G20" i="49"/>
  <c r="H20" i="50"/>
  <c r="G20" i="50"/>
  <c r="H20" i="51"/>
  <c r="G20" i="51"/>
  <c r="H20" i="52"/>
  <c r="G20" i="52"/>
  <c r="H20" i="53"/>
  <c r="G20" i="53"/>
  <c r="H20" i="54"/>
  <c r="G20" i="54"/>
  <c r="H20" i="45"/>
  <c r="G20" i="45"/>
  <c r="H18" i="46"/>
  <c r="G18" i="46"/>
  <c r="H18" i="47"/>
  <c r="G18" i="47"/>
  <c r="H18" i="48"/>
  <c r="G18" i="48"/>
  <c r="H18" i="49"/>
  <c r="G18" i="49"/>
  <c r="H18" i="51"/>
  <c r="G18" i="51"/>
  <c r="H18" i="52"/>
  <c r="G18" i="52"/>
  <c r="H18" i="54"/>
  <c r="G18" i="54"/>
  <c r="H18" i="45"/>
  <c r="G18" i="45"/>
  <c r="H16" i="46"/>
  <c r="G16" i="46"/>
  <c r="H16" i="47"/>
  <c r="G16" i="47"/>
  <c r="H16" i="48"/>
  <c r="G16" i="48"/>
  <c r="H16" i="49"/>
  <c r="G16" i="49"/>
  <c r="H16" i="50"/>
  <c r="G16" i="50"/>
  <c r="H16" i="51"/>
  <c r="G16" i="51"/>
  <c r="H16" i="52"/>
  <c r="G16" i="52"/>
  <c r="H16" i="53"/>
  <c r="G16" i="53"/>
  <c r="H16" i="54"/>
  <c r="G16" i="54"/>
  <c r="H16" i="45"/>
  <c r="G16" i="45"/>
  <c r="H14" i="46"/>
  <c r="H14" i="47"/>
  <c r="H14" i="48"/>
  <c r="H14" i="49"/>
  <c r="H14" i="50"/>
  <c r="H14" i="51"/>
  <c r="H14" i="52"/>
  <c r="H14" i="54"/>
  <c r="H14" i="45"/>
  <c r="G14" i="46"/>
  <c r="G14" i="47"/>
  <c r="G14" i="48"/>
  <c r="G14" i="49"/>
  <c r="G14" i="50"/>
  <c r="G14" i="51"/>
  <c r="G14" i="52"/>
  <c r="G14" i="54"/>
  <c r="G14" i="45"/>
  <c r="H10" i="45"/>
  <c r="H10" i="48"/>
  <c r="H10" i="49"/>
  <c r="H10" i="51"/>
  <c r="M15" i="44"/>
  <c r="M17" i="44"/>
  <c r="G18" i="44" l="1"/>
  <c r="H16" i="44"/>
  <c r="G40" i="44"/>
  <c r="G34" i="44"/>
  <c r="G16" i="44"/>
  <c r="H18" i="44"/>
  <c r="G42" i="44"/>
  <c r="G28" i="44"/>
  <c r="G44" i="44"/>
  <c r="H30" i="44"/>
  <c r="G46" i="44"/>
  <c r="H20" i="44"/>
  <c r="H36" i="44"/>
  <c r="G22" i="44"/>
  <c r="H24" i="44"/>
  <c r="G32" i="44"/>
  <c r="G48" i="44"/>
  <c r="G26" i="44"/>
  <c r="G38" i="44"/>
  <c r="G50" i="44"/>
  <c r="H14" i="44"/>
  <c r="M16" i="44"/>
  <c r="M18" i="44"/>
  <c r="M14" i="44"/>
  <c r="M18" i="54"/>
  <c r="M17" i="54"/>
  <c r="M16" i="54"/>
  <c r="M15" i="54"/>
  <c r="M14" i="54"/>
  <c r="H10" i="54"/>
  <c r="H8" i="54"/>
  <c r="M18" i="53"/>
  <c r="M17" i="53"/>
  <c r="M16" i="53"/>
  <c r="M15" i="53"/>
  <c r="M14" i="53"/>
  <c r="H10" i="53"/>
  <c r="M18" i="52"/>
  <c r="M17" i="52"/>
  <c r="M16" i="52"/>
  <c r="M15" i="52"/>
  <c r="M14" i="52"/>
  <c r="H10" i="52"/>
  <c r="H8" i="52"/>
  <c r="M18" i="51"/>
  <c r="M17" i="51"/>
  <c r="M16" i="51"/>
  <c r="M15" i="51"/>
  <c r="M14" i="51"/>
  <c r="M18" i="50"/>
  <c r="M17" i="50"/>
  <c r="M16" i="50"/>
  <c r="M15" i="50"/>
  <c r="M14" i="50"/>
  <c r="H10" i="50"/>
  <c r="H8" i="50"/>
  <c r="M18" i="49"/>
  <c r="M17" i="49"/>
  <c r="M16" i="49"/>
  <c r="M15" i="49"/>
  <c r="M14" i="49"/>
  <c r="M18" i="48"/>
  <c r="M17" i="48"/>
  <c r="M16" i="48"/>
  <c r="M15" i="48"/>
  <c r="M14" i="48"/>
  <c r="M18" i="47"/>
  <c r="M17" i="47"/>
  <c r="M16" i="47"/>
  <c r="M15" i="47"/>
  <c r="M14" i="47"/>
  <c r="H10" i="47"/>
  <c r="M18" i="46"/>
  <c r="M17" i="46"/>
  <c r="M16" i="46"/>
  <c r="M15" i="46"/>
  <c r="M14" i="46"/>
  <c r="H10" i="46"/>
  <c r="H8" i="46"/>
  <c r="M18" i="45"/>
  <c r="M17" i="45"/>
  <c r="M16" i="45"/>
  <c r="M15" i="45"/>
  <c r="M14" i="45"/>
  <c r="I14" i="50"/>
  <c r="I14" i="51"/>
  <c r="I14" i="54"/>
</calcChain>
</file>

<file path=xl/sharedStrings.xml><?xml version="1.0" encoding="utf-8"?>
<sst xmlns="http://schemas.openxmlformats.org/spreadsheetml/2006/main" count="1595" uniqueCount="131">
  <si>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</si>
  <si>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</si>
  <si>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</si>
  <si>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</si>
  <si>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</si>
  <si>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</si>
  <si>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</si>
  <si>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</si>
  <si>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</si>
  <si>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</si>
  <si>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</si>
  <si>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</si>
  <si>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</si>
  <si>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</si>
  <si>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</si>
  <si>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</si>
  <si>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</si>
  <si>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</si>
  <si>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</si>
  <si>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</si>
  <si>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</si>
  <si>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</si>
  <si>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</si>
  <si>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</si>
  <si>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</si>
  <si>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</si>
  <si>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</si>
  <si>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</si>
  <si>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</si>
  <si>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</si>
  <si>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</si>
  <si>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</si>
  <si>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</si>
  <si>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</si>
  <si>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</si>
  <si>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</si>
  <si>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25311.020-000-0146-00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</si>
  <si>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</si>
  <si>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</si>
  <si>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</si>
  <si>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</si>
  <si>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</si>
  <si>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</si>
  <si>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</si>
  <si>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</si>
  <si>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</si>
  <si>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</si>
  <si>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</si>
  <si>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>25311.020-000-3808-00</t>
  </si>
  <si>
    <t>25311.020-000-3822-01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</si>
  <si>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</si>
  <si>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</si>
  <si>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</si>
  <si>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</si>
  <si>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</si>
  <si>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</si>
  <si>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</si>
  <si>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</si>
  <si>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</si>
  <si>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</si>
  <si>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</si>
  <si>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</si>
  <si>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</si>
  <si>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</si>
  <si>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</si>
  <si>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</si>
  <si>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t>TEMPERATURA A LA RECEPCIÓN:</t>
  </si>
  <si>
    <t>FECHA DE  RECEPCIÓN: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</si>
  <si>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</si>
  <si>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</si>
  <si>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</si>
  <si>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</si>
  <si>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</si>
  <si>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</si>
  <si>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</si>
  <si>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</si>
  <si>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</si>
  <si>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</si>
  <si>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</si>
  <si>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</si>
  <si>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</si>
  <si>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JURISDICCIÓN SANITARIA N.1</t>
  </si>
  <si>
    <t>C.S APAPÁTARO</t>
  </si>
  <si>
    <t>C.S CEJA DE BRAVO</t>
  </si>
  <si>
    <t>C.S LOS CUES</t>
  </si>
  <si>
    <t>C.S LAGUNILLAS</t>
  </si>
  <si>
    <t>C.S EL MILAGRO</t>
  </si>
  <si>
    <t>C.S LA NORIA</t>
  </si>
  <si>
    <t>C.S SAN PEDRO HUIMILPAN</t>
  </si>
  <si>
    <t>C.S BUENAVISTA</t>
  </si>
  <si>
    <t>MUNICIPIO HUIMILPAN</t>
  </si>
  <si>
    <t>Boulevard Metropolitano km 10, Apapataro, Huimilpan.</t>
  </si>
  <si>
    <t>Juan Pablo II #24, Ceja de Bravo, Huimilpan.</t>
  </si>
  <si>
    <t>Gomez Morín S/N, Lagunillas, Huimilpan.</t>
  </si>
  <si>
    <t xml:space="preserve">Belisario Dominguez Esquina Francisco Villa S/N, El Milagro, Huimilpan. </t>
  </si>
  <si>
    <t>31 de Enero S/N, San Pedro Huimilpan.</t>
  </si>
  <si>
    <t>Carretera Buenavista, Taponas S/N, Buenavista. Huimilpan.</t>
  </si>
  <si>
    <t xml:space="preserve">Tequisquiapan Esquina Cadereyta S/N, La Noria, Huimilpan. </t>
  </si>
  <si>
    <t>25311.020-000-0150-05</t>
  </si>
  <si>
    <t>25311.020-000-0146-03</t>
  </si>
  <si>
    <t>Ignacio Zaragoza S/N, Los Cues, Huimilpan</t>
  </si>
  <si>
    <t xml:space="preserve">                        </t>
  </si>
  <si>
    <t>25311.020-000-3808-02</t>
  </si>
  <si>
    <t>L.E LIZBETH URIBE PANTOJA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</si>
  <si>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</si>
  <si>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ENF. ALMA DELIA HERNÁNDEZ ESQUIVEL</t>
  </si>
  <si>
    <t>UMME MÉDICO FARMACIA 2</t>
  </si>
  <si>
    <t>UMME EL VEGIL</t>
  </si>
  <si>
    <t>LIC. LESLIE LÓPEZ ENCISO</t>
  </si>
  <si>
    <t>25311.020-000-6317-01</t>
  </si>
  <si>
    <t>Reforma N.587, Josefina Becerril, Huimilpan</t>
  </si>
  <si>
    <t>C.S HUIMILPAN</t>
  </si>
  <si>
    <t>25311.020-000-6501-02</t>
  </si>
  <si>
    <t>25311.020-000-6187-00</t>
  </si>
  <si>
    <t>VACUNA HEPATITIS A UNIDOSIS</t>
  </si>
  <si>
    <t>25311.020-000-6056-00</t>
  </si>
  <si>
    <t>25311.020-000-6509-01</t>
  </si>
  <si>
    <t>VACUNA VRS</t>
  </si>
  <si>
    <t>SEPTIEMBRE</t>
  </si>
  <si>
    <t>LC5884</t>
  </si>
  <si>
    <t>AROLE168AH</t>
  </si>
  <si>
    <t>Y3C48D1</t>
  </si>
  <si>
    <t>AHAVC215AA</t>
  </si>
  <si>
    <t>0125N120A</t>
  </si>
  <si>
    <t>0374MA108</t>
  </si>
  <si>
    <t>2825Q001A</t>
  </si>
  <si>
    <t>AC37B542BD</t>
  </si>
  <si>
    <t>2805X003A</t>
  </si>
  <si>
    <t>0135N027B</t>
  </si>
  <si>
    <t>MK3145</t>
  </si>
  <si>
    <t>25311.020-000-3825-01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</si>
</sst>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20" x14ac:knownFonts="1">
    <font>
      <sz val="10"/>
      <name val="Arial"/>
    </font>
    <font>
      <sz val="10"/>
      <name val="Arial"/>
      <family val="2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right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/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0" fontId="6" fillId="0" borderId="0" xfId="0" applyFont="1" applyAlignment="1">
      <alignment wrapText="1"/>
    </xf>
    <xf numFmtId="0" fontId="5" fillId="0" borderId="4" xfId="0" applyFont="1" applyBorder="1" applyAlignment="1">
      <alignment vertical="center"/>
    </xf>
    <xf numFmtId="0" fontId="4" fillId="0" borderId="0" xfId="0" applyFont="1"/>
    <xf numFmtId="0" fontId="7" fillId="2" borderId="13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3" fontId="6" fillId="0" borderId="5" xfId="1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7" fontId="6" fillId="0" borderId="5" xfId="1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17" fontId="6" fillId="0" borderId="3" xfId="1" applyNumberFormat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17" fontId="6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12" fillId="0" borderId="6" xfId="1" applyNumberFormat="1" applyFont="1" applyBorder="1" applyAlignment="1">
      <alignment horizontal="center" vertical="center" wrapText="1"/>
    </xf>
    <xf numFmtId="3" fontId="12" fillId="0" borderId="3" xfId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1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17" fontId="8" fillId="0" borderId="0" xfId="0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14" fontId="6" fillId="0" borderId="24" xfId="1" applyNumberFormat="1" applyFont="1" applyBorder="1" applyAlignment="1">
      <alignment horizontal="center" vertical="center" wrapText="1"/>
    </xf>
    <xf numFmtId="14" fontId="6" fillId="0" borderId="12" xfId="1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3" fontId="10" fillId="0" borderId="14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4" fontId="6" fillId="0" borderId="21" xfId="1" applyNumberFormat="1" applyFont="1" applyBorder="1" applyAlignment="1">
      <alignment horizontal="center" vertical="center" wrapText="1"/>
    </xf>
    <xf numFmtId="14" fontId="6" fillId="0" borderId="22" xfId="1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" fontId="6" fillId="0" borderId="21" xfId="0" applyNumberFormat="1" applyFont="1" applyBorder="1" applyAlignment="1">
      <alignment horizontal="center" vertical="center"/>
    </xf>
    <xf numFmtId="17" fontId="6" fillId="0" borderId="22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1" fontId="13" fillId="0" borderId="18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1" fontId="9" fillId="0" borderId="14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15" fillId="0" borderId="17" xfId="0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wrapText="1"/>
    </xf>
    <xf numFmtId="3" fontId="5" fillId="0" borderId="14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wrapText="1"/>
    </xf>
    <xf numFmtId="15" fontId="6" fillId="0" borderId="5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84B263-F365-4EC7-90EC-44B784C80B8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63500</xdr:rowOff>
    </xdr:from>
    <xdr:to>
      <xdr:col>2</xdr:col>
      <xdr:colOff>1048855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1E57DF5-1587-4412-A2C7-51D11A1EC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17319</xdr:colOff>
      <xdr:row>0</xdr:row>
      <xdr:rowOff>34636</xdr:rowOff>
    </xdr:from>
    <xdr:to>
      <xdr:col>10</xdr:col>
      <xdr:colOff>2669014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5033D-9CA7-4567-974B-65667A4CD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3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076610CE-1F8E-47B0-B137-508AF3CE17E7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D21F52E8-2932-4C44-B532-786DA09A0CE8}"/>
            </a:ext>
          </a:extLst>
        </xdr:cNvPr>
        <xdr:cNvSpPr txBox="1"/>
      </xdr:nvSpPr>
      <xdr:spPr>
        <a:xfrm>
          <a:off x="34924" y="252621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85BA55CA-162A-40D0-87DF-B649A92D7819}"/>
            </a:ext>
          </a:extLst>
        </xdr:cNvPr>
        <xdr:cNvSpPr txBox="1"/>
      </xdr:nvSpPr>
      <xdr:spPr>
        <a:xfrm>
          <a:off x="16103882" y="252430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63500</xdr:rowOff>
    </xdr:from>
    <xdr:to>
      <xdr:col>2</xdr:col>
      <xdr:colOff>1001230</xdr:colOff>
      <xdr:row>4</xdr:row>
      <xdr:rowOff>375576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F3B1B9-7906-4C90-93EC-D0EBB3B8F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534463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34638</xdr:rowOff>
    </xdr:from>
    <xdr:to>
      <xdr:col>10</xdr:col>
      <xdr:colOff>2669012</xdr:colOff>
      <xdr:row>4</xdr:row>
      <xdr:rowOff>346365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583882-9BB4-427C-A1E8-0A8AC4AAA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8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9152C22-C898-4D5D-9AE0-8A569C6987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42FEDF0-E194-4D70-9AAA-0D4C92B4373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7FD4D13-1553-4F3D-AB0F-E13E362596E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63500</xdr:rowOff>
    </xdr:from>
    <xdr:to>
      <xdr:col>2</xdr:col>
      <xdr:colOff>1001230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991B27B-D56C-4762-835E-F0926380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34634</xdr:colOff>
      <xdr:row>0</xdr:row>
      <xdr:rowOff>34636</xdr:rowOff>
    </xdr:from>
    <xdr:to>
      <xdr:col>11</xdr:col>
      <xdr:colOff>2011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724910-A438-48A2-B6A9-6FECC8DED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8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</xdr:col>
      <xdr:colOff>1017105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2660B8C-3591-4841-A29B-713C6F97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34637</xdr:rowOff>
    </xdr:from>
    <xdr:to>
      <xdr:col>11</xdr:col>
      <xdr:colOff>2013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09D76-9A5A-4F5D-A272-FFF0C5160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BEA7FF3-EF7F-44EC-AF0B-6357B9B8CD3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293866D-00A2-41B6-8690-67222113200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E5C22A9-96E7-43F1-A961-F737EA98AEB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</xdr:col>
      <xdr:colOff>1017105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70BFC6-3985-400C-8508-E0E45D86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DD33D6-46E9-47E4-90AC-4FBBF213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F29E8F0-3119-4895-8D2F-EB4AFCD114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79375</xdr:colOff>
      <xdr:row>0</xdr:row>
      <xdr:rowOff>63500</xdr:rowOff>
    </xdr:from>
    <xdr:to>
      <xdr:col>2</xdr:col>
      <xdr:colOff>1032980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12D817-AF53-409C-8BE6-D430D572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17315</xdr:colOff>
      <xdr:row>0</xdr:row>
      <xdr:rowOff>34636</xdr:rowOff>
    </xdr:from>
    <xdr:to>
      <xdr:col>10</xdr:col>
      <xdr:colOff>2669010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E3836D-B711-4B3F-830D-CF0C9560F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79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BFFC83C-D502-433A-9108-5FE781BFF56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797DC20-7688-44D0-8BE2-FBB9EDEF92A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54F1B3-DCDD-42AE-BB35-9AF816A0F60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47625</xdr:rowOff>
    </xdr:from>
    <xdr:to>
      <xdr:col>2</xdr:col>
      <xdr:colOff>1017105</xdr:colOff>
      <xdr:row>4</xdr:row>
      <xdr:rowOff>359701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707CBC-57C6-4B33-9592-8982C8DB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5366855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4BAF68-01A8-478B-9BF3-1BB16E6A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63500</xdr:rowOff>
    </xdr:from>
    <xdr:to>
      <xdr:col>2</xdr:col>
      <xdr:colOff>1001230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DE45A8F-ED94-472F-A0DB-817F07F1A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D7FDC-68CF-45BD-922E-DD717B46D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146B493-BF6C-41D2-B871-A982315536E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42B3CB8-59E0-44CF-A258-198ED31276A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0BB8FA-F722-4C3C-8F82-D67AAC71FFC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63500</xdr:rowOff>
    </xdr:from>
    <xdr:to>
      <xdr:col>2</xdr:col>
      <xdr:colOff>1001230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B0F7727-1B9D-45D5-A921-6A564629D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631E1-7BFF-4B88-90A0-62D10EF72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897F5BE-F5CD-44FE-85D8-518B5B59720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D0A74E7-F082-44A0-8484-C556CF9A74E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8DDCE92-9DCB-492A-96E0-91F8A524B7B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63500</xdr:colOff>
      <xdr:row>0</xdr:row>
      <xdr:rowOff>79375</xdr:rowOff>
    </xdr:from>
    <xdr:to>
      <xdr:col>2</xdr:col>
      <xdr:colOff>1017105</xdr:colOff>
      <xdr:row>5</xdr:row>
      <xdr:rowOff>10451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D7D9C1-4AFB-49CA-A48C-45EC05587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937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51955</xdr:rowOff>
    </xdr:from>
    <xdr:to>
      <xdr:col>10</xdr:col>
      <xdr:colOff>2669012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60C0B-9CCD-4E87-BF1D-B30DD31B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5"/>
          <a:ext cx="6375104" cy="1835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ED7049D-6EE1-4CD3-A80C-E7F4C55600F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AD22042-A2DE-46B0-8C55-CF7510EAD76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C2BB5E-FB97-42C7-8F8D-605B6696436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</xdr:col>
      <xdr:colOff>1017105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E903A6-546A-41AF-9D11-F2397C27B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85660-22A2-4F8C-B8EC-E75A8DD2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958851B-991A-4666-AD28-024455BB803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70F8214-93D2-4F88-93B0-C515472C07D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2D8C97-0EAB-47CA-B721-3CB6F07BD85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                    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</xdr:col>
      <xdr:colOff>1017105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7257A4-ECB2-46F8-8683-377BFF71E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34635</xdr:colOff>
      <xdr:row>0</xdr:row>
      <xdr:rowOff>51954</xdr:rowOff>
    </xdr:from>
    <xdr:to>
      <xdr:col>11</xdr:col>
      <xdr:colOff>2012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EACD6F-50CC-4893-A591-AE82F1F1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9" y="51954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7"/>
  <sheetViews>
    <sheetView tabSelected="1" view="pageBreakPreview" topLeftCell="A4" zoomScale="55" zoomScaleNormal="50" zoomScaleSheetLayoutView="55" workbookViewId="0">
      <selection activeCell="C24" sqref="C24:C25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82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91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31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34" t="str">
        <f>IF(GENERAL!J15=0," ",GENERAL!J15)</f>
        <v xml:space="preserve"> </v>
      </c>
      <c r="K15" s="97"/>
      <c r="M15" s="25">
        <f>SUM((F44/3)*20+F20)</f>
        <v>20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10</v>
      </c>
      <c r="G16" s="30">
        <f>IF(F16=0," ",F16)</f>
        <v>10</v>
      </c>
      <c r="H16" s="31">
        <f>IF(F16=0," ",F16)</f>
        <v>10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10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 t="str">
        <f>IF(GENERAL!I17=0," ",GENERAL!I17)</f>
        <v xml:space="preserve"> </v>
      </c>
      <c r="J17" s="34" t="str">
        <f>IF(GENERAL!J17=0," ",GENERAL!J17)</f>
        <v xml:space="preserve"> </v>
      </c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10</v>
      </c>
      <c r="G18" s="30">
        <f>IF(F18=0," ",F18)</f>
        <v>10</v>
      </c>
      <c r="H18" s="31">
        <f>IF(F18=0," ",F18)</f>
        <v>10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40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 t="str">
        <f>IF(GENERAL!I19=0," ",GENERAL!I19)</f>
        <v xml:space="preserve"> </v>
      </c>
      <c r="J19" s="34" t="str">
        <f>IF(GENERAL!J19=0," ",GENERAL!J19)</f>
        <v xml:space="preserve"> </v>
      </c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20</v>
      </c>
      <c r="G20" s="30">
        <f>IF(F20=0," ",F20)</f>
        <v>20</v>
      </c>
      <c r="H20" s="31">
        <f>IF(F20=0," ",F20)</f>
        <v>20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1</v>
      </c>
      <c r="G22" s="30">
        <f>IF(F22=0," ",F22)</f>
        <v>1</v>
      </c>
      <c r="H22" s="31">
        <f>IF(F22=0," ",F22)</f>
        <v>1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4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10</v>
      </c>
      <c r="G24" s="30">
        <f>IF(F24=0," ",F24)</f>
        <v>10</v>
      </c>
      <c r="H24" s="31">
        <f>IF(F24=0," ",F24)</f>
        <v>10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4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4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4</v>
      </c>
      <c r="G28" s="30">
        <f>IF(F28=0," ",F28)</f>
        <v>4</v>
      </c>
      <c r="H28" s="31">
        <f>IF(F28=0," ",F28)</f>
        <v>4</v>
      </c>
      <c r="I28" s="32" t="str">
        <f>IF(GENERAL!I28=0," ",GENERAL!I28)</f>
        <v>0374MA108</v>
      </c>
      <c r="J28" s="36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 t="str">
        <f>IF(GENERAL!I29=0," ",GENERAL!I29)</f>
        <v xml:space="preserve"> </v>
      </c>
      <c r="J29" s="35" t="str">
        <f>IF(GENERAL!J29=0," ",GENERAL!J29)</f>
        <v xml:space="preserve"> </v>
      </c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4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3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4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20</v>
      </c>
      <c r="G34" s="30">
        <f>IF(F34=0," ",F34)</f>
        <v>20</v>
      </c>
      <c r="H34" s="31">
        <f>IF(F34=0," ",F34)</f>
        <v>20</v>
      </c>
      <c r="I34" s="32" t="str">
        <f>IF(GENERAL!I34=0," ",GENERAL!I34)</f>
        <v>AC37B542BD</v>
      </c>
      <c r="J34" s="33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 t="str">
        <f>IF(GENERAL!I35=0," ",GENERAL!I35)</f>
        <v xml:space="preserve"> </v>
      </c>
      <c r="J35" s="37" t="str">
        <f>IF(GENERAL!J35=0," ",GENERAL!J35)</f>
        <v xml:space="preserve"> </v>
      </c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/>
      <c r="G36" s="30" t="str">
        <f>IF(F36=0," ",F36)</f>
        <v xml:space="preserve"> </v>
      </c>
      <c r="H36" s="31" t="str">
        <f>IF(F36=0," ",F36)</f>
        <v xml:space="preserve"> </v>
      </c>
      <c r="I36" s="32"/>
      <c r="J36" s="33"/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4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/>
      <c r="J38" s="36"/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15</v>
      </c>
      <c r="G52" s="31">
        <f>IF(F52=0," ",F52)</f>
        <v>15</v>
      </c>
      <c r="H52" s="31">
        <f>IF(F52=0," ",F52)</f>
        <v>15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91AD-AD96-49BF-A6AD-57D92C38069B}">
  <sheetPr>
    <tabColor rgb="FF002060"/>
  </sheetPr>
  <dimension ref="A1:P87"/>
  <sheetViews>
    <sheetView view="pageBreakPreview" zoomScale="55" zoomScaleNormal="50" zoomScaleSheetLayoutView="55" workbookViewId="0">
      <selection activeCell="J43" sqref="J43:J44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111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110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16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/>
      <c r="J15" s="29"/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20</v>
      </c>
      <c r="G16" s="30">
        <f>IF(F16=0," ",F16)</f>
        <v>20</v>
      </c>
      <c r="H16" s="31">
        <f>IF(F16=0," ",F16)</f>
        <v>20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5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15</v>
      </c>
      <c r="G18" s="30">
        <f>IF(F18=0," ",F18)</f>
        <v>15</v>
      </c>
      <c r="H18" s="31">
        <f>IF(F18=0," ",F18)</f>
        <v>15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/>
      <c r="J21" s="29"/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1</v>
      </c>
      <c r="G22" s="30">
        <f>IF(F22=0," ",F22)</f>
        <v>1</v>
      </c>
      <c r="H22" s="31">
        <f>IF(F22=0," ",F22)</f>
        <v>1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5</v>
      </c>
      <c r="G24" s="30">
        <f>IF(F24=0," ",F24)</f>
        <v>5</v>
      </c>
      <c r="H24" s="31">
        <f>IF(F24=0," ",F24)</f>
        <v>5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/>
      <c r="J31" s="35"/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/>
      <c r="G32" s="30" t="str">
        <f>IF(F32=0," ",F32)</f>
        <v xml:space="preserve"> </v>
      </c>
      <c r="H32" s="31" t="str">
        <f>IF(F32=0," ",F32)</f>
        <v xml:space="preserve"> </v>
      </c>
      <c r="I32" s="32"/>
      <c r="J32" s="33"/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7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5</v>
      </c>
      <c r="G34" s="30">
        <f>IF(F34=0," ",F34)</f>
        <v>5</v>
      </c>
      <c r="H34" s="31">
        <f>IF(F34=0," ",F34)</f>
        <v>5</v>
      </c>
      <c r="I34" s="32" t="str">
        <f>IF(GENERAL!I34=0," ",GENERAL!I34)</f>
        <v>AC37B542BD</v>
      </c>
      <c r="J34" s="33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3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7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3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3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/>
      <c r="J42" s="33"/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/>
      <c r="J43" s="35"/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9778-4677-47D4-9F3E-07D8D24E489F}">
  <dimension ref="A1:P87"/>
  <sheetViews>
    <sheetView view="pageBreakPreview" zoomScale="55" zoomScaleNormal="50" zoomScaleSheetLayoutView="55" workbookViewId="0">
      <selection activeCell="I39" sqref="I39:J41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83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92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21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/>
      <c r="J15" s="29"/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/>
      <c r="G16" s="30" t="str">
        <f>IF(F16=0," ",F16)</f>
        <v xml:space="preserve"> </v>
      </c>
      <c r="H16" s="31" t="str">
        <f>IF(F16=0," ",F16)</f>
        <v xml:space="preserve"> </v>
      </c>
      <c r="I16" s="32"/>
      <c r="J16" s="33"/>
      <c r="K16" s="110"/>
      <c r="M16" s="25">
        <f>SUM(F24)</f>
        <v>5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/>
      <c r="G18" s="30" t="str">
        <f>IF(F18=0," ",F18)</f>
        <v xml:space="preserve"> </v>
      </c>
      <c r="H18" s="31" t="str">
        <f>IF(F18=0," ",F18)</f>
        <v xml:space="preserve"> </v>
      </c>
      <c r="I18" s="32"/>
      <c r="J18" s="33"/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/>
      <c r="J21" s="29"/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1</v>
      </c>
      <c r="G22" s="30">
        <f>IF(F22=0," ",F22)</f>
        <v>1</v>
      </c>
      <c r="H22" s="31">
        <f>IF(F22=0," ",F22)</f>
        <v>1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5</v>
      </c>
      <c r="G24" s="30">
        <f>IF(F24=0," ",F24)</f>
        <v>5</v>
      </c>
      <c r="H24" s="31">
        <f>IF(F24=0," ",F24)</f>
        <v>5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/>
      <c r="J31" s="35"/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3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7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/>
      <c r="G34" s="30" t="str">
        <f>IF(F34=0," ",F34)</f>
        <v xml:space="preserve"> </v>
      </c>
      <c r="H34" s="31" t="str">
        <f>IF(F34=0," ",F34)</f>
        <v xml:space="preserve"> </v>
      </c>
      <c r="I34" s="32"/>
      <c r="J34" s="33"/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3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7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3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3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7"/>
  <sheetViews>
    <sheetView view="pageBreakPreview" zoomScale="55" zoomScaleNormal="50" zoomScaleSheetLayoutView="55" workbookViewId="0">
      <selection activeCell="I39" sqref="I39:J43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84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100</v>
      </c>
      <c r="C10" s="149"/>
      <c r="D10" s="149"/>
      <c r="E10" s="12"/>
      <c r="F10" s="9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36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21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29" t="str">
        <f>IF(GENERAL!J15=0," ",GENERAL!J15)</f>
        <v xml:space="preserve"> </v>
      </c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/>
      <c r="G16" s="30" t="str">
        <f>IF(F16=0," ",F16)</f>
        <v xml:space="preserve"> </v>
      </c>
      <c r="H16" s="31" t="str">
        <f>IF(F16=0," ",F16)</f>
        <v xml:space="preserve"> </v>
      </c>
      <c r="I16" s="32"/>
      <c r="J16" s="33"/>
      <c r="K16" s="110"/>
      <c r="M16" s="25">
        <f>SUM(F24)</f>
        <v>5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/>
      <c r="G18" s="30" t="str">
        <f>IF(F18=0," ",F18)</f>
        <v xml:space="preserve"> </v>
      </c>
      <c r="H18" s="31" t="str">
        <f>IF(F18=0," ",F18)</f>
        <v xml:space="preserve"> </v>
      </c>
      <c r="I18" s="32"/>
      <c r="J18" s="33"/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1</v>
      </c>
      <c r="G22" s="30">
        <f>IF(F22=0," ",F22)</f>
        <v>1</v>
      </c>
      <c r="H22" s="31">
        <f>IF(F22=0," ",F22)</f>
        <v>1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 t="str">
        <f>IF(GENERAL!I23=0," ",GENERAL!I23)</f>
        <v xml:space="preserve"> </v>
      </c>
      <c r="J23" s="35" t="str">
        <f>IF(GENERAL!J23=0," ",GENERAL!J23)</f>
        <v xml:space="preserve"> </v>
      </c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5</v>
      </c>
      <c r="G24" s="30">
        <f>IF(F24=0," ",F24)</f>
        <v>5</v>
      </c>
      <c r="H24" s="31">
        <f>IF(F24=0," ",F24)</f>
        <v>5</v>
      </c>
      <c r="I24" s="32" t="str">
        <f>IF(GENERAL!I24=0," ",GENERAL!I24)</f>
        <v>AHAVC215AA</v>
      </c>
      <c r="J24" s="36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 t="str">
        <f>IF(GENERAL!I27=0," ",GENERAL!I27)</f>
        <v xml:space="preserve"> </v>
      </c>
      <c r="J27" s="37" t="str">
        <f>IF(GENERAL!J27=0," ",GENERAL!J27)</f>
        <v xml:space="preserve"> </v>
      </c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5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6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 t="str">
        <f>IF(GENERAL!I33=0," ",GENERAL!I33)</f>
        <v xml:space="preserve"> </v>
      </c>
      <c r="J33" s="37" t="str">
        <f>IF(GENERAL!J33=0," ",GENERAL!J33)</f>
        <v xml:space="preserve"> </v>
      </c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/>
      <c r="G34" s="30" t="str">
        <f>IF(F34=0," ",F34)</f>
        <v xml:space="preserve"> </v>
      </c>
      <c r="H34" s="31" t="str">
        <f>IF(F34=0," ",F34)</f>
        <v xml:space="preserve"> </v>
      </c>
      <c r="I34" s="32"/>
      <c r="J34" s="33"/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6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 t="str">
        <f>IF(GENERAL!I37=0," ",GENERAL!I37)</f>
        <v xml:space="preserve"> </v>
      </c>
      <c r="J37" s="37" t="str">
        <f>IF(GENERAL!J37=0," ",GENERAL!J37)</f>
        <v xml:space="preserve"> </v>
      </c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6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/>
      <c r="J42" s="36"/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/>
      <c r="J43" s="35"/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/>
      <c r="J45" s="35"/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3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/>
      <c r="J47" s="35"/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3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/>
      <c r="J49" s="35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/>
      <c r="G52" s="31" t="str">
        <f>IF(F52=0," ",F52)</f>
        <v xml:space="preserve"> </v>
      </c>
      <c r="H52" s="31" t="str">
        <f>IF(F52=0," ",F52)</f>
        <v xml:space="preserve"> </v>
      </c>
      <c r="I52" s="40"/>
      <c r="J52" s="36"/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683-8039-4EAC-9551-773C18D6B0F3}">
  <dimension ref="A1:P87"/>
  <sheetViews>
    <sheetView view="pageBreakPreview" zoomScale="55" zoomScaleNormal="50" zoomScaleSheetLayoutView="55" workbookViewId="0">
      <selection activeCell="J48" sqref="J48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85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93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33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/>
      <c r="J15" s="29"/>
      <c r="K15" s="97"/>
      <c r="M15" s="25">
        <f>SUM((F44/3)*20+F20)</f>
        <v>20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20</v>
      </c>
      <c r="G16" s="30">
        <f>IF(F16=0," ",F16)</f>
        <v>20</v>
      </c>
      <c r="H16" s="31">
        <f>IF(F16=0," ",F16)</f>
        <v>20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10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 t="str">
        <f>IF(GENERAL!I17=0," ",GENERAL!I17)</f>
        <v xml:space="preserve"> </v>
      </c>
      <c r="J17" s="34" t="str">
        <f>IF(GENERAL!J17=0," ",GENERAL!J17)</f>
        <v xml:space="preserve"> </v>
      </c>
      <c r="K17" s="97"/>
      <c r="M17" s="25">
        <f>SUM(F26+F40)</f>
        <v>20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10</v>
      </c>
      <c r="G18" s="30">
        <f>IF(F18=0," ",F18)</f>
        <v>10</v>
      </c>
      <c r="H18" s="31">
        <f>IF(F18=0," ",F18)</f>
        <v>10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 t="str">
        <f>IF(GENERAL!I19=0," ",GENERAL!I19)</f>
        <v xml:space="preserve"> </v>
      </c>
      <c r="J19" s="34" t="str">
        <f>IF(GENERAL!J19=0," ",GENERAL!J19)</f>
        <v xml:space="preserve"> </v>
      </c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20</v>
      </c>
      <c r="G20" s="30">
        <f>IF(F20=0," ",F20)</f>
        <v>20</v>
      </c>
      <c r="H20" s="31">
        <f>IF(F20=0," ",F20)</f>
        <v>20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/>
      <c r="G22" s="30" t="str">
        <f>IF(F22=0," ",F22)</f>
        <v xml:space="preserve"> </v>
      </c>
      <c r="H22" s="31" t="str">
        <f>IF(F22=0," ",F22)</f>
        <v xml:space="preserve"> </v>
      </c>
      <c r="I22" s="32"/>
      <c r="J22" s="33"/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10</v>
      </c>
      <c r="G24" s="30">
        <f>IF(F24=0," ",F24)</f>
        <v>10</v>
      </c>
      <c r="H24" s="31">
        <f>IF(F24=0," ",F24)</f>
        <v>10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5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6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 t="str">
        <f>IF(GENERAL!I33=0," ",GENERAL!I33)</f>
        <v xml:space="preserve"> </v>
      </c>
      <c r="J33" s="37" t="str">
        <f>IF(GENERAL!J33=0," ",GENERAL!J33)</f>
        <v xml:space="preserve"> </v>
      </c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3</v>
      </c>
      <c r="G34" s="30">
        <f>IF(F34=0," ",F34)</f>
        <v>3</v>
      </c>
      <c r="H34" s="31">
        <f>IF(F34=0," ",F34)</f>
        <v>3</v>
      </c>
      <c r="I34" s="32" t="str">
        <f>IF(GENERAL!I34=0," ",GENERAL!I34)</f>
        <v>AC37B542BD</v>
      </c>
      <c r="J34" s="33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2</v>
      </c>
      <c r="G36" s="30">
        <f>IF(F36=0," ",F36)</f>
        <v>2</v>
      </c>
      <c r="H36" s="31">
        <f>IF(F36=0," ",F36)</f>
        <v>2</v>
      </c>
      <c r="I36" s="32" t="str">
        <f>IF(GENERAL!I36=0," ",GENERAL!I36)</f>
        <v>2805X003A</v>
      </c>
      <c r="J36" s="33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7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6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 t="str">
        <f>IF(GENERAL!I39=0," ",GENERAL!I39)</f>
        <v xml:space="preserve"> </v>
      </c>
      <c r="J39" s="35" t="str">
        <f>IF(GENERAL!J39=0," ",GENERAL!J39)</f>
        <v xml:space="preserve"> </v>
      </c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>
        <v>20</v>
      </c>
      <c r="G40" s="30">
        <f>IF(F40=0," ",F40)</f>
        <v>20</v>
      </c>
      <c r="H40" s="31">
        <f>IF(F40=0," ",F40)</f>
        <v>20</v>
      </c>
      <c r="I40" s="32" t="str">
        <f>IF(GENERAL!I40=0," ",GENERAL!I40)</f>
        <v>0135N027B</v>
      </c>
      <c r="J40" s="36">
        <f>IF(GENERAL!J40=0," ",GENERAL!J40)</f>
        <v>46600</v>
      </c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 t="str">
        <f>IF(GENERAL!I41=0," ",GENERAL!I41)</f>
        <v xml:space="preserve"> </v>
      </c>
      <c r="J41" s="37" t="str">
        <f>IF(GENERAL!J41=0," ",GENERAL!J41)</f>
        <v xml:space="preserve"> </v>
      </c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7"/>
  <sheetViews>
    <sheetView view="pageBreakPreview" zoomScale="55" zoomScaleNormal="50" zoomScaleSheetLayoutView="55" workbookViewId="0">
      <selection activeCell="I50" sqref="I50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86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52" t="s">
        <v>94</v>
      </c>
      <c r="C10" s="152"/>
      <c r="D10" s="152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21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34" t="str">
        <f>IF(GENERAL!J15=0," ",GENERAL!J15)</f>
        <v xml:space="preserve"> </v>
      </c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10</v>
      </c>
      <c r="G16" s="30">
        <f>IF(F16=0," ",F16)</f>
        <v>10</v>
      </c>
      <c r="H16" s="31">
        <f>IF(F16=0," ",F16)</f>
        <v>10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5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 t="str">
        <f>IF(GENERAL!I17=0," ",GENERAL!I17)</f>
        <v xml:space="preserve"> </v>
      </c>
      <c r="J17" s="34" t="str">
        <f>IF(GENERAL!J17=0," ",GENERAL!J17)</f>
        <v xml:space="preserve"> </v>
      </c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5</v>
      </c>
      <c r="G18" s="30">
        <f>IF(F18=0," ",F18)</f>
        <v>5</v>
      </c>
      <c r="H18" s="31">
        <f>IF(F18=0," ",F18)</f>
        <v>5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 t="str">
        <f>IF(GENERAL!I19=0," ",GENERAL!I19)</f>
        <v xml:space="preserve"> </v>
      </c>
      <c r="J19" s="34" t="str">
        <f>IF(GENERAL!J19=0," ",GENERAL!J19)</f>
        <v xml:space="preserve"> </v>
      </c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1</v>
      </c>
      <c r="G22" s="30">
        <f>IF(F22=0," ",F22)</f>
        <v>1</v>
      </c>
      <c r="H22" s="31">
        <f>IF(F22=0," ",F22)</f>
        <v>1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4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5</v>
      </c>
      <c r="G24" s="30">
        <f>IF(F24=0," ",F24)</f>
        <v>5</v>
      </c>
      <c r="H24" s="31">
        <f>IF(F24=0," ",F24)</f>
        <v>5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4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4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 t="str">
        <f>IF(GENERAL!I29=0," ",GENERAL!I29)</f>
        <v xml:space="preserve"> </v>
      </c>
      <c r="J29" s="35" t="str">
        <f>IF(GENERAL!J29=0," ",GENERAL!J29)</f>
        <v xml:space="preserve"> </v>
      </c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4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3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4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/>
      <c r="G34" s="30" t="str">
        <f>IF(F34=0," ",F34)</f>
        <v xml:space="preserve"> </v>
      </c>
      <c r="H34" s="31" t="str">
        <f>IF(F34=0," ",F34)</f>
        <v xml:space="preserve"> </v>
      </c>
      <c r="I34" s="32"/>
      <c r="J34" s="36"/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6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 t="str">
        <f>IF(GENERAL!I37=0," ",GENERAL!I37)</f>
        <v xml:space="preserve"> </v>
      </c>
      <c r="J37" s="37" t="str">
        <f>IF(GENERAL!J37=0," ",GENERAL!J37)</f>
        <v xml:space="preserve"> </v>
      </c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6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 t="str">
        <f>IF(GENERAL!I39=0," ",GENERAL!I39)</f>
        <v xml:space="preserve"> </v>
      </c>
      <c r="J39" s="35" t="str">
        <f>IF(GENERAL!J39=0," ",GENERAL!J39)</f>
        <v xml:space="preserve"> </v>
      </c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4A94-2C8D-49A5-A65A-8C558042DB51}">
  <dimension ref="A1:P87"/>
  <sheetViews>
    <sheetView view="pageBreakPreview" zoomScale="55" zoomScaleNormal="50" zoomScaleSheetLayoutView="55" workbookViewId="0">
      <selection activeCell="J49" sqref="J49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87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97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36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23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20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34" t="str">
        <f>IF(GENERAL!J15=0," ",GENERAL!J15)</f>
        <v xml:space="preserve"> </v>
      </c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10</v>
      </c>
      <c r="G16" s="30">
        <f>IF(F16=0," ",F16)</f>
        <v>10</v>
      </c>
      <c r="H16" s="31">
        <f>IF(F16=0," ",F16)</f>
        <v>10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 t="str">
        <f>IF(GENERAL!I17=0," ",GENERAL!I17)</f>
        <v xml:space="preserve"> </v>
      </c>
      <c r="J17" s="34" t="str">
        <f>IF(GENERAL!J17=0," ",GENERAL!J17)</f>
        <v xml:space="preserve"> </v>
      </c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10</v>
      </c>
      <c r="G18" s="30">
        <f>IF(F18=0," ",F18)</f>
        <v>10</v>
      </c>
      <c r="H18" s="31">
        <f>IF(F18=0," ",F18)</f>
        <v>10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34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/>
      <c r="G22" s="30" t="str">
        <f>IF(F22=0," ",F22)</f>
        <v xml:space="preserve"> </v>
      </c>
      <c r="H22" s="31" t="str">
        <f>IF(F22=0," ",F22)</f>
        <v xml:space="preserve"> </v>
      </c>
      <c r="I22" s="32"/>
      <c r="J22" s="33"/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/>
      <c r="G24" s="30" t="str">
        <f>IF(F24=0," ",F24)</f>
        <v xml:space="preserve"> </v>
      </c>
      <c r="H24" s="31" t="str">
        <f>IF(F24=0," ",F24)</f>
        <v xml:space="preserve"> </v>
      </c>
      <c r="I24" s="32"/>
      <c r="J24" s="33"/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5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6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 t="str">
        <f>IF(GENERAL!I29=0," ",GENERAL!I29)</f>
        <v xml:space="preserve"> </v>
      </c>
      <c r="J29" s="35" t="str">
        <f>IF(GENERAL!J29=0," ",GENERAL!J29)</f>
        <v xml:space="preserve"> </v>
      </c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6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5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6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 t="str">
        <f>IF(GENERAL!I33=0," ",GENERAL!I33)</f>
        <v xml:space="preserve"> </v>
      </c>
      <c r="J33" s="35" t="str">
        <f>IF(GENERAL!J33=0," ",GENERAL!J33)</f>
        <v xml:space="preserve"> </v>
      </c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/>
      <c r="G34" s="30" t="str">
        <f>IF(F34=0," ",F34)</f>
        <v xml:space="preserve"> </v>
      </c>
      <c r="H34" s="31" t="str">
        <f>IF(F34=0," ",F34)</f>
        <v xml:space="preserve"> </v>
      </c>
      <c r="I34" s="32"/>
      <c r="J34" s="36"/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 t="str">
        <f>IF(GENERAL!I35=0," ",GENERAL!I35)</f>
        <v xml:space="preserve"> </v>
      </c>
      <c r="J35" s="35" t="str">
        <f>IF(GENERAL!J35=0," ",GENERAL!J35)</f>
        <v xml:space="preserve"> </v>
      </c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3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 t="str">
        <f>IF(GENERAL!I37=0," ",GENERAL!I37)</f>
        <v xml:space="preserve"> </v>
      </c>
      <c r="J37" s="35" t="str">
        <f>IF(GENERAL!J37=0," ",GENERAL!J37)</f>
        <v xml:space="preserve"> </v>
      </c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3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 t="str">
        <f>IF(GENERAL!I39=0," ",GENERAL!I39)</f>
        <v xml:space="preserve"> </v>
      </c>
      <c r="J39" s="35" t="str">
        <f>IF(GENERAL!J39=0," ",GENERAL!J39)</f>
        <v xml:space="preserve"> </v>
      </c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5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/>
      <c r="J42" s="36"/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/>
      <c r="J43" s="35"/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/>
      <c r="J44" s="36"/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/>
      <c r="J45" s="35"/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/>
      <c r="J46" s="36"/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/>
      <c r="J47" s="35"/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/>
      <c r="J48" s="36"/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/>
      <c r="J49" s="35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/>
      <c r="J50" s="36"/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/>
      <c r="J51" s="35"/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/>
      <c r="G52" s="31" t="str">
        <f>IF(F52=0," ",F52)</f>
        <v xml:space="preserve"> </v>
      </c>
      <c r="H52" s="31" t="str">
        <f>IF(F52=0," ",F52)</f>
        <v xml:space="preserve"> </v>
      </c>
      <c r="I52" s="40"/>
      <c r="J52" s="36"/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7"/>
  <sheetViews>
    <sheetView view="pageBreakPreview" zoomScale="55" zoomScaleNormal="50" zoomScaleSheetLayoutView="55" workbookViewId="0">
      <selection activeCell="I46" sqref="I46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88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95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23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30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29" t="str">
        <f>IF(GENERAL!J15=0," ",GENERAL!J15)</f>
        <v xml:space="preserve"> </v>
      </c>
      <c r="K15" s="97"/>
      <c r="M15" s="25">
        <f>SUM((F44/3)*20+F20)</f>
        <v>20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/>
      <c r="G16" s="30" t="str">
        <f>IF(F16=0," ",F16)</f>
        <v xml:space="preserve"> </v>
      </c>
      <c r="H16" s="31" t="str">
        <f>IF(F16=0," ",F16)</f>
        <v xml:space="preserve"> </v>
      </c>
      <c r="I16" s="32"/>
      <c r="J16" s="33"/>
      <c r="K16" s="110"/>
      <c r="M16" s="25">
        <f>SUM(F24)</f>
        <v>10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10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/>
      <c r="G18" s="30" t="str">
        <f>IF(F18=0," ",F18)</f>
        <v xml:space="preserve"> </v>
      </c>
      <c r="H18" s="31" t="str">
        <f>IF(F18=0," ",F18)</f>
        <v xml:space="preserve"> </v>
      </c>
      <c r="I18" s="32"/>
      <c r="J18" s="33"/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20</v>
      </c>
      <c r="G20" s="30">
        <f>IF(F20=0," ",F20)</f>
        <v>20</v>
      </c>
      <c r="H20" s="31">
        <f>IF(F20=0," ",F20)</f>
        <v>20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/>
      <c r="G22" s="30" t="str">
        <f>IF(F22=0," ",F22)</f>
        <v xml:space="preserve"> </v>
      </c>
      <c r="H22" s="31" t="str">
        <f>IF(F22=0," ",F22)</f>
        <v xml:space="preserve"> </v>
      </c>
      <c r="I22" s="32"/>
      <c r="J22" s="33"/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10</v>
      </c>
      <c r="G24" s="30">
        <f>IF(F24=0," ",F24)</f>
        <v>10</v>
      </c>
      <c r="H24" s="31">
        <f>IF(F24=0," ",F24)</f>
        <v>10</v>
      </c>
      <c r="I24" s="32" t="str">
        <f>IF(GENERAL!I24=0," ",GENERAL!I24)</f>
        <v>AHAVC215AA</v>
      </c>
      <c r="J24" s="36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 t="str">
        <f>IF(GENERAL!I25=0," ",GENERAL!I25)</f>
        <v xml:space="preserve"> </v>
      </c>
      <c r="J25" s="35" t="str">
        <f>IF(GENERAL!J25=0," ",GENERAL!J25)</f>
        <v xml:space="preserve"> </v>
      </c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0"/>
      <c r="J26" s="36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6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 t="str">
        <f>IF(GENERAL!I29=0," ",GENERAL!I29)</f>
        <v xml:space="preserve"> </v>
      </c>
      <c r="J29" s="35" t="str">
        <f>IF(GENERAL!J29=0," ",GENERAL!J29)</f>
        <v xml:space="preserve"> </v>
      </c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5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v>1</v>
      </c>
      <c r="G32" s="30">
        <f>IF(F32=0," ",F32)</f>
        <v>1</v>
      </c>
      <c r="H32" s="31">
        <f>IF(F32=0," ",F32)</f>
        <v>1</v>
      </c>
      <c r="I32" s="32" t="str">
        <f>IF(GENERAL!I32=0," ",GENERAL!I32)</f>
        <v>2825Q001A</v>
      </c>
      <c r="J32" s="33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7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10</v>
      </c>
      <c r="G34" s="30">
        <f>IF(F34=0," ",F34)</f>
        <v>10</v>
      </c>
      <c r="H34" s="31">
        <f>IF(F34=0," ",F34)</f>
        <v>10</v>
      </c>
      <c r="I34" s="32" t="str">
        <f>IF(GENERAL!I34=0," ",GENERAL!I34)</f>
        <v>AC37B542BD</v>
      </c>
      <c r="J34" s="33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6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 t="str">
        <f>IF(GENERAL!I37=0," ",GENERAL!I37)</f>
        <v xml:space="preserve"> </v>
      </c>
      <c r="J37" s="37" t="str">
        <f>IF(GENERAL!J37=0," ",GENERAL!J37)</f>
        <v xml:space="preserve"> </v>
      </c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6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 t="str">
        <f>IF(GENERAL!I39=0," ",GENERAL!I39)</f>
        <v xml:space="preserve"> </v>
      </c>
      <c r="J39" s="35" t="str">
        <f>IF(GENERAL!J39=0," ",GENERAL!J39)</f>
        <v xml:space="preserve"> </v>
      </c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>
        <v>10</v>
      </c>
      <c r="G40" s="30">
        <f>IF(F40=0," ",F40)</f>
        <v>10</v>
      </c>
      <c r="H40" s="31">
        <f>IF(F40=0," ",F40)</f>
        <v>10</v>
      </c>
      <c r="I40" s="32" t="str">
        <f>IF(GENERAL!I40=0," ",GENERAL!I40)</f>
        <v>0135N027B</v>
      </c>
      <c r="J40" s="36">
        <f>IF(GENERAL!J40=0," ",GENERAL!J40)</f>
        <v>46600</v>
      </c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 t="str">
        <f>IF(GENERAL!I41=0," ",GENERAL!I41)</f>
        <v xml:space="preserve"> </v>
      </c>
      <c r="J41" s="37" t="str">
        <f>IF(GENERAL!J41=0," ",GENERAL!J41)</f>
        <v xml:space="preserve"> </v>
      </c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/>
      <c r="J47" s="35"/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/>
      <c r="J49" s="35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54B1-688D-4E34-9A8F-58F77403FEBD}">
  <dimension ref="A1:P87"/>
  <sheetViews>
    <sheetView view="pageBreakPreview" topLeftCell="A10" zoomScale="55" zoomScaleNormal="50" zoomScaleSheetLayoutView="55" workbookViewId="0">
      <selection activeCell="F24" sqref="F24:F53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107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95"/>
      <c r="C10" s="95"/>
      <c r="D10" s="95"/>
      <c r="E10" s="12"/>
      <c r="F10" s="9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36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32" t="str">
        <f>IF(GENERAL!I14=0," ",GENERAL!I14)</f>
        <v xml:space="preserve"> </v>
      </c>
      <c r="J14" s="36" t="str">
        <f>IF(GENERAL!J14=0," ",GENERAL!J14)</f>
        <v xml:space="preserve"> </v>
      </c>
      <c r="K14" s="96"/>
      <c r="M14" s="25">
        <f>SUM(F14+(F44*10)+(F32*10)+F22+F34+(F36*10)+F48)</f>
        <v>0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/>
      <c r="J15" s="34"/>
      <c r="K15" s="97"/>
      <c r="M15" s="25">
        <f>SUM((F44/3)*20+F20)</f>
        <v>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/>
      <c r="G16" s="30" t="str">
        <f>IF(F16=0," ",F16)</f>
        <v xml:space="preserve"> </v>
      </c>
      <c r="H16" s="31" t="str">
        <f>IF(F16=0," ",F16)</f>
        <v xml:space="preserve"> </v>
      </c>
      <c r="I16" s="32" t="str">
        <f>IF(GENERAL!I16=0," ",GENERAL!I16)</f>
        <v>LC5884</v>
      </c>
      <c r="J16" s="36">
        <f>IF(GENERAL!J16=0," ",GENERAL!J16)</f>
        <v>46388</v>
      </c>
      <c r="K16" s="110"/>
      <c r="M16" s="25">
        <f>SUM(F24)</f>
        <v>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/>
      <c r="G18" s="30" t="str">
        <f>IF(F18=0," ",F18)</f>
        <v xml:space="preserve"> </v>
      </c>
      <c r="H18" s="31" t="str">
        <f>IF(F18=0," ",F18)</f>
        <v xml:space="preserve"> </v>
      </c>
      <c r="I18" s="32" t="str">
        <f>IF(GENERAL!I18=0," ",GENERAL!I18)</f>
        <v>AROLE168AH</v>
      </c>
      <c r="J18" s="36">
        <f>IF(GENERAL!J18=0," ",GENERAL!J18)</f>
        <v>46419</v>
      </c>
      <c r="K18" s="115"/>
      <c r="M18" s="25">
        <f>SUM(F28*10)</f>
        <v>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/>
      <c r="G20" s="30" t="str">
        <f>IF(F20=0," ",F20)</f>
        <v xml:space="preserve"> </v>
      </c>
      <c r="H20" s="31" t="str">
        <f>IF(F20=0," ",F20)</f>
        <v xml:space="preserve"> </v>
      </c>
      <c r="I20" s="32" t="str">
        <f>IF(GENERAL!I20=0," ",GENERAL!I20)</f>
        <v>Y3C48D1</v>
      </c>
      <c r="J20" s="36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/>
      <c r="J21" s="34"/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/>
      <c r="G22" s="30" t="str">
        <f>IF(F22=0," ",F22)</f>
        <v xml:space="preserve"> </v>
      </c>
      <c r="H22" s="31" t="str">
        <f>IF(F22=0," ",F22)</f>
        <v xml:space="preserve"> </v>
      </c>
      <c r="I22" s="32">
        <f>IF(GENERAL!I22=0," ",GENERAL!I22)</f>
        <v>2526250606</v>
      </c>
      <c r="J22" s="36">
        <f>IF(GENERAL!J22=0," ",GENERAL!J22)</f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113</v>
      </c>
      <c r="B24" s="119">
        <v>6187</v>
      </c>
      <c r="C24" s="121" t="s">
        <v>114</v>
      </c>
      <c r="D24" s="104" t="s">
        <v>74</v>
      </c>
      <c r="E24" s="106" t="s">
        <v>75</v>
      </c>
      <c r="F24" s="108"/>
      <c r="G24" s="30" t="str">
        <f>IF(F24=0," ",F24)</f>
        <v xml:space="preserve"> </v>
      </c>
      <c r="H24" s="31" t="str">
        <f>IF(F24=0," ",F24)</f>
        <v xml:space="preserve"> </v>
      </c>
      <c r="I24" s="32" t="str">
        <f>IF(GENERAL!I24=0," ",GENERAL!I24)</f>
        <v>AHAVC215AA</v>
      </c>
      <c r="J24" s="36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 t="str">
        <f>IF(GENERAL!I26=0," ",GENERAL!I26)</f>
        <v>0125N120A</v>
      </c>
      <c r="J26" s="36">
        <f>IF(GENERAL!J26=0," ",GENERAL!J26)</f>
        <v>46784</v>
      </c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5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/>
      <c r="G28" s="30" t="str">
        <f>IF(F28=0," ",F28)</f>
        <v xml:space="preserve"> </v>
      </c>
      <c r="H28" s="31" t="str">
        <f>IF(F28=0," ",F28)</f>
        <v xml:space="preserve"> </v>
      </c>
      <c r="I28" s="32" t="str">
        <f>IF(GENERAL!I28=0," ",GENERAL!I28)</f>
        <v>0374MA108</v>
      </c>
      <c r="J28" s="36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6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/>
      <c r="J31" s="35"/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/>
      <c r="G32" s="30" t="str">
        <f>IF(F32=0," ",F32)</f>
        <v xml:space="preserve"> </v>
      </c>
      <c r="H32" s="31" t="str">
        <f>IF(F32=0," ",F32)</f>
        <v xml:space="preserve"> </v>
      </c>
      <c r="I32" s="32" t="str">
        <f>IF(GENERAL!I32=0," ",GENERAL!I32)</f>
        <v>2825Q001A</v>
      </c>
      <c r="J32" s="36">
        <f>IF(GENERAL!J32=0," ",GENERAL!J32)</f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5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/>
      <c r="G34" s="30" t="str">
        <f>IF(F34=0," ",F34)</f>
        <v xml:space="preserve"> </v>
      </c>
      <c r="H34" s="31" t="str">
        <f>IF(F34=0," ",F34)</f>
        <v xml:space="preserve"> </v>
      </c>
      <c r="I34" s="32" t="str">
        <f>IF(GENERAL!I34=0," ",GENERAL!I34)</f>
        <v>AC37B542BD</v>
      </c>
      <c r="J34" s="36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5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/>
      <c r="G36" s="30" t="str">
        <f>IF(F36=0," ",F36)</f>
        <v xml:space="preserve"> </v>
      </c>
      <c r="H36" s="31" t="str">
        <f>IF(F36=0," ",F36)</f>
        <v xml:space="preserve"> </v>
      </c>
      <c r="I36" s="32" t="str">
        <f>IF(GENERAL!I36=0," ",GENERAL!I36)</f>
        <v>2805X003A</v>
      </c>
      <c r="J36" s="36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5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6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 t="str">
        <f>IF(GENERAL!I40=0," ",GENERAL!I40)</f>
        <v>0135N027B</v>
      </c>
      <c r="J40" s="36">
        <f>IF(GENERAL!J40=0," ",GENERAL!J40)</f>
        <v>46600</v>
      </c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5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/>
      <c r="J47" s="35"/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/>
      <c r="J49" s="35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/>
      <c r="G52" s="31" t="str">
        <f>IF(F52=0," ",F52)</f>
        <v xml:space="preserve"> </v>
      </c>
      <c r="H52" s="31" t="str">
        <f>IF(F52=0," ",F52)</f>
        <v xml:space="preserve"> </v>
      </c>
      <c r="I52" s="40"/>
      <c r="J52" s="36"/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46FF-DFB4-4930-84F8-A1B208D371C3}">
  <dimension ref="A1:P87"/>
  <sheetViews>
    <sheetView view="pageBreakPreview" zoomScale="55" zoomScaleNormal="50" zoomScaleSheetLayoutView="55" workbookViewId="0">
      <selection activeCell="J48" sqref="J48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89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149" t="s">
        <v>96</v>
      </c>
      <c r="C10" s="149"/>
      <c r="D10" s="149"/>
      <c r="E10" s="13"/>
      <c r="F10" s="13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30" t="str">
        <f>IF(F14=0," ",F14)</f>
        <v xml:space="preserve"> </v>
      </c>
      <c r="H14" s="31" t="str">
        <f>IF(F14=0," ",F14)</f>
        <v xml:space="preserve"> </v>
      </c>
      <c r="I14" s="32" t="str">
        <f>IF(GENERAL!I14=0," ",GENERAL!I14)</f>
        <v xml:space="preserve"> </v>
      </c>
      <c r="J14" s="33" t="str">
        <f>IF(GENERAL!J14=0," ",GENERAL!J14)</f>
        <v xml:space="preserve"> </v>
      </c>
      <c r="K14" s="96"/>
      <c r="M14" s="25">
        <f>SUM(F14+(F44*10)+(F32*10)+F22+F34+(F36*10)+F48)</f>
        <v>17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 t="str">
        <f>IF(GENERAL!I15=0," ",GENERAL!I15)</f>
        <v xml:space="preserve"> </v>
      </c>
      <c r="J15" s="29" t="str">
        <f>IF(GENERAL!J15=0," ",GENERAL!J15)</f>
        <v xml:space="preserve"> </v>
      </c>
      <c r="K15" s="97"/>
      <c r="M15" s="25">
        <f>SUM((F44/3)*20+F20)</f>
        <v>20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v>10</v>
      </c>
      <c r="G16" s="30">
        <f>IF(F16=0," ",F16)</f>
        <v>10</v>
      </c>
      <c r="H16" s="31">
        <f>IF(F16=0," ",F16)</f>
        <v>10</v>
      </c>
      <c r="I16" s="32" t="str">
        <f>IF(GENERAL!I16=0," ",GENERAL!I16)</f>
        <v>LC5884</v>
      </c>
      <c r="J16" s="33">
        <f>IF(GENERAL!J16=0," ",GENERAL!J16)</f>
        <v>46388</v>
      </c>
      <c r="K16" s="110"/>
      <c r="M16" s="25">
        <f>SUM(F24)</f>
        <v>10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 t="str">
        <f>IF(GENERAL!I17=0," ",GENERAL!I17)</f>
        <v xml:space="preserve"> </v>
      </c>
      <c r="J17" s="34" t="str">
        <f>IF(GENERAL!J17=0," ",GENERAL!J17)</f>
        <v xml:space="preserve"> </v>
      </c>
      <c r="K17" s="97"/>
      <c r="M17" s="25">
        <f>SUM(F26+F40)</f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v>10</v>
      </c>
      <c r="G18" s="30">
        <f>IF(F18=0," ",F18)</f>
        <v>10</v>
      </c>
      <c r="H18" s="31">
        <f>IF(F18=0," ",F18)</f>
        <v>10</v>
      </c>
      <c r="I18" s="32" t="str">
        <f>IF(GENERAL!I18=0," ",GENERAL!I18)</f>
        <v>AROLE168AH</v>
      </c>
      <c r="J18" s="33">
        <f>IF(GENERAL!J18=0," ",GENERAL!J18)</f>
        <v>46419</v>
      </c>
      <c r="K18" s="115"/>
      <c r="M18" s="25">
        <f>SUM(F28*10)</f>
        <v>20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 t="str">
        <f>IF(GENERAL!I19=0," ",GENERAL!I19)</f>
        <v xml:space="preserve"> </v>
      </c>
      <c r="J19" s="34" t="str">
        <f>IF(GENERAL!J19=0," ",GENERAL!J19)</f>
        <v xml:space="preserve"> </v>
      </c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20</v>
      </c>
      <c r="G20" s="30">
        <f>IF(F20=0," ",F20)</f>
        <v>20</v>
      </c>
      <c r="H20" s="31">
        <f>IF(F20=0," ",F20)</f>
        <v>20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29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v>2</v>
      </c>
      <c r="G22" s="30">
        <f>IF(F22=0," ",F22)</f>
        <v>2</v>
      </c>
      <c r="H22" s="31">
        <f>IF(F22=0," ",F22)</f>
        <v>2</v>
      </c>
      <c r="I22" s="32">
        <f>IF(GENERAL!I22=0," ",GENERAL!I22)</f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10</v>
      </c>
      <c r="G24" s="30">
        <f>IF(F24=0," ",F24)</f>
        <v>10</v>
      </c>
      <c r="H24" s="31">
        <f>IF(F24=0," ",F24)</f>
        <v>10</v>
      </c>
      <c r="I24" s="32" t="str">
        <f>IF(GENERAL!I24=0," ",GENERAL!I24)</f>
        <v>AHAVC215AA</v>
      </c>
      <c r="J24" s="33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/>
      <c r="G26" s="30" t="str">
        <f>IF(F26=0," ",F26)</f>
        <v xml:space="preserve"> </v>
      </c>
      <c r="H26" s="31" t="str">
        <f>IF(F26=0," ",F26)</f>
        <v xml:space="preserve"> </v>
      </c>
      <c r="I26" s="32"/>
      <c r="J26" s="33"/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v>2</v>
      </c>
      <c r="G28" s="30">
        <f>IF(F28=0," ",F28)</f>
        <v>2</v>
      </c>
      <c r="H28" s="31">
        <f>IF(F28=0," ",F28)</f>
        <v>2</v>
      </c>
      <c r="I28" s="32" t="str">
        <f>IF(GENERAL!I28=0," ",GENERAL!I28)</f>
        <v>0374MA108</v>
      </c>
      <c r="J28" s="33">
        <f>IF(GENERAL!J28=0," ",GENERAL!J28)</f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 t="str">
        <f>IF(GENERAL!I30=0," ",GENERAL!I30)</f>
        <v xml:space="preserve"> </v>
      </c>
      <c r="J30" s="33" t="str">
        <f>IF(GENERAL!J30=0," ",GENERAL!J30)</f>
        <v xml:space="preserve"> </v>
      </c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 t="str">
        <f>IF(GENERAL!I31=0," ",GENERAL!I31)</f>
        <v xml:space="preserve"> </v>
      </c>
      <c r="J31" s="35" t="str">
        <f>IF(GENERAL!J31=0," ",GENERAL!J31)</f>
        <v xml:space="preserve"> </v>
      </c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/>
      <c r="G32" s="30" t="str">
        <f>IF(F32=0," ",F32)</f>
        <v xml:space="preserve"> </v>
      </c>
      <c r="H32" s="31" t="str">
        <f>IF(F32=0," ",F32)</f>
        <v xml:space="preserve"> </v>
      </c>
      <c r="I32" s="32"/>
      <c r="J32" s="36"/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 t="str">
        <f>IF(GENERAL!I33=0," ",GENERAL!I33)</f>
        <v xml:space="preserve"> </v>
      </c>
      <c r="J33" s="37" t="str">
        <f>IF(GENERAL!J33=0," ",GENERAL!J33)</f>
        <v xml:space="preserve"> </v>
      </c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5</v>
      </c>
      <c r="G34" s="30">
        <f>IF(F34=0," ",F34)</f>
        <v>5</v>
      </c>
      <c r="H34" s="31">
        <f>IF(F34=0," ",F34)</f>
        <v>5</v>
      </c>
      <c r="I34" s="32" t="str">
        <f>IF(GENERAL!I34=0," ",GENERAL!I34)</f>
        <v>AC37B542BD</v>
      </c>
      <c r="J34" s="36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 t="str">
        <f>IF(GENERAL!I35=0," ",GENERAL!I35)</f>
        <v xml:space="preserve"> </v>
      </c>
      <c r="J35" s="37" t="str">
        <f>IF(GENERAL!J35=0," ",GENERAL!J35)</f>
        <v xml:space="preserve"> </v>
      </c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v>1</v>
      </c>
      <c r="G36" s="30">
        <f>IF(F36=0," ",F36)</f>
        <v>1</v>
      </c>
      <c r="H36" s="31">
        <f>IF(F36=0," ",F36)</f>
        <v>1</v>
      </c>
      <c r="I36" s="32" t="str">
        <f>IF(GENERAL!I36=0," ",GENERAL!I36)</f>
        <v>2805X003A</v>
      </c>
      <c r="J36" s="33">
        <f>IF(GENERAL!J36=0," ",GENERAL!J36)</f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 t="str">
        <f>IF(GENERAL!I37=0," ",GENERAL!I37)</f>
        <v xml:space="preserve"> </v>
      </c>
      <c r="J37" s="37" t="str">
        <f>IF(GENERAL!J37=0," ",GENERAL!J37)</f>
        <v xml:space="preserve"> </v>
      </c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0" t="str">
        <f>IF(F38=0," ",F38)</f>
        <v xml:space="preserve"> </v>
      </c>
      <c r="H38" s="31" t="str">
        <f>IF(F38=0," ",F38)</f>
        <v xml:space="preserve"> </v>
      </c>
      <c r="I38" s="32" t="str">
        <f>IF(GENERAL!I38=0," ",GENERAL!I38)</f>
        <v xml:space="preserve"> </v>
      </c>
      <c r="J38" s="33" t="str">
        <f>IF(GENERAL!J38=0," ",GENERAL!J38)</f>
        <v xml:space="preserve"> </v>
      </c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7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 t="str">
        <f>IF(GENERAL!I42=0," ",GENERAL!I42)</f>
        <v xml:space="preserve"> </v>
      </c>
      <c r="J42" s="36" t="str">
        <f>IF(GENERAL!J42=0," ",GENERAL!J42)</f>
        <v xml:space="preserve"> </v>
      </c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 t="str">
        <f>IF(GENERAL!I43=0," ",GENERAL!I43)</f>
        <v xml:space="preserve"> </v>
      </c>
      <c r="J43" s="35" t="str">
        <f>IF(GENERAL!J43=0," ",GENERAL!J43)</f>
        <v xml:space="preserve"> </v>
      </c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 t="str">
        <f>IF(GENERAL!I44=0," ",GENERAL!I44)</f>
        <v xml:space="preserve"> </v>
      </c>
      <c r="J44" s="36" t="str">
        <f>IF(GENERAL!J44=0," ",GENERAL!J44)</f>
        <v xml:space="preserve"> </v>
      </c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0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3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/>
      <c r="J49" s="35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DA58-7636-460C-8708-0986CE7EBD39}">
  <dimension ref="A1:P87"/>
  <sheetViews>
    <sheetView view="pageBreakPreview" zoomScale="55" zoomScaleNormal="50" zoomScaleSheetLayoutView="55" workbookViewId="0">
      <selection activeCell="J46" sqref="J46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f>IF(GENERAL!H8=0," ",GENERAL!H8)</f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106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95"/>
      <c r="C10" s="95"/>
      <c r="D10" s="95"/>
      <c r="E10" s="12"/>
      <c r="F10" s="9"/>
      <c r="G10" s="7" t="s">
        <v>32</v>
      </c>
      <c r="H10" s="80" t="str">
        <f>GENERAL!H10</f>
        <v>SEPTIEMBRE</v>
      </c>
      <c r="I10" s="80"/>
      <c r="J10" s="80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36</v>
      </c>
      <c r="B14" s="112">
        <v>146</v>
      </c>
      <c r="C14" s="113" t="s">
        <v>26</v>
      </c>
      <c r="D14" s="104" t="s">
        <v>74</v>
      </c>
      <c r="E14" s="106" t="s">
        <v>75</v>
      </c>
      <c r="F14" s="108"/>
      <c r="G14" s="21" t="str">
        <f>IF(F14=0," ",F14)</f>
        <v xml:space="preserve"> </v>
      </c>
      <c r="H14" s="22" t="str">
        <f>IF(F14=0," ",F14)</f>
        <v xml:space="preserve"> </v>
      </c>
      <c r="I14" s="23" t="str">
        <f>IF(GENERAL!I14=0," ",GENERAL!I14)</f>
        <v xml:space="preserve"> </v>
      </c>
      <c r="J14" s="23" t="str">
        <f>IF(GENERAL!J14=0," ",GENERAL!J14)</f>
        <v xml:space="preserve"> </v>
      </c>
      <c r="K14" s="96"/>
      <c r="M14" s="25">
        <f>SUM(F14+(F44*10)+(F32*10)+F22+F34+(F36*10)+F48)</f>
        <v>2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/>
      <c r="H15" s="28"/>
      <c r="I15" s="29"/>
      <c r="J15" s="34"/>
      <c r="K15" s="97"/>
      <c r="M15" s="25">
        <f>SUM((F44/3)*20+F20)</f>
        <v>10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/>
      <c r="G16" s="30" t="str">
        <f>IF(F16=0," ",F16)</f>
        <v xml:space="preserve"> </v>
      </c>
      <c r="H16" s="31" t="str">
        <f>IF(F16=0," ",F16)</f>
        <v xml:space="preserve"> </v>
      </c>
      <c r="I16" s="32"/>
      <c r="J16" s="33"/>
      <c r="K16" s="110"/>
      <c r="M16" s="25">
        <f>SUM(F24)</f>
        <v>5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>SUM(F26+F40)</f>
        <v>1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/>
      <c r="G18" s="30" t="str">
        <f>IF(F18=0," ",F18)</f>
        <v xml:space="preserve"> </v>
      </c>
      <c r="H18" s="31" t="str">
        <f>IF(F18=0," ",F18)</f>
        <v xml:space="preserve"> </v>
      </c>
      <c r="I18" s="32"/>
      <c r="J18" s="33"/>
      <c r="K18" s="115"/>
      <c r="M18" s="25">
        <f>SUM(F28*10)</f>
        <v>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 t="str">
        <f>IF(GENERAL!I19=0," ",GENERAL!I19)</f>
        <v xml:space="preserve"> </v>
      </c>
      <c r="J19" s="34" t="str">
        <f>IF(GENERAL!J19=0," ",GENERAL!J19)</f>
        <v xml:space="preserve"> </v>
      </c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v>10</v>
      </c>
      <c r="G20" s="30">
        <f>IF(F20=0," ",F20)</f>
        <v>10</v>
      </c>
      <c r="H20" s="31">
        <f>IF(F20=0," ",F20)</f>
        <v>10</v>
      </c>
      <c r="I20" s="32" t="str">
        <f>IF(GENERAL!I20=0," ",GENERAL!I20)</f>
        <v>Y3C48D1</v>
      </c>
      <c r="J20" s="33">
        <f>IF(GENERAL!J20=0," ",GENERAL!J20)</f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 t="str">
        <f>IF(GENERAL!I21=0," ",GENERAL!I21)</f>
        <v xml:space="preserve"> </v>
      </c>
      <c r="J21" s="34" t="str">
        <f>IF(GENERAL!J21=0," ",GENERAL!J21)</f>
        <v xml:space="preserve"> </v>
      </c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/>
      <c r="G22" s="30" t="str">
        <f>IF(F22=0," ",F22)</f>
        <v xml:space="preserve"> </v>
      </c>
      <c r="H22" s="31" t="str">
        <f>IF(F22=0," ",F22)</f>
        <v xml:space="preserve"> </v>
      </c>
      <c r="I22" s="32"/>
      <c r="J22" s="36"/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v>5</v>
      </c>
      <c r="G24" s="30">
        <f>IF(F24=0," ",F24)</f>
        <v>5</v>
      </c>
      <c r="H24" s="31">
        <f>IF(F24=0," ",F24)</f>
        <v>5</v>
      </c>
      <c r="I24" s="32" t="str">
        <f>IF(GENERAL!I24=0," ",GENERAL!I24)</f>
        <v>AHAVC215AA</v>
      </c>
      <c r="J24" s="36">
        <f>IF(GENERAL!J24=0," ",GENERAL!J24)</f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 t="str">
        <f>IF(GENERAL!I25=0," ",GENERAL!I25)</f>
        <v xml:space="preserve"> </v>
      </c>
      <c r="J25" s="35" t="str">
        <f>IF(GENERAL!J25=0," ",GENERAL!J25)</f>
        <v xml:space="preserve"> </v>
      </c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>
        <v>1</v>
      </c>
      <c r="G26" s="30">
        <f>IF(F26=0," ",F26)</f>
        <v>1</v>
      </c>
      <c r="H26" s="31">
        <f>IF(F26=0," ",F26)</f>
        <v>1</v>
      </c>
      <c r="I26" s="30" t="str">
        <f>IF(GENERAL!I26=0," ",GENERAL!I26)</f>
        <v>0125N120A</v>
      </c>
      <c r="J26" s="36">
        <f>IF(GENERAL!J26=0," ",GENERAL!J26)</f>
        <v>46784</v>
      </c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 t="str">
        <f>IF(GENERAL!I27=0," ",GENERAL!I27)</f>
        <v xml:space="preserve"> </v>
      </c>
      <c r="J27" s="35" t="str">
        <f>IF(GENERAL!J27=0," ",GENERAL!J27)</f>
        <v xml:space="preserve"> </v>
      </c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/>
      <c r="G28" s="30" t="str">
        <f>IF(F28=0," ",F28)</f>
        <v xml:space="preserve"> </v>
      </c>
      <c r="H28" s="31" t="str">
        <f>IF(F28=0," ",F28)</f>
        <v xml:space="preserve"> </v>
      </c>
      <c r="I28" s="30"/>
      <c r="J28" s="36"/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/>
      <c r="G30" s="30" t="str">
        <f>IF(F30=0," ",F30)</f>
        <v xml:space="preserve"> </v>
      </c>
      <c r="H30" s="31" t="str">
        <f>IF(F30=0," ",F30)</f>
        <v xml:space="preserve"> </v>
      </c>
      <c r="I30" s="32"/>
      <c r="J30" s="36"/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/>
      <c r="J31" s="35"/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/>
      <c r="G32" s="30" t="str">
        <f>IF(F32=0," ",F32)</f>
        <v xml:space="preserve"> </v>
      </c>
      <c r="H32" s="31" t="str">
        <f>IF(F32=0," ",F32)</f>
        <v xml:space="preserve"> </v>
      </c>
      <c r="I32" s="32"/>
      <c r="J32" s="36"/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5"/>
      <c r="K33" s="124"/>
    </row>
    <row r="34" spans="1:11" ht="25.5" x14ac:dyDescent="0.2">
      <c r="A34" s="117" t="s">
        <v>48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v>2</v>
      </c>
      <c r="G34" s="30">
        <f>IF(F34=0," ",F34)</f>
        <v>2</v>
      </c>
      <c r="H34" s="31">
        <f>IF(F34=0," ",F34)</f>
        <v>2</v>
      </c>
      <c r="I34" s="30" t="str">
        <f>IF(GENERAL!I34=0," ",GENERAL!I34)</f>
        <v>AC37B542BD</v>
      </c>
      <c r="J34" s="36">
        <f>IF(GENERAL!J34=0," ",GENERAL!J34)</f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5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/>
      <c r="G36" s="30" t="str">
        <f>IF(F36=0," ",F36)</f>
        <v xml:space="preserve"> </v>
      </c>
      <c r="H36" s="31" t="str">
        <f>IF(F36=0," ",F36)</f>
        <v xml:space="preserve"> </v>
      </c>
      <c r="I36" s="32"/>
      <c r="J36" s="36"/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5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/>
      <c r="G38" s="38" t="str">
        <f>IF(F38=0," ",F38)</f>
        <v xml:space="preserve"> </v>
      </c>
      <c r="H38" s="31" t="str">
        <f>IF(F38=0," ",F38)</f>
        <v xml:space="preserve"> </v>
      </c>
      <c r="I38" s="32"/>
      <c r="J38" s="36"/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/>
      <c r="G40" s="30" t="str">
        <f>IF(F40=0," ",F40)</f>
        <v xml:space="preserve"> </v>
      </c>
      <c r="H40" s="31" t="str">
        <f>IF(F40=0," ",F40)</f>
        <v xml:space="preserve"> </v>
      </c>
      <c r="I40" s="32"/>
      <c r="J40" s="36"/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5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50"/>
      <c r="G42" s="30" t="str">
        <f>IF(F42=0," ",F42)</f>
        <v xml:space="preserve"> </v>
      </c>
      <c r="H42" s="31" t="str">
        <f>IF(F42=0," ",F42)</f>
        <v xml:space="preserve"> </v>
      </c>
      <c r="I42" s="32"/>
      <c r="J42" s="36"/>
      <c r="K42" s="127"/>
    </row>
    <row r="43" spans="1:11" ht="26.25" thickBot="1" x14ac:dyDescent="0.25">
      <c r="A43" s="118"/>
      <c r="B43" s="120"/>
      <c r="C43" s="122"/>
      <c r="D43" s="105"/>
      <c r="E43" s="107"/>
      <c r="F43" s="151"/>
      <c r="G43" s="27"/>
      <c r="H43" s="28"/>
      <c r="I43" s="29"/>
      <c r="J43" s="35"/>
      <c r="K43" s="128"/>
    </row>
    <row r="44" spans="1:11" ht="25.5" x14ac:dyDescent="0.2">
      <c r="A44" s="117" t="s">
        <v>49</v>
      </c>
      <c r="B44" s="119">
        <v>3822</v>
      </c>
      <c r="C44" s="121" t="s">
        <v>34</v>
      </c>
      <c r="D44" s="104" t="s">
        <v>77</v>
      </c>
      <c r="E44" s="106" t="s">
        <v>75</v>
      </c>
      <c r="F44" s="150"/>
      <c r="G44" s="30" t="str">
        <f>IF(F44=0," ",F44)</f>
        <v xml:space="preserve"> </v>
      </c>
      <c r="H44" s="31" t="str">
        <f>IF(F44=0," ",F44)</f>
        <v xml:space="preserve"> </v>
      </c>
      <c r="I44" s="32"/>
      <c r="J44" s="36"/>
      <c r="K44" s="123"/>
    </row>
    <row r="45" spans="1:11" ht="26.25" thickBot="1" x14ac:dyDescent="0.25">
      <c r="A45" s="118"/>
      <c r="B45" s="120"/>
      <c r="C45" s="122"/>
      <c r="D45" s="105"/>
      <c r="E45" s="107"/>
      <c r="F45" s="151"/>
      <c r="G45" s="27"/>
      <c r="H45" s="28"/>
      <c r="I45" s="29" t="str">
        <f>IF(GENERAL!I45=0," ",GENERAL!I45)</f>
        <v xml:space="preserve"> </v>
      </c>
      <c r="J45" s="35" t="str">
        <f>IF(GENERAL!J45=0," ",GENERAL!J45)</f>
        <v xml:space="preserve"> </v>
      </c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50"/>
      <c r="G46" s="31" t="str">
        <f>IF(F46=0," ",F46)</f>
        <v xml:space="preserve"> </v>
      </c>
      <c r="H46" s="31" t="str">
        <f>IF(F46=0," ",F46)</f>
        <v xml:space="preserve"> </v>
      </c>
      <c r="I46" s="32" t="str">
        <f>IF(GENERAL!I46=0," ",GENERAL!I46)</f>
        <v xml:space="preserve"> </v>
      </c>
      <c r="J46" s="36" t="str">
        <f>IF(GENERAL!J46=0," ",GENERAL!J46)</f>
        <v xml:space="preserve"> </v>
      </c>
      <c r="K46" s="127"/>
    </row>
    <row r="47" spans="1:11" ht="26.25" thickBot="1" x14ac:dyDescent="0.25">
      <c r="A47" s="118"/>
      <c r="B47" s="120"/>
      <c r="C47" s="122"/>
      <c r="D47" s="105"/>
      <c r="E47" s="107"/>
      <c r="F47" s="151"/>
      <c r="G47" s="28"/>
      <c r="H47" s="28"/>
      <c r="I47" s="29" t="str">
        <f>IF(GENERAL!I47=0," ",GENERAL!I47)</f>
        <v xml:space="preserve"> </v>
      </c>
      <c r="J47" s="35" t="str">
        <f>IF(GENERAL!J47=0," ",GENERAL!J47)</f>
        <v xml:space="preserve"> </v>
      </c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50"/>
      <c r="G48" s="31" t="str">
        <f>IF(F48=0," ",F48)</f>
        <v xml:space="preserve"> </v>
      </c>
      <c r="H48" s="31" t="str">
        <f>IF(F48=0," ",F48)</f>
        <v xml:space="preserve"> </v>
      </c>
      <c r="I48" s="32" t="str">
        <f>IF(GENERAL!I48=0," ",GENERAL!I48)</f>
        <v xml:space="preserve"> </v>
      </c>
      <c r="J48" s="36" t="str">
        <f>IF(GENERAL!J48=0," ",GENERAL!J48)</f>
        <v xml:space="preserve"> </v>
      </c>
      <c r="K48" s="123"/>
    </row>
    <row r="49" spans="1:13" ht="26.25" thickBot="1" x14ac:dyDescent="0.25">
      <c r="A49" s="118"/>
      <c r="B49" s="120"/>
      <c r="C49" s="122"/>
      <c r="D49" s="105"/>
      <c r="E49" s="107"/>
      <c r="F49" s="151"/>
      <c r="G49" s="28"/>
      <c r="H49" s="28"/>
      <c r="I49" s="29" t="str">
        <f>IF(GENERAL!I49=0," ",GENERAL!I49)</f>
        <v xml:space="preserve"> </v>
      </c>
      <c r="J49" s="35" t="str">
        <f>IF(GENERAL!J49=0," ",GENERAL!J49)</f>
        <v xml:space="preserve"> </v>
      </c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50"/>
      <c r="G50" s="31" t="str">
        <f>IF(F50=0," ",F50)</f>
        <v xml:space="preserve"> </v>
      </c>
      <c r="H50" s="31" t="str">
        <f>IF(F50=0," ",F50)</f>
        <v xml:space="preserve"> </v>
      </c>
      <c r="I50" s="40" t="str">
        <f>IF(GENERAL!I50=0," ",GENERAL!I50)</f>
        <v xml:space="preserve"> </v>
      </c>
      <c r="J50" s="36" t="str">
        <f>IF(GENERAL!J50=0," ",GENERAL!J50)</f>
        <v xml:space="preserve"> </v>
      </c>
      <c r="K50" s="127"/>
    </row>
    <row r="51" spans="1:13" ht="26.25" thickBot="1" x14ac:dyDescent="0.25">
      <c r="A51" s="118"/>
      <c r="B51" s="137"/>
      <c r="C51" s="122"/>
      <c r="D51" s="105"/>
      <c r="E51" s="107"/>
      <c r="F51" s="151"/>
      <c r="G51" s="28"/>
      <c r="H51" s="28"/>
      <c r="I51" s="37" t="str">
        <f>IF(GENERAL!I51=0," ",GENERAL!I51)</f>
        <v xml:space="preserve"> </v>
      </c>
      <c r="J51" s="35" t="str">
        <f>IF(GENERAL!J51=0," ",GENERAL!J51)</f>
        <v xml:space="preserve"> </v>
      </c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50">
        <v>5</v>
      </c>
      <c r="G52" s="31">
        <f>IF(F52=0," ",F52)</f>
        <v>5</v>
      </c>
      <c r="H52" s="31">
        <f>IF(F52=0," ",F52)</f>
        <v>5</v>
      </c>
      <c r="I52" s="40" t="str">
        <f>IF(GENERAL!I52=0," ",GENERAL!I52)</f>
        <v>MK3145</v>
      </c>
      <c r="J52" s="36">
        <f>IF(GENERAL!J52=0," ",GENERAL!J52)</f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51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7" t="s">
        <v>105</v>
      </c>
      <c r="B72" s="147"/>
      <c r="C72" s="147"/>
      <c r="D72" s="68"/>
      <c r="E72" s="68"/>
      <c r="F72" s="69"/>
      <c r="G72" s="70"/>
      <c r="H72" s="141" t="s">
        <v>70</v>
      </c>
      <c r="I72" s="141"/>
      <c r="J72" s="141"/>
      <c r="K72" s="141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5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56FC-467A-49A3-B6A2-4B3A4B327DD9}">
  <dimension ref="A1:P87"/>
  <sheetViews>
    <sheetView view="pageBreakPreview" zoomScale="55" zoomScaleNormal="50" zoomScaleSheetLayoutView="55" workbookViewId="0">
      <selection activeCell="K20" sqref="K20:K21"/>
    </sheetView>
  </sheetViews>
  <sheetFormatPr baseColWidth="10" defaultRowHeight="12.75" x14ac:dyDescent="0.2"/>
  <cols>
    <col min="1" max="1" width="43.7109375" style="15" customWidth="1"/>
    <col min="2" max="2" width="22.140625" style="15" customWidth="1"/>
    <col min="3" max="3" width="63" style="15" customWidth="1"/>
    <col min="4" max="4" width="34.85546875" style="15" customWidth="1"/>
    <col min="5" max="5" width="30.42578125" style="15" customWidth="1"/>
    <col min="6" max="6" width="24.5703125" style="15" customWidth="1"/>
    <col min="7" max="7" width="23.42578125" style="15" customWidth="1"/>
    <col min="8" max="8" width="23.140625" style="15" customWidth="1"/>
    <col min="9" max="9" width="33.42578125" style="15" customWidth="1"/>
    <col min="10" max="10" width="22.42578125" style="15" customWidth="1"/>
    <col min="11" max="11" width="40.28515625" style="15" customWidth="1"/>
    <col min="12" max="12" width="11.42578125" style="15"/>
    <col min="13" max="13" width="11.42578125" style="15" customWidth="1"/>
    <col min="14" max="14" width="22.140625" style="15" customWidth="1"/>
    <col min="15" max="15" width="11.42578125" style="15"/>
    <col min="16" max="16" width="28.28515625" style="15" customWidth="1"/>
    <col min="17" max="16384" width="11.42578125" style="15"/>
  </cols>
  <sheetData>
    <row r="1" spans="1:16" s="3" customFormat="1" ht="30" x14ac:dyDescent="0.2">
      <c r="A1" s="79" t="s">
        <v>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"/>
    </row>
    <row r="2" spans="1:16" s="3" customFormat="1" ht="30" x14ac:dyDescent="0.2">
      <c r="A2" s="79" t="s">
        <v>44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"/>
    </row>
    <row r="3" spans="1:16" s="3" customFormat="1" ht="30" customHeight="1" x14ac:dyDescent="0.2">
      <c r="A3" s="79" t="s">
        <v>58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60</v>
      </c>
      <c r="B7" s="80" t="s">
        <v>81</v>
      </c>
      <c r="C7" s="80"/>
      <c r="D7" s="80"/>
      <c r="E7" s="8"/>
      <c r="F7" s="9"/>
      <c r="G7" s="7" t="s">
        <v>1</v>
      </c>
      <c r="H7" s="80" t="s">
        <v>61</v>
      </c>
      <c r="I7" s="80"/>
      <c r="J7" s="80"/>
      <c r="K7" s="10"/>
    </row>
    <row r="8" spans="1:16" s="11" customFormat="1" ht="39.950000000000003" customHeight="1" x14ac:dyDescent="0.35">
      <c r="A8" s="7" t="s">
        <v>62</v>
      </c>
      <c r="B8" s="92" t="s">
        <v>63</v>
      </c>
      <c r="C8" s="92"/>
      <c r="D8" s="92"/>
      <c r="E8" s="12"/>
      <c r="F8" s="9"/>
      <c r="G8" s="7" t="s">
        <v>64</v>
      </c>
      <c r="H8" s="93">
        <v>46272</v>
      </c>
      <c r="I8" s="93"/>
      <c r="J8" s="93"/>
      <c r="K8" s="10"/>
    </row>
    <row r="9" spans="1:16" s="11" customFormat="1" ht="39.950000000000003" customHeight="1" x14ac:dyDescent="0.35">
      <c r="A9" s="7" t="s">
        <v>65</v>
      </c>
      <c r="B9" s="80" t="s">
        <v>90</v>
      </c>
      <c r="C9" s="80"/>
      <c r="D9" s="80"/>
      <c r="E9" s="8"/>
      <c r="F9" s="9"/>
      <c r="G9" s="7" t="s">
        <v>35</v>
      </c>
      <c r="H9" s="94"/>
      <c r="I9" s="94"/>
      <c r="J9" s="94"/>
      <c r="K9" s="10"/>
    </row>
    <row r="10" spans="1:16" s="11" customFormat="1" ht="39.75" customHeight="1" x14ac:dyDescent="0.35">
      <c r="A10" s="7" t="s">
        <v>62</v>
      </c>
      <c r="B10" s="95"/>
      <c r="C10" s="95"/>
      <c r="D10" s="95"/>
      <c r="E10" s="12"/>
      <c r="F10" s="9"/>
      <c r="G10" s="7" t="s">
        <v>32</v>
      </c>
      <c r="H10" s="94" t="s">
        <v>118</v>
      </c>
      <c r="I10" s="94"/>
      <c r="J10" s="94"/>
      <c r="K10" s="10"/>
    </row>
    <row r="11" spans="1:16" ht="39.75" customHeight="1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6" s="17" customFormat="1" ht="20.25" x14ac:dyDescent="0.3">
      <c r="A12" s="81" t="s">
        <v>2</v>
      </c>
      <c r="B12" s="83" t="s">
        <v>37</v>
      </c>
      <c r="C12" s="83" t="s">
        <v>3</v>
      </c>
      <c r="D12" s="85" t="s">
        <v>71</v>
      </c>
      <c r="E12" s="16" t="s">
        <v>72</v>
      </c>
      <c r="F12" s="87" t="s">
        <v>4</v>
      </c>
      <c r="G12" s="88"/>
      <c r="H12" s="88"/>
      <c r="I12" s="88"/>
      <c r="J12" s="89"/>
      <c r="K12" s="90" t="s">
        <v>31</v>
      </c>
    </row>
    <row r="13" spans="1:16" s="17" customFormat="1" ht="21" thickBot="1" x14ac:dyDescent="0.35">
      <c r="A13" s="82"/>
      <c r="B13" s="84"/>
      <c r="C13" s="84"/>
      <c r="D13" s="86"/>
      <c r="E13" s="19" t="s">
        <v>73</v>
      </c>
      <c r="F13" s="18" t="s">
        <v>5</v>
      </c>
      <c r="G13" s="18" t="s">
        <v>6</v>
      </c>
      <c r="H13" s="18" t="s">
        <v>7</v>
      </c>
      <c r="I13" s="20" t="s">
        <v>8</v>
      </c>
      <c r="J13" s="20" t="s">
        <v>30</v>
      </c>
      <c r="K13" s="91"/>
    </row>
    <row r="14" spans="1:16" ht="26.25" customHeight="1" x14ac:dyDescent="0.2">
      <c r="A14" s="111" t="s">
        <v>99</v>
      </c>
      <c r="B14" s="112">
        <v>146</v>
      </c>
      <c r="C14" s="113" t="s">
        <v>26</v>
      </c>
      <c r="D14" s="104" t="s">
        <v>74</v>
      </c>
      <c r="E14" s="106" t="s">
        <v>75</v>
      </c>
      <c r="F14" s="108" t="str">
        <f>IFERROR(IF(SUM('APAPÁTARO:UMME MF2'!F14)=0," ",SUM('APAPÁTARO:UMME MF2'!F14))," ")</f>
        <v xml:space="preserve"> </v>
      </c>
      <c r="G14" s="21" t="str">
        <f>IF(F14=0," ",F14)</f>
        <v xml:space="preserve"> </v>
      </c>
      <c r="H14" s="22" t="str">
        <f>IF(F14=0," ",F14)</f>
        <v xml:space="preserve"> </v>
      </c>
      <c r="I14" s="23"/>
      <c r="J14" s="24"/>
      <c r="K14" s="96"/>
      <c r="M14" s="25" t="str">
        <f>IFERROR(SUM(F14+(F44*10)+(F32*10)+F22+F34+(F36*10)+F48),"0")</f>
        <v>0</v>
      </c>
      <c r="N14" s="26" t="s">
        <v>50</v>
      </c>
      <c r="O14" s="26">
        <v>2715</v>
      </c>
      <c r="P14" s="26" t="s">
        <v>51</v>
      </c>
    </row>
    <row r="15" spans="1:16" ht="26.25" thickBot="1" x14ac:dyDescent="0.25">
      <c r="A15" s="99"/>
      <c r="B15" s="101"/>
      <c r="C15" s="114"/>
      <c r="D15" s="105"/>
      <c r="E15" s="107"/>
      <c r="F15" s="109"/>
      <c r="G15" s="27" t="s">
        <v>101</v>
      </c>
      <c r="H15" s="28"/>
      <c r="I15" s="29"/>
      <c r="J15" s="29"/>
      <c r="K15" s="97"/>
      <c r="M15" s="25">
        <f t="shared" ref="M15:M17" si="0">IFERROR(SUM(F15+(F45*10)+(F33*10)+F23+F35+(F37*10)+F49),"0")</f>
        <v>0</v>
      </c>
      <c r="N15" s="26" t="s">
        <v>50</v>
      </c>
      <c r="O15" s="26">
        <v>2707</v>
      </c>
      <c r="P15" s="26" t="s">
        <v>52</v>
      </c>
    </row>
    <row r="16" spans="1:16" ht="25.5" x14ac:dyDescent="0.2">
      <c r="A16" s="98" t="s">
        <v>46</v>
      </c>
      <c r="B16" s="100">
        <v>148</v>
      </c>
      <c r="C16" s="102" t="s">
        <v>9</v>
      </c>
      <c r="D16" s="104" t="s">
        <v>74</v>
      </c>
      <c r="E16" s="106" t="s">
        <v>76</v>
      </c>
      <c r="F16" s="108">
        <f>IFERROR(IF(SUM('APAPÁTARO:UMME MF2'!F16)=0," ",SUM('APAPÁTARO:UMME MF2'!F16))," ")</f>
        <v>80</v>
      </c>
      <c r="G16" s="30">
        <f>IF(F16=0," ",F16)</f>
        <v>80</v>
      </c>
      <c r="H16" s="31">
        <f>IF(F16=0," ",F16)</f>
        <v>80</v>
      </c>
      <c r="I16" s="23" t="s">
        <v>119</v>
      </c>
      <c r="J16" s="24">
        <v>46388</v>
      </c>
      <c r="K16" s="110"/>
      <c r="M16" s="25" t="str">
        <f t="shared" si="0"/>
        <v>0</v>
      </c>
      <c r="N16" s="26" t="s">
        <v>50</v>
      </c>
      <c r="O16" s="26">
        <v>2699</v>
      </c>
      <c r="P16" s="26" t="s">
        <v>53</v>
      </c>
    </row>
    <row r="17" spans="1:16" ht="26.25" thickBot="1" x14ac:dyDescent="0.25">
      <c r="A17" s="99"/>
      <c r="B17" s="101"/>
      <c r="C17" s="103"/>
      <c r="D17" s="105"/>
      <c r="E17" s="107"/>
      <c r="F17" s="109"/>
      <c r="G17" s="27"/>
      <c r="H17" s="28"/>
      <c r="I17" s="29"/>
      <c r="J17" s="34"/>
      <c r="K17" s="97"/>
      <c r="M17" s="25">
        <f t="shared" si="0"/>
        <v>0</v>
      </c>
      <c r="N17" s="26" t="s">
        <v>50</v>
      </c>
      <c r="O17" s="26">
        <v>2657</v>
      </c>
      <c r="P17" s="26" t="s">
        <v>54</v>
      </c>
    </row>
    <row r="18" spans="1:16" ht="26.25" customHeight="1" x14ac:dyDescent="0.2">
      <c r="A18" s="117" t="s">
        <v>98</v>
      </c>
      <c r="B18" s="119">
        <v>150</v>
      </c>
      <c r="C18" s="121" t="s">
        <v>57</v>
      </c>
      <c r="D18" s="104" t="s">
        <v>74</v>
      </c>
      <c r="E18" s="106" t="s">
        <v>76</v>
      </c>
      <c r="F18" s="108">
        <f>IFERROR(IF(SUM('APAPÁTARO:UMME MF2'!F18)=0," ",SUM('APAPÁTARO:UMME MF2'!F18))," ")</f>
        <v>60</v>
      </c>
      <c r="G18" s="30">
        <f>IF(F18=0," ",F18)</f>
        <v>60</v>
      </c>
      <c r="H18" s="31">
        <f>IF(F18=0," ",F18)</f>
        <v>60</v>
      </c>
      <c r="I18" s="23" t="s">
        <v>120</v>
      </c>
      <c r="J18" s="24">
        <v>46419</v>
      </c>
      <c r="K18" s="115"/>
      <c r="M18" s="25" t="str">
        <f>IFERROR(SUM(F18+(F48*10)+(F36*10)+F26+F38+(F40*10)+F54),"0")</f>
        <v>0</v>
      </c>
      <c r="N18" s="26" t="s">
        <v>50</v>
      </c>
      <c r="O18" s="26">
        <v>59</v>
      </c>
      <c r="P18" s="26" t="s">
        <v>55</v>
      </c>
    </row>
    <row r="19" spans="1:16" ht="26.25" thickBot="1" x14ac:dyDescent="0.25">
      <c r="A19" s="118"/>
      <c r="B19" s="120"/>
      <c r="C19" s="122"/>
      <c r="D19" s="105"/>
      <c r="E19" s="107"/>
      <c r="F19" s="109"/>
      <c r="G19" s="27"/>
      <c r="H19" s="28"/>
      <c r="I19" s="29"/>
      <c r="J19" s="34"/>
      <c r="K19" s="116"/>
    </row>
    <row r="20" spans="1:16" ht="25.5" x14ac:dyDescent="0.2">
      <c r="A20" s="117" t="s">
        <v>45</v>
      </c>
      <c r="B20" s="119">
        <v>6135</v>
      </c>
      <c r="C20" s="121" t="s">
        <v>47</v>
      </c>
      <c r="D20" s="104" t="s">
        <v>74</v>
      </c>
      <c r="E20" s="106" t="s">
        <v>75</v>
      </c>
      <c r="F20" s="108">
        <f>IFERROR(IF(SUM('APAPÁTARO:UMME MF2'!F20)=0," ",SUM('APAPÁTARO:UMME MF2'!F20))," ")</f>
        <v>140</v>
      </c>
      <c r="G20" s="30">
        <f>IF(F20=0," ",F20)</f>
        <v>140</v>
      </c>
      <c r="H20" s="31">
        <f>IF(F20=0," ",F20)</f>
        <v>140</v>
      </c>
      <c r="I20" s="23" t="s">
        <v>121</v>
      </c>
      <c r="J20" s="24">
        <v>46722</v>
      </c>
      <c r="K20" s="115"/>
    </row>
    <row r="21" spans="1:16" ht="26.25" thickBot="1" x14ac:dyDescent="0.25">
      <c r="A21" s="118"/>
      <c r="B21" s="120"/>
      <c r="C21" s="122"/>
      <c r="D21" s="105"/>
      <c r="E21" s="107"/>
      <c r="F21" s="109"/>
      <c r="G21" s="27"/>
      <c r="H21" s="28"/>
      <c r="I21" s="29"/>
      <c r="J21" s="29"/>
      <c r="K21" s="116"/>
    </row>
    <row r="22" spans="1:16" ht="25.5" x14ac:dyDescent="0.2">
      <c r="A22" s="117" t="s">
        <v>14</v>
      </c>
      <c r="B22" s="119">
        <v>2526</v>
      </c>
      <c r="C22" s="121" t="s">
        <v>21</v>
      </c>
      <c r="D22" s="104" t="s">
        <v>77</v>
      </c>
      <c r="E22" s="106" t="s">
        <v>75</v>
      </c>
      <c r="F22" s="108">
        <f>IFERROR(IF(SUM('APAPÁTARO:UMME MF2'!F22)=0," ",SUM('APAPÁTARO:UMME MF2'!F22))," ")</f>
        <v>7</v>
      </c>
      <c r="G22" s="30">
        <f>IF(F22=0," ",F22)</f>
        <v>7</v>
      </c>
      <c r="H22" s="31">
        <f>IF(F22=0," ",F22)</f>
        <v>7</v>
      </c>
      <c r="I22" s="23">
        <v>2526250606</v>
      </c>
      <c r="J22" s="153">
        <v>46919</v>
      </c>
      <c r="K22" s="123"/>
    </row>
    <row r="23" spans="1:16" ht="26.25" thickBot="1" x14ac:dyDescent="0.25">
      <c r="A23" s="118"/>
      <c r="B23" s="120"/>
      <c r="C23" s="122"/>
      <c r="D23" s="105"/>
      <c r="E23" s="107"/>
      <c r="F23" s="109"/>
      <c r="G23" s="27"/>
      <c r="H23" s="28"/>
      <c r="I23" s="29"/>
      <c r="J23" s="35"/>
      <c r="K23" s="124"/>
    </row>
    <row r="24" spans="1:16" ht="25.5" x14ac:dyDescent="0.2">
      <c r="A24" s="117" t="s">
        <v>130</v>
      </c>
      <c r="B24" s="119">
        <v>3825</v>
      </c>
      <c r="C24" s="121" t="s">
        <v>114</v>
      </c>
      <c r="D24" s="104" t="s">
        <v>74</v>
      </c>
      <c r="E24" s="106" t="s">
        <v>75</v>
      </c>
      <c r="F24" s="108">
        <f>IFERROR(IF(SUM('APAPÁTARO:UMME MF2'!F24)=0," ",SUM('APAPÁTARO:UMME MF2'!F24))," ")</f>
        <v>65</v>
      </c>
      <c r="G24" s="30">
        <f>IF(F24=0," ",F24)</f>
        <v>65</v>
      </c>
      <c r="H24" s="31">
        <f>IF(F24=0," ",F24)</f>
        <v>65</v>
      </c>
      <c r="I24" s="23" t="s">
        <v>122</v>
      </c>
      <c r="J24" s="24">
        <v>46813</v>
      </c>
      <c r="K24" s="125"/>
    </row>
    <row r="25" spans="1:16" ht="26.25" thickBot="1" x14ac:dyDescent="0.25">
      <c r="A25" s="118"/>
      <c r="B25" s="120"/>
      <c r="C25" s="122"/>
      <c r="D25" s="105"/>
      <c r="E25" s="107"/>
      <c r="F25" s="109"/>
      <c r="G25" s="27"/>
      <c r="H25" s="28"/>
      <c r="I25" s="29"/>
      <c r="J25" s="35"/>
      <c r="K25" s="126"/>
    </row>
    <row r="26" spans="1:16" ht="25.5" x14ac:dyDescent="0.2">
      <c r="A26" s="117" t="s">
        <v>12</v>
      </c>
      <c r="B26" s="119">
        <v>3800</v>
      </c>
      <c r="C26" s="121" t="s">
        <v>39</v>
      </c>
      <c r="D26" s="104" t="s">
        <v>77</v>
      </c>
      <c r="E26" s="106" t="s">
        <v>78</v>
      </c>
      <c r="F26" s="108">
        <f>IFERROR(IF(SUM('APAPÁTARO:UMME MF2'!F26)=0," ",SUM('APAPÁTARO:UMME MF2'!F26))," ")</f>
        <v>1</v>
      </c>
      <c r="G26" s="30">
        <f>IF(F26=0," ",F26)</f>
        <v>1</v>
      </c>
      <c r="H26" s="31">
        <f>IF(F26=0," ",F26)</f>
        <v>1</v>
      </c>
      <c r="I26" s="23" t="s">
        <v>123</v>
      </c>
      <c r="J26" s="24">
        <v>46784</v>
      </c>
      <c r="K26" s="123"/>
    </row>
    <row r="27" spans="1:16" ht="26.25" thickBot="1" x14ac:dyDescent="0.25">
      <c r="A27" s="118"/>
      <c r="B27" s="120"/>
      <c r="C27" s="122"/>
      <c r="D27" s="105"/>
      <c r="E27" s="107"/>
      <c r="F27" s="109"/>
      <c r="G27" s="27"/>
      <c r="H27" s="28"/>
      <c r="I27" s="29"/>
      <c r="J27" s="37"/>
      <c r="K27" s="124"/>
    </row>
    <row r="28" spans="1:16" ht="25.5" x14ac:dyDescent="0.2">
      <c r="A28" s="117" t="s">
        <v>13</v>
      </c>
      <c r="B28" s="119">
        <v>3801</v>
      </c>
      <c r="C28" s="121" t="s">
        <v>22</v>
      </c>
      <c r="D28" s="104" t="s">
        <v>77</v>
      </c>
      <c r="E28" s="106" t="s">
        <v>78</v>
      </c>
      <c r="F28" s="108">
        <f>IFERROR(IF(SUM('APAPÁTARO:UMME MF2'!F28)=0," ",SUM('APAPÁTARO:UMME MF2'!F28))," ")</f>
        <v>20</v>
      </c>
      <c r="G28" s="30">
        <f>IF(F28=0," ",F28)</f>
        <v>20</v>
      </c>
      <c r="H28" s="31">
        <f>IF(F28=0," ",F28)</f>
        <v>20</v>
      </c>
      <c r="I28" s="23" t="s">
        <v>124</v>
      </c>
      <c r="J28" s="24">
        <v>46447</v>
      </c>
      <c r="K28" s="123"/>
    </row>
    <row r="29" spans="1:16" ht="26.25" thickBot="1" x14ac:dyDescent="0.25">
      <c r="A29" s="118"/>
      <c r="B29" s="120"/>
      <c r="C29" s="122"/>
      <c r="D29" s="105"/>
      <c r="E29" s="107"/>
      <c r="F29" s="109"/>
      <c r="G29" s="27"/>
      <c r="H29" s="28"/>
      <c r="I29" s="29"/>
      <c r="J29" s="35"/>
      <c r="K29" s="124"/>
    </row>
    <row r="30" spans="1:16" ht="26.25" customHeight="1" x14ac:dyDescent="0.2">
      <c r="A30" s="117" t="s">
        <v>15</v>
      </c>
      <c r="B30" s="119">
        <v>3802</v>
      </c>
      <c r="C30" s="121" t="s">
        <v>41</v>
      </c>
      <c r="D30" s="104" t="s">
        <v>77</v>
      </c>
      <c r="E30" s="106" t="s">
        <v>79</v>
      </c>
      <c r="F30" s="108" t="str">
        <f>IFERROR(IF(SUM('APAPÁTARO:UMME MF2'!F30)=0," ",SUM('APAPÁTARO:UMME MF2'!F30))," ")</f>
        <v xml:space="preserve"> </v>
      </c>
      <c r="G30" s="30" t="str">
        <f>IF(F30=0," ",F30)</f>
        <v xml:space="preserve"> </v>
      </c>
      <c r="H30" s="31" t="str">
        <f>IF(F30=0," ",F30)</f>
        <v xml:space="preserve"> </v>
      </c>
      <c r="I30" s="23"/>
      <c r="J30" s="24"/>
      <c r="K30" s="123"/>
    </row>
    <row r="31" spans="1:16" ht="26.25" thickBot="1" x14ac:dyDescent="0.25">
      <c r="A31" s="118"/>
      <c r="B31" s="120"/>
      <c r="C31" s="122"/>
      <c r="D31" s="105"/>
      <c r="E31" s="107"/>
      <c r="F31" s="109"/>
      <c r="G31" s="27"/>
      <c r="H31" s="28"/>
      <c r="I31" s="29"/>
      <c r="J31" s="35"/>
      <c r="K31" s="124"/>
    </row>
    <row r="32" spans="1:16" ht="25.5" x14ac:dyDescent="0.2">
      <c r="A32" s="117" t="s">
        <v>16</v>
      </c>
      <c r="B32" s="119">
        <v>3805</v>
      </c>
      <c r="C32" s="121" t="s">
        <v>23</v>
      </c>
      <c r="D32" s="104" t="s">
        <v>77</v>
      </c>
      <c r="E32" s="106" t="s">
        <v>75</v>
      </c>
      <c r="F32" s="108">
        <f>IFERROR(IF(SUM('APAPÁTARO:UMME MF2'!F32)=0," ",SUM('APAPÁTARO:UMME MF2'!F32))," ")</f>
        <v>7</v>
      </c>
      <c r="G32" s="30">
        <f>IF(F32=0," ",F32)</f>
        <v>7</v>
      </c>
      <c r="H32" s="31">
        <f>IF(F32=0," ",F32)</f>
        <v>7</v>
      </c>
      <c r="I32" s="23" t="s">
        <v>125</v>
      </c>
      <c r="J32" s="24">
        <v>46784</v>
      </c>
      <c r="K32" s="123"/>
    </row>
    <row r="33" spans="1:11" ht="26.25" thickBot="1" x14ac:dyDescent="0.25">
      <c r="A33" s="118"/>
      <c r="B33" s="120"/>
      <c r="C33" s="122"/>
      <c r="D33" s="105"/>
      <c r="E33" s="107"/>
      <c r="F33" s="109"/>
      <c r="G33" s="27"/>
      <c r="H33" s="28"/>
      <c r="I33" s="29"/>
      <c r="J33" s="37"/>
      <c r="K33" s="124"/>
    </row>
    <row r="34" spans="1:11" ht="25.5" x14ac:dyDescent="0.2">
      <c r="A34" s="117" t="s">
        <v>102</v>
      </c>
      <c r="B34" s="119">
        <v>3808</v>
      </c>
      <c r="C34" s="121" t="s">
        <v>24</v>
      </c>
      <c r="D34" s="104" t="s">
        <v>74</v>
      </c>
      <c r="E34" s="106" t="s">
        <v>75</v>
      </c>
      <c r="F34" s="108">
        <f>IFERROR(IF(SUM('APAPÁTARO:UMME MF2'!F34)=0," ",SUM('APAPÁTARO:UMME MF2'!F34))," ")</f>
        <v>45</v>
      </c>
      <c r="G34" s="30">
        <f>IF(F34=0," ",F34)</f>
        <v>45</v>
      </c>
      <c r="H34" s="31">
        <f>IF(F34=0," ",F34)</f>
        <v>45</v>
      </c>
      <c r="I34" s="23" t="s">
        <v>126</v>
      </c>
      <c r="J34" s="24">
        <v>46784</v>
      </c>
      <c r="K34" s="123"/>
    </row>
    <row r="35" spans="1:11" ht="26.25" thickBot="1" x14ac:dyDescent="0.25">
      <c r="A35" s="118"/>
      <c r="B35" s="120"/>
      <c r="C35" s="122"/>
      <c r="D35" s="105"/>
      <c r="E35" s="107"/>
      <c r="F35" s="109"/>
      <c r="G35" s="27"/>
      <c r="H35" s="28"/>
      <c r="I35" s="29"/>
      <c r="J35" s="37"/>
      <c r="K35" s="124"/>
    </row>
    <row r="36" spans="1:11" ht="25.5" x14ac:dyDescent="0.2">
      <c r="A36" s="117" t="s">
        <v>19</v>
      </c>
      <c r="B36" s="119">
        <v>3810</v>
      </c>
      <c r="C36" s="121" t="s">
        <v>42</v>
      </c>
      <c r="D36" s="104" t="s">
        <v>77</v>
      </c>
      <c r="E36" s="106" t="s">
        <v>75</v>
      </c>
      <c r="F36" s="108">
        <f>IFERROR(IF(SUM('APAPÁTARO:UMME MF2'!F36)=0," ",SUM('APAPÁTARO:UMME MF2'!F36))," ")</f>
        <v>9</v>
      </c>
      <c r="G36" s="30">
        <f>IF(F36=0," ",F36)</f>
        <v>9</v>
      </c>
      <c r="H36" s="31">
        <f>IF(F36=0," ",F36)</f>
        <v>9</v>
      </c>
      <c r="I36" s="23" t="s">
        <v>127</v>
      </c>
      <c r="J36" s="24">
        <v>46388</v>
      </c>
      <c r="K36" s="127"/>
    </row>
    <row r="37" spans="1:11" ht="26.25" thickBot="1" x14ac:dyDescent="0.25">
      <c r="A37" s="118"/>
      <c r="B37" s="120"/>
      <c r="C37" s="122"/>
      <c r="D37" s="105"/>
      <c r="E37" s="107"/>
      <c r="F37" s="109"/>
      <c r="G37" s="27"/>
      <c r="H37" s="28"/>
      <c r="I37" s="29"/>
      <c r="J37" s="37"/>
      <c r="K37" s="128"/>
    </row>
    <row r="38" spans="1:11" ht="25.5" x14ac:dyDescent="0.2">
      <c r="A38" s="117" t="s">
        <v>115</v>
      </c>
      <c r="B38" s="119">
        <v>6056</v>
      </c>
      <c r="C38" s="121" t="s">
        <v>28</v>
      </c>
      <c r="D38" s="104" t="s">
        <v>74</v>
      </c>
      <c r="E38" s="106" t="s">
        <v>78</v>
      </c>
      <c r="F38" s="108" t="str">
        <f>IFERROR(IF(SUM('APAPÁTARO:UMME MF2'!F38)=0," ",SUM('APAPÁTARO:UMME MF2'!F38))," ")</f>
        <v xml:space="preserve"> </v>
      </c>
      <c r="G38" s="38" t="str">
        <f>IF(F38=0," ",F38)</f>
        <v xml:space="preserve"> </v>
      </c>
      <c r="H38" s="31" t="str">
        <f>IF(F38=0," ",F38)</f>
        <v xml:space="preserve"> </v>
      </c>
      <c r="I38" s="23"/>
      <c r="J38" s="24"/>
      <c r="K38" s="127"/>
    </row>
    <row r="39" spans="1:11" ht="26.25" thickBot="1" x14ac:dyDescent="0.25">
      <c r="A39" s="118"/>
      <c r="B39" s="120"/>
      <c r="C39" s="122"/>
      <c r="D39" s="105"/>
      <c r="E39" s="107"/>
      <c r="F39" s="109"/>
      <c r="G39" s="39"/>
      <c r="H39" s="28"/>
      <c r="I39" s="29"/>
      <c r="J39" s="35"/>
      <c r="K39" s="128"/>
    </row>
    <row r="40" spans="1:11" ht="25.5" x14ac:dyDescent="0.2">
      <c r="A40" s="117" t="s">
        <v>17</v>
      </c>
      <c r="B40" s="119">
        <v>3820</v>
      </c>
      <c r="C40" s="121" t="s">
        <v>40</v>
      </c>
      <c r="D40" s="104" t="s">
        <v>74</v>
      </c>
      <c r="E40" s="106" t="s">
        <v>78</v>
      </c>
      <c r="F40" s="108">
        <f>IFERROR(IF(SUM('APAPÁTARO:UMME MF2'!F40)=0," ",SUM('APAPÁTARO:UMME MF2'!F40))," ")</f>
        <v>30</v>
      </c>
      <c r="G40" s="30">
        <f>IF(F40=0," ",F40)</f>
        <v>30</v>
      </c>
      <c r="H40" s="31">
        <f>IF(F40=0," ",F40)</f>
        <v>30</v>
      </c>
      <c r="I40" s="23" t="s">
        <v>128</v>
      </c>
      <c r="J40" s="24">
        <v>46600</v>
      </c>
      <c r="K40" s="127"/>
    </row>
    <row r="41" spans="1:11" ht="26.25" thickBot="1" x14ac:dyDescent="0.25">
      <c r="A41" s="129"/>
      <c r="B41" s="130"/>
      <c r="C41" s="131"/>
      <c r="D41" s="105"/>
      <c r="E41" s="107"/>
      <c r="F41" s="109"/>
      <c r="G41" s="27"/>
      <c r="H41" s="28"/>
      <c r="I41" s="29"/>
      <c r="J41" s="35"/>
      <c r="K41" s="128"/>
    </row>
    <row r="42" spans="1:11" ht="26.25" customHeight="1" x14ac:dyDescent="0.2">
      <c r="A42" s="117" t="s">
        <v>18</v>
      </c>
      <c r="B42" s="119">
        <v>3821</v>
      </c>
      <c r="C42" s="121" t="s">
        <v>25</v>
      </c>
      <c r="D42" s="104" t="s">
        <v>77</v>
      </c>
      <c r="E42" s="106" t="s">
        <v>78</v>
      </c>
      <c r="F42" s="108" t="str">
        <f>IFERROR(IF(SUM('APAPÁTARO:UMME MF2'!F42)=0," ",SUM('APAPÁTARO:UMME MF2'!F42))," ")</f>
        <v xml:space="preserve"> </v>
      </c>
      <c r="G42" s="30" t="str">
        <f>IF(F42=0," ",F42)</f>
        <v xml:space="preserve"> </v>
      </c>
      <c r="H42" s="31" t="str">
        <f>IF(F42=0," ",F42)</f>
        <v xml:space="preserve"> </v>
      </c>
      <c r="I42" s="23"/>
      <c r="J42" s="24"/>
      <c r="K42" s="127"/>
    </row>
    <row r="43" spans="1:11" ht="26.25" thickBot="1" x14ac:dyDescent="0.25">
      <c r="A43" s="118"/>
      <c r="B43" s="120"/>
      <c r="C43" s="122"/>
      <c r="D43" s="105"/>
      <c r="E43" s="107"/>
      <c r="F43" s="109"/>
      <c r="G43" s="27"/>
      <c r="H43" s="28"/>
      <c r="I43" s="29"/>
      <c r="J43" s="37"/>
      <c r="K43" s="128"/>
    </row>
    <row r="44" spans="1:11" ht="25.5" x14ac:dyDescent="0.2">
      <c r="A44" s="117" t="s">
        <v>109</v>
      </c>
      <c r="B44" s="119">
        <v>6317</v>
      </c>
      <c r="C44" s="121" t="s">
        <v>34</v>
      </c>
      <c r="D44" s="104" t="s">
        <v>77</v>
      </c>
      <c r="E44" s="106" t="s">
        <v>75</v>
      </c>
      <c r="F44" s="108" t="str">
        <f>IFERROR(IF(SUM('APAPÁTARO:UMME MF2'!F44)=0," ",SUM('APAPÁTARO:UMME MF2'!F44))," ")</f>
        <v xml:space="preserve"> </v>
      </c>
      <c r="G44" s="30" t="str">
        <f>IF(F44=0," ",F44)</f>
        <v xml:space="preserve"> </v>
      </c>
      <c r="H44" s="31" t="str">
        <f>IF(F44=0," ",F44)</f>
        <v xml:space="preserve"> </v>
      </c>
      <c r="I44" s="23"/>
      <c r="J44" s="24"/>
      <c r="K44" s="123"/>
    </row>
    <row r="45" spans="1:11" ht="26.25" thickBot="1" x14ac:dyDescent="0.25">
      <c r="A45" s="118"/>
      <c r="B45" s="120"/>
      <c r="C45" s="122"/>
      <c r="D45" s="105"/>
      <c r="E45" s="107"/>
      <c r="F45" s="109"/>
      <c r="G45" s="27"/>
      <c r="H45" s="28"/>
      <c r="I45" s="29"/>
      <c r="J45" s="37"/>
      <c r="K45" s="124"/>
    </row>
    <row r="46" spans="1:11" ht="26.25" customHeight="1" x14ac:dyDescent="0.2">
      <c r="A46" s="117" t="s">
        <v>29</v>
      </c>
      <c r="B46" s="119">
        <v>3832</v>
      </c>
      <c r="C46" s="121" t="s">
        <v>33</v>
      </c>
      <c r="D46" s="104" t="s">
        <v>74</v>
      </c>
      <c r="E46" s="106" t="s">
        <v>75</v>
      </c>
      <c r="F46" s="108" t="str">
        <f>IFERROR(IF(SUM('APAPÁTARO:UMME MF2'!F46)=0," ",SUM('APAPÁTARO:UMME MF2'!F46))," ")</f>
        <v xml:space="preserve"> </v>
      </c>
      <c r="G46" s="31" t="str">
        <f>IF(F46=0," ",F46)</f>
        <v xml:space="preserve"> </v>
      </c>
      <c r="H46" s="31" t="str">
        <f>IF(F46=0," ",F46)</f>
        <v xml:space="preserve"> </v>
      </c>
      <c r="I46" s="23"/>
      <c r="J46" s="24"/>
      <c r="K46" s="127"/>
    </row>
    <row r="47" spans="1:11" ht="26.25" thickBot="1" x14ac:dyDescent="0.25">
      <c r="A47" s="118"/>
      <c r="B47" s="120"/>
      <c r="C47" s="122"/>
      <c r="D47" s="105"/>
      <c r="E47" s="107"/>
      <c r="F47" s="109"/>
      <c r="G47" s="28"/>
      <c r="H47" s="28"/>
      <c r="I47" s="29"/>
      <c r="J47" s="37"/>
      <c r="K47" s="128"/>
    </row>
    <row r="48" spans="1:11" ht="25.5" x14ac:dyDescent="0.2">
      <c r="A48" s="117" t="s">
        <v>112</v>
      </c>
      <c r="B48" s="119">
        <v>6501</v>
      </c>
      <c r="C48" s="121" t="s">
        <v>10</v>
      </c>
      <c r="D48" s="104" t="s">
        <v>74</v>
      </c>
      <c r="E48" s="106" t="s">
        <v>75</v>
      </c>
      <c r="F48" s="108" t="str">
        <f>IFERROR(IF(SUM('APAPÁTARO:UMME MF2'!F48)=0," ",SUM('APAPÁTARO:UMME MF2'!F48))," ")</f>
        <v xml:space="preserve"> </v>
      </c>
      <c r="G48" s="31" t="str">
        <f>IF(F48=0," ",F48)</f>
        <v xml:space="preserve"> </v>
      </c>
      <c r="H48" s="31" t="str">
        <f>IF(F48=0," ",F48)</f>
        <v xml:space="preserve"> </v>
      </c>
      <c r="I48" s="23"/>
      <c r="J48" s="24"/>
      <c r="K48" s="123"/>
    </row>
    <row r="49" spans="1:13" ht="26.25" thickBot="1" x14ac:dyDescent="0.25">
      <c r="A49" s="118"/>
      <c r="B49" s="120"/>
      <c r="C49" s="122"/>
      <c r="D49" s="105"/>
      <c r="E49" s="107"/>
      <c r="F49" s="109"/>
      <c r="G49" s="28"/>
      <c r="H49" s="28"/>
      <c r="I49" s="29"/>
      <c r="J49" s="37"/>
      <c r="K49" s="124"/>
    </row>
    <row r="50" spans="1:13" ht="25.5" x14ac:dyDescent="0.2">
      <c r="A50" s="117" t="s">
        <v>20</v>
      </c>
      <c r="B50" s="136">
        <v>2</v>
      </c>
      <c r="C50" s="121" t="s">
        <v>27</v>
      </c>
      <c r="D50" s="104" t="s">
        <v>74</v>
      </c>
      <c r="E50" s="106" t="s">
        <v>80</v>
      </c>
      <c r="F50" s="108" t="str">
        <f>IFERROR(IF(SUM('APAPÁTARO:UMME MF2'!F50)=0," ",SUM('APAPÁTARO:UMME MF2'!F50))," ")</f>
        <v xml:space="preserve"> </v>
      </c>
      <c r="G50" s="31" t="str">
        <f>IF(F50=0," ",F50)</f>
        <v xml:space="preserve"> </v>
      </c>
      <c r="H50" s="31" t="str">
        <f>IF(F50=0," ",F50)</f>
        <v xml:space="preserve"> </v>
      </c>
      <c r="I50" s="23"/>
      <c r="J50" s="24"/>
      <c r="K50" s="127"/>
    </row>
    <row r="51" spans="1:13" ht="26.25" thickBot="1" x14ac:dyDescent="0.25">
      <c r="A51" s="118"/>
      <c r="B51" s="137"/>
      <c r="C51" s="122"/>
      <c r="D51" s="105"/>
      <c r="E51" s="107"/>
      <c r="F51" s="109"/>
      <c r="G51" s="28"/>
      <c r="H51" s="28"/>
      <c r="I51" s="37"/>
      <c r="J51" s="37"/>
      <c r="K51" s="128"/>
    </row>
    <row r="52" spans="1:13" ht="25.5" x14ac:dyDescent="0.2">
      <c r="A52" s="117" t="s">
        <v>116</v>
      </c>
      <c r="B52" s="138">
        <v>6509</v>
      </c>
      <c r="C52" s="121" t="s">
        <v>117</v>
      </c>
      <c r="D52" s="104" t="s">
        <v>74</v>
      </c>
      <c r="E52" s="106" t="s">
        <v>75</v>
      </c>
      <c r="F52" s="108">
        <f>IFERROR(IF(SUM('APAPÁTARO:UMME MF2'!F52)=0," ",SUM('APAPÁTARO:UMME MF2'!F52))," ")</f>
        <v>50</v>
      </c>
      <c r="G52" s="31">
        <f>IF(F52=0," ",F52)</f>
        <v>50</v>
      </c>
      <c r="H52" s="31">
        <f>IF(F52=0," ",F52)</f>
        <v>50</v>
      </c>
      <c r="I52" s="23" t="s">
        <v>129</v>
      </c>
      <c r="J52" s="24">
        <v>48061</v>
      </c>
      <c r="K52" s="127"/>
    </row>
    <row r="53" spans="1:13" ht="26.25" thickBot="1" x14ac:dyDescent="0.25">
      <c r="A53" s="118"/>
      <c r="B53" s="139"/>
      <c r="C53" s="122"/>
      <c r="D53" s="105"/>
      <c r="E53" s="107"/>
      <c r="F53" s="109"/>
      <c r="G53" s="28"/>
      <c r="H53" s="28"/>
      <c r="I53" s="37"/>
      <c r="J53" s="35"/>
      <c r="K53" s="128"/>
    </row>
    <row r="54" spans="1:13" s="43" customFormat="1" ht="25.5" customHeight="1" x14ac:dyDescent="0.2">
      <c r="A54" s="41"/>
      <c r="B54" s="132" t="s">
        <v>104</v>
      </c>
      <c r="C54" s="132"/>
      <c r="D54" s="132"/>
      <c r="E54" s="132"/>
      <c r="F54" s="132"/>
      <c r="G54" s="132"/>
      <c r="H54" s="132"/>
      <c r="I54" s="132"/>
      <c r="J54" s="132"/>
      <c r="K54" s="42"/>
    </row>
    <row r="55" spans="1:13" s="11" customFormat="1" ht="25.5" customHeight="1" x14ac:dyDescent="0.2">
      <c r="A55" s="44"/>
      <c r="B55" s="45"/>
      <c r="C55" s="46"/>
      <c r="D55" s="47"/>
      <c r="E55" s="47"/>
      <c r="F55" s="47"/>
      <c r="G55" s="48"/>
      <c r="H55" s="48"/>
      <c r="I55" s="49"/>
      <c r="J55" s="50"/>
      <c r="K55" s="51"/>
    </row>
    <row r="56" spans="1:13" s="11" customFormat="1" ht="25.5" customHeight="1" thickBot="1" x14ac:dyDescent="0.25">
      <c r="A56" s="44"/>
      <c r="C56" s="52" t="s">
        <v>66</v>
      </c>
      <c r="D56" s="53"/>
      <c r="E56" s="49"/>
      <c r="F56" s="47"/>
      <c r="G56" s="133" t="s">
        <v>67</v>
      </c>
      <c r="H56" s="133"/>
      <c r="I56" s="54"/>
      <c r="J56" s="50"/>
      <c r="K56" s="51"/>
    </row>
    <row r="57" spans="1:13" s="11" customFormat="1" ht="25.5" customHeight="1" x14ac:dyDescent="0.2">
      <c r="A57" s="44"/>
      <c r="B57" s="45"/>
      <c r="C57" s="46"/>
      <c r="D57" s="47"/>
      <c r="E57" s="47"/>
      <c r="F57" s="47"/>
      <c r="G57" s="48"/>
      <c r="H57" s="48"/>
      <c r="I57" s="49"/>
      <c r="J57" s="50"/>
      <c r="K57" s="51"/>
    </row>
    <row r="58" spans="1:13" s="11" customFormat="1" ht="30" customHeight="1" x14ac:dyDescent="0.2">
      <c r="A58" s="134" t="s">
        <v>11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M58" s="11" t="s">
        <v>0</v>
      </c>
    </row>
    <row r="59" spans="1:13" s="11" customFormat="1" ht="30" customHeight="1" x14ac:dyDescent="0.2">
      <c r="A59" s="55"/>
      <c r="B59" s="135"/>
      <c r="C59" s="135"/>
      <c r="D59" s="135"/>
      <c r="E59" s="135"/>
      <c r="F59" s="135"/>
      <c r="G59" s="135"/>
      <c r="H59" s="135"/>
      <c r="I59" s="135"/>
      <c r="J59" s="135"/>
      <c r="K59" s="56"/>
    </row>
    <row r="60" spans="1:13" s="11" customFormat="1" ht="30" customHeight="1" x14ac:dyDescent="0.2">
      <c r="A60" s="55"/>
      <c r="B60" s="135"/>
      <c r="C60" s="135"/>
      <c r="D60" s="135"/>
      <c r="E60" s="135"/>
      <c r="F60" s="135"/>
      <c r="G60" s="135"/>
      <c r="H60" s="135"/>
      <c r="I60" s="135"/>
      <c r="J60" s="135"/>
      <c r="K60" s="55"/>
      <c r="L60" s="55"/>
    </row>
    <row r="61" spans="1:13" s="11" customFormat="1" ht="30" customHeight="1" x14ac:dyDescent="0.2">
      <c r="A61" s="55"/>
      <c r="B61" s="135"/>
      <c r="C61" s="135"/>
      <c r="D61" s="135"/>
      <c r="E61" s="135"/>
      <c r="F61" s="135"/>
      <c r="G61" s="135"/>
      <c r="H61" s="135"/>
      <c r="I61" s="135"/>
      <c r="J61" s="135"/>
      <c r="K61" s="55"/>
      <c r="L61" s="46"/>
    </row>
    <row r="62" spans="1:13" s="11" customFormat="1" ht="30" customHeight="1" x14ac:dyDescent="0.2">
      <c r="A62" s="57"/>
      <c r="B62" s="58"/>
      <c r="C62" s="59"/>
      <c r="D62" s="59"/>
      <c r="E62" s="59"/>
      <c r="F62" s="58"/>
      <c r="G62" s="58"/>
      <c r="H62" s="58"/>
      <c r="I62" s="59"/>
      <c r="J62" s="59"/>
      <c r="K62" s="59"/>
    </row>
    <row r="63" spans="1:13" s="11" customFormat="1" ht="30" customHeight="1" x14ac:dyDescent="0.2">
      <c r="A63" s="57"/>
      <c r="B63" s="58"/>
      <c r="C63" s="59"/>
      <c r="D63" s="59"/>
      <c r="E63" s="59"/>
      <c r="F63" s="58"/>
      <c r="H63" s="58"/>
      <c r="I63" s="58"/>
    </row>
    <row r="64" spans="1:13" s="11" customFormat="1" ht="30" customHeight="1" x14ac:dyDescent="0.2">
      <c r="A64" s="60"/>
      <c r="B64" s="61"/>
      <c r="C64" s="62"/>
      <c r="D64" s="62"/>
      <c r="E64" s="62"/>
      <c r="F64" s="61"/>
      <c r="G64" s="63"/>
      <c r="H64" s="61"/>
      <c r="I64" s="61"/>
      <c r="J64" s="63"/>
      <c r="K64" s="63"/>
    </row>
    <row r="65" spans="1:12" s="10" customFormat="1" ht="20.100000000000001" customHeight="1" x14ac:dyDescent="0.2">
      <c r="A65" s="144" t="s">
        <v>103</v>
      </c>
      <c r="B65" s="144"/>
      <c r="C65" s="144"/>
      <c r="D65" s="64"/>
      <c r="E65" s="64"/>
      <c r="F65" s="65"/>
      <c r="G65" s="66"/>
      <c r="H65" s="145" t="s">
        <v>56</v>
      </c>
      <c r="I65" s="145"/>
      <c r="J65" s="145"/>
      <c r="K65" s="145"/>
      <c r="L65" s="67"/>
    </row>
    <row r="66" spans="1:12" s="10" customFormat="1" ht="20.100000000000001" customHeight="1" x14ac:dyDescent="0.2">
      <c r="A66" s="140" t="s">
        <v>68</v>
      </c>
      <c r="B66" s="140"/>
      <c r="C66" s="140"/>
      <c r="D66" s="65"/>
      <c r="E66" s="65"/>
      <c r="F66" s="65"/>
      <c r="G66" s="66"/>
      <c r="H66" s="140" t="s">
        <v>38</v>
      </c>
      <c r="I66" s="140"/>
      <c r="J66" s="140"/>
      <c r="K66" s="140"/>
    </row>
    <row r="67" spans="1:12" s="10" customFormat="1" ht="30" customHeight="1" x14ac:dyDescent="0.2">
      <c r="A67" s="65"/>
      <c r="B67" s="65"/>
      <c r="C67" s="65"/>
      <c r="D67" s="65"/>
      <c r="E67" s="65"/>
      <c r="F67" s="65"/>
      <c r="G67" s="66"/>
      <c r="H67" s="65"/>
      <c r="I67" s="65"/>
      <c r="J67" s="65"/>
      <c r="K67" s="65"/>
    </row>
    <row r="68" spans="1:12" s="10" customFormat="1" ht="30" customHeight="1" x14ac:dyDescent="0.2">
      <c r="A68" s="65"/>
      <c r="B68" s="65"/>
      <c r="C68" s="65"/>
      <c r="D68" s="65"/>
      <c r="E68" s="65"/>
      <c r="F68" s="65"/>
      <c r="G68" s="66"/>
      <c r="H68" s="65"/>
      <c r="I68" s="65"/>
      <c r="J68" s="65"/>
      <c r="K68" s="65"/>
    </row>
    <row r="69" spans="1:12" s="10" customFormat="1" ht="30" customHeight="1" x14ac:dyDescent="0.2">
      <c r="A69" s="65"/>
      <c r="B69" s="65"/>
      <c r="C69" s="65"/>
      <c r="D69" s="65"/>
      <c r="E69" s="65"/>
      <c r="F69" s="65"/>
      <c r="G69" s="66"/>
      <c r="H69" s="65"/>
      <c r="I69" s="65"/>
      <c r="J69" s="65"/>
      <c r="K69" s="65"/>
    </row>
    <row r="70" spans="1:12" s="10" customFormat="1" ht="30" customHeight="1" x14ac:dyDescent="0.2">
      <c r="A70" s="65"/>
      <c r="B70" s="65"/>
      <c r="C70" s="66"/>
      <c r="D70" s="66"/>
      <c r="E70" s="66"/>
      <c r="F70" s="65"/>
      <c r="G70" s="66"/>
      <c r="H70" s="65"/>
      <c r="I70" s="65"/>
      <c r="J70" s="66"/>
      <c r="K70" s="66"/>
    </row>
    <row r="71" spans="1:12" s="11" customFormat="1" ht="30" customHeight="1" x14ac:dyDescent="0.2">
      <c r="A71" s="146"/>
      <c r="B71" s="146"/>
      <c r="C71" s="146"/>
      <c r="D71" s="68"/>
      <c r="E71" s="68"/>
      <c r="F71" s="69"/>
      <c r="G71" s="70"/>
      <c r="H71" s="146"/>
      <c r="I71" s="146"/>
      <c r="J71" s="146"/>
      <c r="K71" s="146"/>
      <c r="L71" s="71"/>
    </row>
    <row r="72" spans="1:12" s="11" customFormat="1" ht="18.75" customHeight="1" x14ac:dyDescent="0.2">
      <c r="A72" s="148" t="s">
        <v>108</v>
      </c>
      <c r="B72" s="148"/>
      <c r="C72" s="148"/>
      <c r="D72" s="68"/>
      <c r="E72" s="68"/>
      <c r="F72" s="69"/>
      <c r="G72" s="70"/>
      <c r="H72" s="147" t="s">
        <v>105</v>
      </c>
      <c r="I72" s="147"/>
      <c r="J72" s="147"/>
      <c r="K72" s="147"/>
      <c r="L72" s="71"/>
    </row>
    <row r="73" spans="1:12" s="11" customFormat="1" ht="30" customHeight="1" x14ac:dyDescent="0.2">
      <c r="A73" s="140" t="s">
        <v>69</v>
      </c>
      <c r="B73" s="140"/>
      <c r="C73" s="140"/>
      <c r="D73" s="65"/>
      <c r="E73" s="65"/>
      <c r="F73" s="64"/>
      <c r="G73" s="68"/>
      <c r="H73" s="141" t="s">
        <v>70</v>
      </c>
      <c r="I73" s="141"/>
      <c r="J73" s="141"/>
      <c r="K73" s="141"/>
      <c r="L73" s="71"/>
    </row>
    <row r="74" spans="1:12" s="3" customFormat="1" ht="30" customHeight="1" x14ac:dyDescent="0.2">
      <c r="A74" s="142"/>
      <c r="B74" s="142"/>
      <c r="C74" s="142"/>
      <c r="D74" s="61"/>
      <c r="E74" s="61"/>
      <c r="F74" s="72"/>
      <c r="G74" s="73"/>
      <c r="H74" s="73"/>
      <c r="I74" s="73"/>
      <c r="J74" s="73"/>
      <c r="K74" s="74"/>
      <c r="L74" s="75"/>
    </row>
    <row r="75" spans="1:12" s="3" customFormat="1" ht="30" customHeight="1" x14ac:dyDescent="0.2">
      <c r="B75" s="143"/>
      <c r="C75" s="143"/>
      <c r="D75" s="76"/>
      <c r="E75" s="76"/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G85" s="77"/>
      <c r="H85" s="77"/>
      <c r="I85" s="77"/>
      <c r="J85" s="77"/>
    </row>
    <row r="86" spans="7:10" s="3" customFormat="1" ht="30" customHeight="1" x14ac:dyDescent="0.2">
      <c r="G86" s="77"/>
      <c r="H86" s="77"/>
      <c r="I86" s="77"/>
      <c r="J86" s="77"/>
    </row>
    <row r="87" spans="7:10" s="3" customFormat="1" ht="30" customHeight="1" x14ac:dyDescent="0.2">
      <c r="H87" s="78"/>
    </row>
  </sheetData>
  <mergeCells count="176">
    <mergeCell ref="A73:C73"/>
    <mergeCell ref="H73:K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H72:K72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APAPÁTARO</vt:lpstr>
      <vt:lpstr>HUIMILPAN</vt:lpstr>
      <vt:lpstr>CEJA DE BRAVO</vt:lpstr>
      <vt:lpstr>LOS CUES</vt:lpstr>
      <vt:lpstr>LAGUNILLAS</vt:lpstr>
      <vt:lpstr>EL MILAGRO</vt:lpstr>
      <vt:lpstr>LA NORIA</vt:lpstr>
      <vt:lpstr>SAN PEDRO H</vt:lpstr>
      <vt:lpstr>UMME EL VEGIL</vt:lpstr>
      <vt:lpstr>BUENAVISTA</vt:lpstr>
      <vt:lpstr>UMME MF2</vt:lpstr>
      <vt:lpstr>GENERAL</vt:lpstr>
      <vt:lpstr>APAPÁTARO!Área_de_impresión</vt:lpstr>
      <vt:lpstr>BUENAVISTA!Área_de_impresión</vt:lpstr>
      <vt:lpstr>'CEJA DE BRAVO'!Área_de_impresión</vt:lpstr>
      <vt:lpstr>'EL MILAGRO'!Área_de_impresión</vt:lpstr>
      <vt:lpstr>GENERAL!Área_de_impresión</vt:lpstr>
      <vt:lpstr>HUIMILPAN!Área_de_impresión</vt:lpstr>
      <vt:lpstr>'LA NORIA'!Área_de_impresión</vt:lpstr>
      <vt:lpstr>LAGUNILLAS!Área_de_impresión</vt:lpstr>
      <vt:lpstr>'LOS CUES'!Área_de_impresión</vt:lpstr>
      <vt:lpstr>'SAN PEDRO H'!Área_de_impresión</vt:lpstr>
      <vt:lpstr>'UMME EL VEGIL'!Área_de_impresión</vt:lpstr>
      <vt:lpstr>'UMME MF2'!Área_de_impresión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2026-09-04T17:41:02Z</cp:lastPrinted>
  <dcterms:created xsi:type="dcterms:W3CDTF">2013-03-21T18:12:10Z</dcterms:created>
  <dcterms:modified xsi:type="dcterms:W3CDTF">2026-09-04T17:41:06Z</dcterms:modified>
</cp:coreProperties>
</file>