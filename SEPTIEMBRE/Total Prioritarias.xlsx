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LESLIE ENCISO\Desktop\ORACLE\REQUISICION MENSUAL\REQUISICIONES 2024\NOVIEMBRE 2024\"/>
    </mc:Choice>
  </mc:AlternateContent>
  <xr:revisionPtr revIDLastSave="0" documentId="13_ncr:1_{95F3229C-F34F-4451-B006-BF6E7247C3CC}" xr6:coauthVersionLast="47" xr6:coauthVersionMax="47" xr10:uidLastSave="{00000000-0000-0000-0000-000000000000}"/>
  <bookViews>
    <workbookView xWindow="-120" yWindow="-120" windowWidth="24240" windowHeight="13140" tabRatio="868" xr2:uid="{00000000-000D-0000-FFFF-FFFF00000000}"/>
  </bookViews>
  <sheets>
    <sheet name="HUIMILPAN" sheetId="49" r:id="rId1"/>
    <sheet name="PEDRO ESCOBEDO" sheetId="50" r:id="rId2"/>
    <sheet name="SATÉLITE" sheetId="51" r:id="rId3"/>
    <sheet name="LOMAS" sheetId="53" r:id="rId4"/>
  </sheets>
  <definedNames>
    <definedName name="_xlnm.Print_Area" localSheetId="0">HUIMILPAN!$A$1:$P$85</definedName>
    <definedName name="_xlnm.Print_Area" localSheetId="3">LOMAS!$A$1:$P$85</definedName>
    <definedName name="_xlnm.Print_Area" localSheetId="1">'PEDRO ESCOBEDO'!$A$1:$P$85</definedName>
    <definedName name="_xlnm.Print_Area" localSheetId="2">SATÉLITE!$A$1:$P$85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8" i="53" l="1"/>
  <c r="M17" i="53"/>
  <c r="M16" i="53"/>
  <c r="M15" i="53"/>
  <c r="M14" i="53"/>
  <c r="M18" i="51" l="1"/>
  <c r="M17" i="51"/>
  <c r="M16" i="51"/>
  <c r="M15" i="51"/>
  <c r="M14" i="51"/>
  <c r="M18" i="50"/>
  <c r="M17" i="50"/>
  <c r="M16" i="50"/>
  <c r="M15" i="50"/>
  <c r="M14" i="50"/>
  <c r="M18" i="49"/>
  <c r="M17" i="49"/>
  <c r="M16" i="49"/>
  <c r="M15" i="49"/>
  <c r="M14" i="49"/>
</calcChain>
</file>

<file path=xl/sharedStrings.xml><?xml version="1.0" encoding="utf-8"?>
<sst xmlns="http://schemas.openxmlformats.org/spreadsheetml/2006/main" count="512" uniqueCount="99">
  <si>
    <t xml:space="preserve"> </t>
  </si>
  <si>
    <t>AREA:</t>
  </si>
  <si>
    <t>NÚM</t>
  </si>
  <si>
    <t>NOMBRE DEL ARTÍCULO</t>
  </si>
  <si>
    <t>CANTIDAD</t>
  </si>
  <si>
    <t>SOLICITADO</t>
  </si>
  <si>
    <t>AUTORIZADO</t>
  </si>
  <si>
    <t>SURTIDO</t>
  </si>
  <si>
    <t>LOTE</t>
  </si>
  <si>
    <t>VACUNA ANTINEUMOCOCCICA 13</t>
  </si>
  <si>
    <t>VACUNA VPH</t>
  </si>
  <si>
    <t xml:space="preserve">OBSERVACIONES: </t>
  </si>
  <si>
    <t>25311.020-000-3800-00</t>
  </si>
  <si>
    <t>25311.020-000-3801-01</t>
  </si>
  <si>
    <t>25311.020-000-2526-00</t>
  </si>
  <si>
    <t>25311.020-000-3802-00</t>
  </si>
  <si>
    <t>25311.020-000-3805-00</t>
  </si>
  <si>
    <t>25311.020-000-3820-00</t>
  </si>
  <si>
    <t>25311.020-000-3821-00</t>
  </si>
  <si>
    <t>25311.020-000-3810-00</t>
  </si>
  <si>
    <t>25331.020-X-0002-00-E</t>
  </si>
  <si>
    <t>VACUNA HEPATITIS B MULTIDOSIS</t>
  </si>
  <si>
    <t>VACUNA HEPATITIS B UNIDOSIS</t>
  </si>
  <si>
    <t>VACUNA BCG</t>
  </si>
  <si>
    <t>VACUNA VACUNA DPT</t>
  </si>
  <si>
    <t>VACUNA TDPA</t>
  </si>
  <si>
    <t>VACUNATRIPLEVIRAL MULTI DOSIS</t>
  </si>
  <si>
    <t>VACUNA ANTINEUMOCOCCICA 23 1DS</t>
  </si>
  <si>
    <t>VACUNA ANTIAMARILICA</t>
  </si>
  <si>
    <t xml:space="preserve">VACUNA ANTIVARICELA </t>
  </si>
  <si>
    <t>25311.020-000-3832-00</t>
  </si>
  <si>
    <t>CADUCIDAD</t>
  </si>
  <si>
    <t>FIRMA DE RECEPCION</t>
  </si>
  <si>
    <t>MES A SURTIR:</t>
  </si>
  <si>
    <t>VACUNA INMUNOGLOBULINA ANTITETANICA</t>
  </si>
  <si>
    <t>VACUNA ANTIINFLUENZA 10/D</t>
  </si>
  <si>
    <t>FOLIO ORACLE:</t>
  </si>
  <si>
    <t>CLAVE DE ARTÍCULO</t>
  </si>
  <si>
    <t>ADMINISTRADOR DE JURISDICCION  SANITARIA No.  1</t>
  </si>
  <si>
    <t>VACUNA DOBLE VIRAL  (SR)</t>
  </si>
  <si>
    <t>VACUNA TRIPLE VIRAL 1DS (SRP)</t>
  </si>
  <si>
    <t>VACUNA  ANTIPOLIOMELITICA (SABIN)</t>
  </si>
  <si>
    <t>VACUNA TD</t>
  </si>
  <si>
    <t>SERVICIOS DE SALUD DEL ESTADO DE QUERÉTARO</t>
  </si>
  <si>
    <t>COORDINACION GENERAL</t>
  </si>
  <si>
    <t>25311.020-000-6135-00</t>
  </si>
  <si>
    <t>25311.020-000-0148-01</t>
  </si>
  <si>
    <t>VACUNA HEXAVALENTE</t>
  </si>
  <si>
    <t>25311.020-000-4173-01</t>
  </si>
  <si>
    <t>25311.020-000-2527-00</t>
  </si>
  <si>
    <t>25311.020-000-6056-01</t>
  </si>
  <si>
    <t xml:space="preserve">JERINGA </t>
  </si>
  <si>
    <t>22X32</t>
  </si>
  <si>
    <t>23X25</t>
  </si>
  <si>
    <t>25X16</t>
  </si>
  <si>
    <t>27X13</t>
  </si>
  <si>
    <t>30GX1/2</t>
  </si>
  <si>
    <t>ING. ISRAEL RUIZ BARCENAS</t>
  </si>
  <si>
    <t>VACUNA ROTAVIRUS MONOVALENTE</t>
  </si>
  <si>
    <t>SUBDIRECCION DE ADQUISICIONES</t>
  </si>
  <si>
    <t>SOLICITUD Y SURTIMIENTO DE LA CÁMARA DE FRÍO ESTATAL</t>
  </si>
  <si>
    <t>ORIGEN:</t>
  </si>
  <si>
    <t>VACUNAS</t>
  </si>
  <si>
    <t>DIRECCIÓN:</t>
  </si>
  <si>
    <t>Circuito Moises Solana S/N, Col. Vista Alegre, Santiago de Querétaro. Qro.</t>
  </si>
  <si>
    <t>FECHA DE ENVIO:</t>
  </si>
  <si>
    <t>DESTINO:</t>
  </si>
  <si>
    <t>TEMPERATURA A LA RECEPCIÓN:</t>
  </si>
  <si>
    <t>FECHA DE  RECEPCIÓN:</t>
  </si>
  <si>
    <t>RESPONSABLE PVU</t>
  </si>
  <si>
    <t>ENTREGA: NOMBRE COMPLETO Y FIRMA</t>
  </si>
  <si>
    <t>RECIBE: NOMBRE COMPLETO Y FIRMA</t>
  </si>
  <si>
    <t>PRESENTACIÓN</t>
  </si>
  <si>
    <t>FORMA</t>
  </si>
  <si>
    <t>FARMACÉUTICA</t>
  </si>
  <si>
    <t>UNIDOSIS</t>
  </si>
  <si>
    <t>Susp. Inyectable (Fco. Ampula)</t>
  </si>
  <si>
    <t>Susp. Inyectable (Jer. prellenada)</t>
  </si>
  <si>
    <t>MULTIDOSIS</t>
  </si>
  <si>
    <t>Fco. Amp Leofilizado+Diluy.</t>
  </si>
  <si>
    <t>Susp. (gotero de plastico)</t>
  </si>
  <si>
    <t>Fco. Amp Leofilizado +  Jer.prellenada.</t>
  </si>
  <si>
    <t>JURISDICCIÓN SANITARIA N.1</t>
  </si>
  <si>
    <t>C.S PEDRO ESCOBEDO</t>
  </si>
  <si>
    <t>C.S. SATÉLITE</t>
  </si>
  <si>
    <t>C.S LOMAS DE CASABLANCA</t>
  </si>
  <si>
    <t xml:space="preserve">Reforma N.587, Josefina Becerril, Huimilpan. </t>
  </si>
  <si>
    <t>Abraham Castellanos S/N, Reforma Agraria, Querétaro.</t>
  </si>
  <si>
    <t>Cordillera Himalaya S/N, Colinas del poniente, Satélite, Querétaro</t>
  </si>
  <si>
    <t>Nicolas Campa Esquina Pino Suarez S/N, Centro, Querétaro.</t>
  </si>
  <si>
    <t>25311.020-000-0150-05</t>
  </si>
  <si>
    <t>25311.020-000-0146-03</t>
  </si>
  <si>
    <t>25311.020-000-3808-02</t>
  </si>
  <si>
    <t>MTRA. ANA MARÍA RAMÍREZ MUNGUÍA</t>
  </si>
  <si>
    <t>L.E LIZBETH URIBE PANTOJA</t>
  </si>
  <si>
    <r>
      <t xml:space="preserve">CONDICIONES DE TRANSPORTE Y ALMACENAMIENTO: </t>
    </r>
    <r>
      <rPr>
        <sz val="22"/>
        <rFont val="Arial Nova"/>
        <family val="2"/>
      </rPr>
      <t>MANTENGASE EN TODO MOMENTO A TEMPERATURA ENTRE 2°C - 8 °C</t>
    </r>
  </si>
  <si>
    <t>ENF. ALMA DELIA HERNÁNDEZ ESQUIVEL</t>
  </si>
  <si>
    <t>25311.020-000-6317-01</t>
  </si>
  <si>
    <t>C.S HUIMILPAN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</si>
</sst>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dd/mm/yyyy;@"/>
    <numFmt numFmtId="166" formatCode="[$-F800]dddd\,\ mmmm\ dd\,\ yyyy"/>
  </numFmts>
  <fonts count="20" x14ac:knownFonts="1">
    <font>
      <sz val="10"/>
      <name val="Arial"/>
    </font>
    <font>
      <sz val="10"/>
      <name val="Arial"/>
      <family val="2"/>
    </font>
    <font>
      <b/>
      <sz val="24"/>
      <name val="Arial Nova"/>
      <family val="2"/>
    </font>
    <font>
      <b/>
      <sz val="10"/>
      <name val="Arial Nova"/>
      <family val="2"/>
    </font>
    <font>
      <sz val="10"/>
      <name val="Arial Nova"/>
      <family val="2"/>
    </font>
    <font>
      <b/>
      <sz val="20"/>
      <name val="Arial Nova"/>
      <family val="2"/>
    </font>
    <font>
      <sz val="20"/>
      <name val="Arial Nova"/>
      <family val="2"/>
    </font>
    <font>
      <b/>
      <sz val="16"/>
      <name val="Arial Nova"/>
      <family val="2"/>
    </font>
    <font>
      <sz val="16"/>
      <name val="Arial Nova"/>
      <family val="2"/>
    </font>
    <font>
      <b/>
      <sz val="18"/>
      <name val="Arial Nova"/>
      <family val="2"/>
    </font>
    <font>
      <sz val="18"/>
      <name val="Arial Nova"/>
      <family val="2"/>
    </font>
    <font>
      <b/>
      <sz val="20"/>
      <color theme="1"/>
      <name val="Arial Nova"/>
      <family val="2"/>
    </font>
    <font>
      <sz val="20"/>
      <color rgb="FFFF0000"/>
      <name val="Arial Nova"/>
      <family val="2"/>
    </font>
    <font>
      <b/>
      <sz val="22"/>
      <name val="Arial Nova"/>
      <family val="2"/>
    </font>
    <font>
      <sz val="22"/>
      <name val="Arial Nova"/>
      <family val="2"/>
    </font>
    <font>
      <b/>
      <sz val="18"/>
      <color indexed="8"/>
      <name val="Arial Nova"/>
      <family val="2"/>
    </font>
    <font>
      <b/>
      <u/>
      <sz val="16"/>
      <name val="Arial Nova"/>
      <family val="2"/>
    </font>
    <font>
      <b/>
      <sz val="16"/>
      <color indexed="8"/>
      <name val="Arial Nova"/>
      <family val="2"/>
    </font>
    <font>
      <b/>
      <sz val="10"/>
      <color theme="0" tint="-0.14999847407452621"/>
      <name val="Arial Nova"/>
      <family val="2"/>
    </font>
    <font>
      <b/>
      <sz val="10"/>
      <color indexed="8"/>
      <name val="Arial Nov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 wrapText="1"/>
      <protection locked="0"/>
    </xf>
    <xf numFmtId="0" fontId="3" fillId="0" borderId="0" xfId="0" applyFont="1" applyAlignment="1">
      <alignment vertical="center"/>
    </xf>
    <xf numFmtId="0" fontId="2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right"/>
    </xf>
    <xf numFmtId="0" fontId="6" fillId="0" borderId="0" xfId="0" applyFont="1" applyAlignment="1" applyProtection="1">
      <alignment horizontal="center"/>
      <protection locked="0"/>
    </xf>
    <xf numFmtId="0" fontId="7" fillId="0" borderId="0" xfId="0" applyFont="1"/>
    <xf numFmtId="0" fontId="7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horizontal="center" wrapText="1"/>
      <protection locked="0"/>
    </xf>
    <xf numFmtId="0" fontId="5" fillId="0" borderId="4" xfId="0" applyFont="1" applyBorder="1" applyAlignment="1">
      <alignment vertical="center"/>
    </xf>
    <xf numFmtId="0" fontId="4" fillId="0" borderId="0" xfId="0" applyFont="1"/>
    <xf numFmtId="0" fontId="7" fillId="2" borderId="13" xfId="0" applyFont="1" applyFill="1" applyBorder="1" applyAlignment="1">
      <alignment horizontal="center" vertical="center" wrapText="1"/>
    </xf>
    <xf numFmtId="0" fontId="8" fillId="0" borderId="0" xfId="0" applyFont="1"/>
    <xf numFmtId="0" fontId="7" fillId="2" borderId="3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3" fontId="6" fillId="0" borderId="5" xfId="1" applyNumberFormat="1" applyFont="1" applyBorder="1" applyAlignment="1">
      <alignment horizontal="center" vertical="center" wrapText="1"/>
    </xf>
    <xf numFmtId="3" fontId="6" fillId="0" borderId="5" xfId="0" applyNumberFormat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17" fontId="6" fillId="0" borderId="5" xfId="1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3" fontId="6" fillId="0" borderId="3" xfId="1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17" fontId="6" fillId="0" borderId="6" xfId="1" applyNumberFormat="1" applyFont="1" applyBorder="1" applyAlignment="1">
      <alignment horizontal="center" vertical="center"/>
    </xf>
    <xf numFmtId="17" fontId="6" fillId="0" borderId="3" xfId="0" applyNumberFormat="1" applyFont="1" applyBorder="1" applyAlignment="1">
      <alignment horizontal="center" vertical="center"/>
    </xf>
    <xf numFmtId="17" fontId="6" fillId="0" borderId="6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3" fontId="12" fillId="0" borderId="6" xfId="1" applyNumberFormat="1" applyFont="1" applyBorder="1" applyAlignment="1">
      <alignment horizontal="center" vertical="center" wrapText="1"/>
    </xf>
    <xf numFmtId="3" fontId="12" fillId="0" borderId="3" xfId="1" applyNumberFormat="1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1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3" fontId="6" fillId="0" borderId="0" xfId="0" applyNumberFormat="1" applyFont="1" applyAlignment="1" applyProtection="1">
      <alignment horizontal="center" vertical="center"/>
      <protection locked="0"/>
    </xf>
    <xf numFmtId="3" fontId="6" fillId="0" borderId="0" xfId="1" applyNumberFormat="1" applyFont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7" fontId="6" fillId="0" borderId="0" xfId="0" applyNumberFormat="1" applyFont="1" applyAlignment="1" applyProtection="1">
      <alignment horizontal="center" vertical="center"/>
      <protection locked="0"/>
    </xf>
    <xf numFmtId="165" fontId="5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>
      <alignment horizontal="center" vertical="center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 wrapText="1"/>
      <protection locked="0"/>
    </xf>
    <xf numFmtId="17" fontId="8" fillId="0" borderId="0" xfId="0" applyNumberFormat="1" applyFont="1" applyAlignment="1" applyProtection="1">
      <alignment horizontal="center" vertical="center"/>
      <protection locked="0"/>
    </xf>
    <xf numFmtId="164" fontId="8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164" fontId="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16" fillId="0" borderId="0" xfId="0" applyFont="1" applyAlignment="1" applyProtection="1">
      <alignment vertical="center"/>
      <protection locked="0"/>
    </xf>
    <xf numFmtId="0" fontId="8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7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9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17" fontId="6" fillId="0" borderId="3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5" fillId="0" borderId="17" xfId="0" applyFont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5" fontId="6" fillId="0" borderId="21" xfId="0" applyNumberFormat="1" applyFont="1" applyBorder="1" applyAlignment="1">
      <alignment horizontal="center" vertical="center"/>
    </xf>
    <xf numFmtId="165" fontId="6" fillId="0" borderId="22" xfId="0" applyNumberFormat="1" applyFont="1" applyBorder="1" applyAlignment="1">
      <alignment horizontal="center" vertical="center"/>
    </xf>
    <xf numFmtId="1" fontId="13" fillId="0" borderId="18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" fontId="9" fillId="0" borderId="14" xfId="0" applyNumberFormat="1" applyFont="1" applyBorder="1" applyAlignment="1">
      <alignment horizontal="center" vertical="center"/>
    </xf>
    <xf numFmtId="1" fontId="9" fillId="0" borderId="15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3" fontId="10" fillId="0" borderId="14" xfId="0" applyNumberFormat="1" applyFont="1" applyBorder="1" applyAlignment="1">
      <alignment horizontal="center" vertical="center"/>
    </xf>
    <xf numFmtId="3" fontId="10" fillId="0" borderId="15" xfId="0" applyNumberFormat="1" applyFont="1" applyBorder="1" applyAlignment="1">
      <alignment horizontal="center" vertical="center"/>
    </xf>
    <xf numFmtId="3" fontId="8" fillId="0" borderId="13" xfId="0" applyNumberFormat="1" applyFont="1" applyBorder="1" applyAlignment="1">
      <alignment horizontal="center" vertical="center" wrapText="1"/>
    </xf>
    <xf numFmtId="3" fontId="8" fillId="0" borderId="16" xfId="0" applyNumberFormat="1" applyFont="1" applyBorder="1" applyAlignment="1">
      <alignment horizontal="center" vertical="center" wrapText="1"/>
    </xf>
    <xf numFmtId="3" fontId="5" fillId="0" borderId="14" xfId="0" applyNumberFormat="1" applyFont="1" applyBorder="1" applyAlignment="1">
      <alignment horizontal="center" vertical="center"/>
    </xf>
    <xf numFmtId="3" fontId="5" fillId="0" borderId="15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17" fontId="6" fillId="0" borderId="21" xfId="0" applyNumberFormat="1" applyFont="1" applyBorder="1" applyAlignment="1">
      <alignment horizontal="center" vertical="center"/>
    </xf>
    <xf numFmtId="17" fontId="6" fillId="0" borderId="22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 wrapText="1"/>
    </xf>
    <xf numFmtId="3" fontId="11" fillId="0" borderId="14" xfId="0" applyNumberFormat="1" applyFont="1" applyBorder="1" applyAlignment="1">
      <alignment horizontal="center" vertical="center"/>
    </xf>
    <xf numFmtId="3" fontId="11" fillId="0" borderId="15" xfId="0" applyNumberFormat="1" applyFont="1" applyBorder="1" applyAlignment="1">
      <alignment horizontal="center" vertical="center"/>
    </xf>
    <xf numFmtId="14" fontId="6" fillId="0" borderId="21" xfId="0" applyNumberFormat="1" applyFont="1" applyBorder="1" applyAlignment="1">
      <alignment horizontal="center" vertical="center"/>
    </xf>
    <xf numFmtId="14" fontId="6" fillId="0" borderId="22" xfId="0" applyNumberFormat="1" applyFont="1" applyBorder="1" applyAlignment="1">
      <alignment horizontal="center" vertical="center"/>
    </xf>
    <xf numFmtId="14" fontId="6" fillId="0" borderId="21" xfId="1" applyNumberFormat="1" applyFont="1" applyBorder="1" applyAlignment="1">
      <alignment horizontal="center" vertical="center" wrapText="1"/>
    </xf>
    <xf numFmtId="14" fontId="6" fillId="0" borderId="22" xfId="1" applyNumberFormat="1" applyFont="1" applyBorder="1" applyAlignment="1">
      <alignment horizontal="center" vertical="center" wrapText="1"/>
    </xf>
    <xf numFmtId="14" fontId="6" fillId="0" borderId="24" xfId="1" applyNumberFormat="1" applyFont="1" applyBorder="1" applyAlignment="1">
      <alignment horizontal="center" vertical="center" wrapText="1"/>
    </xf>
    <xf numFmtId="14" fontId="6" fillId="0" borderId="12" xfId="1" applyNumberFormat="1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14" fontId="6" fillId="0" borderId="11" xfId="1" applyNumberFormat="1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9F9F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34924</xdr:colOff>
      <xdr:row>72</xdr:row>
      <xdr:rowOff>30390</xdr:rowOff>
    </xdr:from>
    <xdr:to>
      <xdr:col>2</xdr:col>
      <xdr:colOff>4199585</xdr:colOff>
      <xdr:row>84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AA08A3FA-64E7-4482-A586-8797534C7AD2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72</xdr:row>
      <xdr:rowOff>11340</xdr:rowOff>
    </xdr:from>
    <xdr:to>
      <xdr:col>10</xdr:col>
      <xdr:colOff>2672046</xdr:colOff>
      <xdr:row>84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96783BCD-B56C-4FBF-93A8-69256D8F5380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79375</xdr:rowOff>
    </xdr:from>
    <xdr:to>
      <xdr:col>2</xdr:col>
      <xdr:colOff>1001230</xdr:colOff>
      <xdr:row>5</xdr:row>
      <xdr:rowOff>10451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851152B-EB21-4AF1-9EDD-FC7708605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9375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47625</xdr:rowOff>
    </xdr:from>
    <xdr:to>
      <xdr:col>10</xdr:col>
      <xdr:colOff>2660354</xdr:colOff>
      <xdr:row>4</xdr:row>
      <xdr:rowOff>359352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3A624F-E2FB-411C-BFD8-249527EB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4750" y="47625"/>
          <a:ext cx="6375104" cy="18357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3BFFC83C-D502-433A-9108-5FE781BFF56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72</xdr:row>
      <xdr:rowOff>30390</xdr:rowOff>
    </xdr:from>
    <xdr:to>
      <xdr:col>2</xdr:col>
      <xdr:colOff>4199585</xdr:colOff>
      <xdr:row>84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797DC20-7688-44D0-8BE2-FBB9EDEF92A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72</xdr:row>
      <xdr:rowOff>11340</xdr:rowOff>
    </xdr:from>
    <xdr:to>
      <xdr:col>10</xdr:col>
      <xdr:colOff>2672046</xdr:colOff>
      <xdr:row>84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454F1B3-DCDD-42AE-BB35-9AF816A0F608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63500</xdr:colOff>
      <xdr:row>0</xdr:row>
      <xdr:rowOff>63500</xdr:rowOff>
    </xdr:from>
    <xdr:to>
      <xdr:col>2</xdr:col>
      <xdr:colOff>1017105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6B2C7F2-453D-4703-BDC3-DEA5EFEE7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3500"/>
          <a:ext cx="5350980" cy="1836076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962025</xdr:colOff>
      <xdr:row>37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555B8002-0316-44C3-BDBB-802790BF6F7C}"/>
            </a:ext>
          </a:extLst>
        </xdr:cNvPr>
        <xdr:cNvSpPr>
          <a:spLocks noChangeShapeType="1"/>
        </xdr:cNvSpPr>
      </xdr:nvSpPr>
      <xdr:spPr bwMode="auto">
        <a:xfrm>
          <a:off x="15170150" y="132080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31750</xdr:colOff>
      <xdr:row>0</xdr:row>
      <xdr:rowOff>31750</xdr:rowOff>
    </xdr:from>
    <xdr:to>
      <xdr:col>11</xdr:col>
      <xdr:colOff>9229</xdr:colOff>
      <xdr:row>4</xdr:row>
      <xdr:rowOff>343477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F67DAC-F5C8-4A0B-B644-1CD4BF603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31750"/>
          <a:ext cx="6375104" cy="18357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CA71C5E8-9A91-4F4F-9B14-FEC3FA461446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72</xdr:row>
      <xdr:rowOff>30390</xdr:rowOff>
    </xdr:from>
    <xdr:to>
      <xdr:col>2</xdr:col>
      <xdr:colOff>4199585</xdr:colOff>
      <xdr:row>84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1438B2AD-E5AF-4192-9290-0E182C0E7783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72</xdr:row>
      <xdr:rowOff>11340</xdr:rowOff>
    </xdr:from>
    <xdr:to>
      <xdr:col>10</xdr:col>
      <xdr:colOff>2672046</xdr:colOff>
      <xdr:row>84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EA37BE26-5F88-4E53-93F8-2D97D031EE7D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79375</xdr:rowOff>
    </xdr:from>
    <xdr:to>
      <xdr:col>2</xdr:col>
      <xdr:colOff>1001230</xdr:colOff>
      <xdr:row>5</xdr:row>
      <xdr:rowOff>10451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C6CB280-42ED-4C8A-BCE8-B1191BC9F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79375"/>
          <a:ext cx="5350980" cy="1836076"/>
        </a:xfrm>
        <a:prstGeom prst="rect">
          <a:avLst/>
        </a:prstGeom>
      </xdr:spPr>
    </xdr:pic>
    <xdr:clientData/>
  </xdr:twoCellAnchor>
  <xdr:twoCellAnchor>
    <xdr:from>
      <xdr:col>7</xdr:col>
      <xdr:colOff>581025</xdr:colOff>
      <xdr:row>37</xdr:row>
      <xdr:rowOff>0</xdr:rowOff>
    </xdr:from>
    <xdr:to>
      <xdr:col>7</xdr:col>
      <xdr:colOff>962025</xdr:colOff>
      <xdr:row>37</xdr:row>
      <xdr:rowOff>0</xdr:rowOff>
    </xdr:to>
    <xdr:sp macro="" textlink="">
      <xdr:nvSpPr>
        <xdr:cNvPr id="3" name="Line 31">
          <a:extLst>
            <a:ext uri="{FF2B5EF4-FFF2-40B4-BE49-F238E27FC236}">
              <a16:creationId xmlns:a16="http://schemas.microsoft.com/office/drawing/2014/main" id="{D57544A8-5FC9-49A5-8740-7B03B2E0D937}"/>
            </a:ext>
          </a:extLst>
        </xdr:cNvPr>
        <xdr:cNvSpPr>
          <a:spLocks noChangeShapeType="1"/>
        </xdr:cNvSpPr>
      </xdr:nvSpPr>
      <xdr:spPr bwMode="auto">
        <a:xfrm>
          <a:off x="15170150" y="13541375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8</xdr:col>
      <xdr:colOff>15875</xdr:colOff>
      <xdr:row>0</xdr:row>
      <xdr:rowOff>31750</xdr:rowOff>
    </xdr:from>
    <xdr:to>
      <xdr:col>10</xdr:col>
      <xdr:colOff>2676229</xdr:colOff>
      <xdr:row>4</xdr:row>
      <xdr:rowOff>343477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C74D26-F899-495F-8087-2FDD968BB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00625" y="31750"/>
          <a:ext cx="6375104" cy="18357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37</xdr:row>
      <xdr:rowOff>0</xdr:rowOff>
    </xdr:from>
    <xdr:to>
      <xdr:col>6</xdr:col>
      <xdr:colOff>962025</xdr:colOff>
      <xdr:row>37</xdr:row>
      <xdr:rowOff>0</xdr:rowOff>
    </xdr:to>
    <xdr:sp macro="" textlink="">
      <xdr:nvSpPr>
        <xdr:cNvPr id="2" name="Line 31">
          <a:extLst>
            <a:ext uri="{FF2B5EF4-FFF2-40B4-BE49-F238E27FC236}">
              <a16:creationId xmlns:a16="http://schemas.microsoft.com/office/drawing/2014/main" id="{1E8F748F-3A2B-4CCB-9EB5-F0290E03F3A3}"/>
            </a:ext>
          </a:extLst>
        </xdr:cNvPr>
        <xdr:cNvSpPr>
          <a:spLocks noChangeShapeType="1"/>
        </xdr:cNvSpPr>
      </xdr:nvSpPr>
      <xdr:spPr bwMode="auto">
        <a:xfrm>
          <a:off x="15163800" y="13449300"/>
          <a:ext cx="3810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34924</xdr:colOff>
      <xdr:row>72</xdr:row>
      <xdr:rowOff>30390</xdr:rowOff>
    </xdr:from>
    <xdr:to>
      <xdr:col>2</xdr:col>
      <xdr:colOff>4199585</xdr:colOff>
      <xdr:row>84</xdr:row>
      <xdr:rowOff>361949</xdr:rowOff>
    </xdr:to>
    <xdr:sp macro="" textlink="">
      <xdr:nvSpPr>
        <xdr:cNvPr id="5" name="5 CuadroTexto">
          <a:extLst>
            <a:ext uri="{FF2B5EF4-FFF2-40B4-BE49-F238E27FC236}">
              <a16:creationId xmlns:a16="http://schemas.microsoft.com/office/drawing/2014/main" id="{F6C87FA1-7A9D-41E2-9478-3CBF13AEBAFF}"/>
            </a:ext>
          </a:extLst>
        </xdr:cNvPr>
        <xdr:cNvSpPr txBox="1"/>
      </xdr:nvSpPr>
      <xdr:spPr>
        <a:xfrm>
          <a:off x="34924" y="25338315"/>
          <a:ext cx="8555686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chemeClr val="bg1">
                <a:lumMod val="95000"/>
              </a:schemeClr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6</xdr:col>
      <xdr:colOff>1521107</xdr:colOff>
      <xdr:row>72</xdr:row>
      <xdr:rowOff>11340</xdr:rowOff>
    </xdr:from>
    <xdr:to>
      <xdr:col>10</xdr:col>
      <xdr:colOff>2672046</xdr:colOff>
      <xdr:row>84</xdr:row>
      <xdr:rowOff>342899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BCD08DD0-F84B-4E3D-9775-1C0759EDA7B1}"/>
            </a:ext>
          </a:extLst>
        </xdr:cNvPr>
        <xdr:cNvSpPr txBox="1"/>
      </xdr:nvSpPr>
      <xdr:spPr>
        <a:xfrm>
          <a:off x="16103882" y="25319265"/>
          <a:ext cx="7980364" cy="4903559"/>
        </a:xfrm>
        <a:prstGeom prst="rect">
          <a:avLst/>
        </a:prstGeom>
        <a:solidFill>
          <a:sysClr val="window" lastClr="FFFFFF"/>
        </a:solidFill>
        <a:ln w="12700" cmpd="sng">
          <a:solidFill>
            <a:sysClr val="windowText" lastClr="000000"/>
          </a:solidFill>
          <a:prstDash val="sysDot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s-MX" sz="13800">
            <a:solidFill>
              <a:srgbClr val="F9F9F9"/>
            </a:solidFill>
            <a:latin typeface="Arial" pitchFamily="34" charset="0"/>
            <a:cs typeface="Arial" pitchFamily="34" charset="0"/>
          </a:endParaRPr>
        </a:p>
      </xdr:txBody>
    </xdr:sp>
    <xdr:clientData/>
  </xdr:twoCellAnchor>
  <xdr:twoCellAnchor editAs="oneCell">
    <xdr:from>
      <xdr:col>0</xdr:col>
      <xdr:colOff>47625</xdr:colOff>
      <xdr:row>0</xdr:row>
      <xdr:rowOff>63500</xdr:rowOff>
    </xdr:from>
    <xdr:to>
      <xdr:col>2</xdr:col>
      <xdr:colOff>1001230</xdr:colOff>
      <xdr:row>4</xdr:row>
      <xdr:rowOff>375576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E075317-D4F9-487A-9875-CADD0A6E9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63500"/>
          <a:ext cx="5350980" cy="1836076"/>
        </a:xfrm>
        <a:prstGeom prst="rect">
          <a:avLst/>
        </a:prstGeom>
      </xdr:spPr>
    </xdr:pic>
    <xdr:clientData/>
  </xdr:twoCellAnchor>
  <xdr:twoCellAnchor editAs="oneCell">
    <xdr:from>
      <xdr:col>8</xdr:col>
      <xdr:colOff>31750</xdr:colOff>
      <xdr:row>0</xdr:row>
      <xdr:rowOff>47625</xdr:rowOff>
    </xdr:from>
    <xdr:to>
      <xdr:col>11</xdr:col>
      <xdr:colOff>9229</xdr:colOff>
      <xdr:row>4</xdr:row>
      <xdr:rowOff>359352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0BFE6D-BE16-44DE-9F86-835E28F8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0" y="47625"/>
          <a:ext cx="6375104" cy="1835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EBAF4-CA75-4508-B911-5E3E02F5DCE4}">
  <dimension ref="A1:P85"/>
  <sheetViews>
    <sheetView tabSelected="1" view="pageBreakPreview" topLeftCell="A4" zoomScale="60" zoomScaleNormal="50" workbookViewId="0">
      <selection activeCell="B10" sqref="B10:D10"/>
    </sheetView>
  </sheetViews>
  <sheetFormatPr baseColWidth="10" defaultRowHeight="12.75" x14ac:dyDescent="0.2"/>
  <cols>
    <col min="1" max="1" width="43.7109375" style="14" customWidth="1"/>
    <col min="2" max="2" width="22.140625" style="14" customWidth="1"/>
    <col min="3" max="3" width="63" style="14" customWidth="1"/>
    <col min="4" max="4" width="34.85546875" style="14" customWidth="1"/>
    <col min="5" max="5" width="30.42578125" style="14" customWidth="1"/>
    <col min="6" max="6" width="24.5703125" style="14" customWidth="1"/>
    <col min="7" max="7" width="23.42578125" style="14" customWidth="1"/>
    <col min="8" max="8" width="23.140625" style="14" customWidth="1"/>
    <col min="9" max="9" width="33.42578125" style="14" customWidth="1"/>
    <col min="10" max="10" width="22.42578125" style="14" customWidth="1"/>
    <col min="11" max="11" width="40.28515625" style="14" customWidth="1"/>
    <col min="12" max="12" width="11.42578125" style="14"/>
    <col min="13" max="13" width="11.42578125" style="14" customWidth="1"/>
    <col min="14" max="14" width="22.140625" style="14" customWidth="1"/>
    <col min="15" max="15" width="11.42578125" style="14"/>
    <col min="16" max="16" width="28.28515625" style="14" customWidth="1"/>
    <col min="17" max="16384" width="11.42578125" style="14"/>
  </cols>
  <sheetData>
    <row r="1" spans="1:16" s="3" customFormat="1" ht="30" x14ac:dyDescent="0.2">
      <c r="A1" s="131" t="s">
        <v>43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/>
    </row>
    <row r="2" spans="1:16" s="3" customFormat="1" ht="30" x14ac:dyDescent="0.2">
      <c r="A2" s="131" t="s">
        <v>44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4"/>
    </row>
    <row r="3" spans="1:16" s="3" customFormat="1" ht="30" customHeight="1" x14ac:dyDescent="0.2">
      <c r="A3" s="131" t="s">
        <v>59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131" t="s">
        <v>60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61</v>
      </c>
      <c r="B7" s="132" t="s">
        <v>82</v>
      </c>
      <c r="C7" s="132"/>
      <c r="D7" s="132"/>
      <c r="E7" s="8"/>
      <c r="F7" s="9"/>
      <c r="G7" s="7" t="s">
        <v>1</v>
      </c>
      <c r="H7" s="132" t="s">
        <v>62</v>
      </c>
      <c r="I7" s="132"/>
      <c r="J7" s="132"/>
      <c r="K7" s="10"/>
    </row>
    <row r="8" spans="1:16" s="11" customFormat="1" ht="39.950000000000003" customHeight="1" x14ac:dyDescent="0.35">
      <c r="A8" s="7" t="s">
        <v>63</v>
      </c>
      <c r="B8" s="144" t="s">
        <v>64</v>
      </c>
      <c r="C8" s="144"/>
      <c r="D8" s="144"/>
      <c r="E8" s="12"/>
      <c r="F8" s="9"/>
      <c r="G8" s="7" t="s">
        <v>65</v>
      </c>
      <c r="H8" s="145"/>
      <c r="I8" s="145"/>
      <c r="J8" s="145"/>
      <c r="K8" s="10"/>
    </row>
    <row r="9" spans="1:16" s="11" customFormat="1" ht="39.950000000000003" customHeight="1" x14ac:dyDescent="0.35">
      <c r="A9" s="7" t="s">
        <v>66</v>
      </c>
      <c r="B9" s="132" t="s">
        <v>98</v>
      </c>
      <c r="C9" s="132"/>
      <c r="D9" s="132"/>
      <c r="E9" s="8"/>
      <c r="F9" s="9"/>
      <c r="G9" s="7" t="s">
        <v>36</v>
      </c>
      <c r="H9" s="146"/>
      <c r="I9" s="146"/>
      <c r="J9" s="146"/>
      <c r="K9" s="10"/>
    </row>
    <row r="10" spans="1:16" s="11" customFormat="1" ht="39.75" customHeight="1" x14ac:dyDescent="0.35">
      <c r="A10" s="7" t="s">
        <v>63</v>
      </c>
      <c r="B10" s="147" t="s">
        <v>86</v>
      </c>
      <c r="C10" s="147"/>
      <c r="D10" s="147"/>
      <c r="E10" s="12"/>
      <c r="F10" s="9"/>
      <c r="G10" s="7" t="s">
        <v>33</v>
      </c>
      <c r="H10" s="132"/>
      <c r="I10" s="132"/>
      <c r="J10" s="132"/>
      <c r="K10" s="10"/>
    </row>
    <row r="11" spans="1:16" ht="39.75" customHeight="1" thickBo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6" s="16" customFormat="1" ht="20.25" x14ac:dyDescent="0.3">
      <c r="A12" s="133" t="s">
        <v>2</v>
      </c>
      <c r="B12" s="135" t="s">
        <v>37</v>
      </c>
      <c r="C12" s="135" t="s">
        <v>3</v>
      </c>
      <c r="D12" s="137" t="s">
        <v>72</v>
      </c>
      <c r="E12" s="15" t="s">
        <v>73</v>
      </c>
      <c r="F12" s="139" t="s">
        <v>4</v>
      </c>
      <c r="G12" s="140"/>
      <c r="H12" s="140"/>
      <c r="I12" s="140"/>
      <c r="J12" s="141"/>
      <c r="K12" s="142" t="s">
        <v>32</v>
      </c>
    </row>
    <row r="13" spans="1:16" s="16" customFormat="1" ht="21" thickBot="1" x14ac:dyDescent="0.35">
      <c r="A13" s="134"/>
      <c r="B13" s="136"/>
      <c r="C13" s="136"/>
      <c r="D13" s="138"/>
      <c r="E13" s="18" t="s">
        <v>74</v>
      </c>
      <c r="F13" s="17" t="s">
        <v>5</v>
      </c>
      <c r="G13" s="17" t="s">
        <v>6</v>
      </c>
      <c r="H13" s="17" t="s">
        <v>7</v>
      </c>
      <c r="I13" s="19" t="s">
        <v>8</v>
      </c>
      <c r="J13" s="19" t="s">
        <v>31</v>
      </c>
      <c r="K13" s="143"/>
    </row>
    <row r="14" spans="1:16" ht="26.25" customHeight="1" x14ac:dyDescent="0.2">
      <c r="A14" s="127" t="s">
        <v>91</v>
      </c>
      <c r="B14" s="128">
        <v>146</v>
      </c>
      <c r="C14" s="129" t="s">
        <v>27</v>
      </c>
      <c r="D14" s="99" t="s">
        <v>75</v>
      </c>
      <c r="E14" s="101" t="s">
        <v>76</v>
      </c>
      <c r="F14" s="112"/>
      <c r="G14" s="20"/>
      <c r="H14" s="21"/>
      <c r="I14" s="22"/>
      <c r="J14" s="23"/>
      <c r="K14" s="118"/>
      <c r="M14" s="24">
        <f>SUM(F14+(F44*10)+(F32*10)+F22+F34+(F36*10)+F48)</f>
        <v>0</v>
      </c>
      <c r="N14" s="25" t="s">
        <v>51</v>
      </c>
      <c r="O14" s="25">
        <v>2715</v>
      </c>
      <c r="P14" s="25" t="s">
        <v>52</v>
      </c>
    </row>
    <row r="15" spans="1:16" ht="26.25" thickBot="1" x14ac:dyDescent="0.25">
      <c r="A15" s="121"/>
      <c r="B15" s="123"/>
      <c r="C15" s="130"/>
      <c r="D15" s="100"/>
      <c r="E15" s="102"/>
      <c r="F15" s="113"/>
      <c r="G15" s="26"/>
      <c r="H15" s="27"/>
      <c r="I15" s="28"/>
      <c r="J15" s="28"/>
      <c r="K15" s="119"/>
      <c r="M15" s="24">
        <f>SUM((F44/3)*20+F20)</f>
        <v>0</v>
      </c>
      <c r="N15" s="25" t="s">
        <v>51</v>
      </c>
      <c r="O15" s="25">
        <v>2707</v>
      </c>
      <c r="P15" s="25" t="s">
        <v>53</v>
      </c>
    </row>
    <row r="16" spans="1:16" ht="25.5" x14ac:dyDescent="0.2">
      <c r="A16" s="120" t="s">
        <v>46</v>
      </c>
      <c r="B16" s="122">
        <v>148</v>
      </c>
      <c r="C16" s="124" t="s">
        <v>9</v>
      </c>
      <c r="D16" s="99" t="s">
        <v>75</v>
      </c>
      <c r="E16" s="101" t="s">
        <v>77</v>
      </c>
      <c r="F16" s="112"/>
      <c r="G16" s="29"/>
      <c r="H16" s="30"/>
      <c r="I16" s="31"/>
      <c r="J16" s="32"/>
      <c r="K16" s="126"/>
      <c r="M16" s="24">
        <f>SUM(F24)</f>
        <v>0</v>
      </c>
      <c r="N16" s="25" t="s">
        <v>51</v>
      </c>
      <c r="O16" s="25">
        <v>2699</v>
      </c>
      <c r="P16" s="25" t="s">
        <v>54</v>
      </c>
    </row>
    <row r="17" spans="1:16" ht="26.25" thickBot="1" x14ac:dyDescent="0.25">
      <c r="A17" s="121"/>
      <c r="B17" s="123"/>
      <c r="C17" s="125"/>
      <c r="D17" s="100"/>
      <c r="E17" s="102"/>
      <c r="F17" s="113"/>
      <c r="G17" s="26"/>
      <c r="H17" s="27"/>
      <c r="I17" s="28"/>
      <c r="J17" s="28"/>
      <c r="K17" s="119"/>
      <c r="M17" s="24">
        <f>SUM(F26+F40)</f>
        <v>0</v>
      </c>
      <c r="N17" s="25" t="s">
        <v>51</v>
      </c>
      <c r="O17" s="25">
        <v>2657</v>
      </c>
      <c r="P17" s="25" t="s">
        <v>55</v>
      </c>
    </row>
    <row r="18" spans="1:16" ht="26.25" customHeight="1" x14ac:dyDescent="0.2">
      <c r="A18" s="93" t="s">
        <v>90</v>
      </c>
      <c r="B18" s="105">
        <v>150</v>
      </c>
      <c r="C18" s="97" t="s">
        <v>58</v>
      </c>
      <c r="D18" s="99" t="s">
        <v>75</v>
      </c>
      <c r="E18" s="101" t="s">
        <v>77</v>
      </c>
      <c r="F18" s="112"/>
      <c r="G18" s="29"/>
      <c r="H18" s="30"/>
      <c r="I18" s="31"/>
      <c r="J18" s="32"/>
      <c r="K18" s="116"/>
      <c r="M18" s="24">
        <f>SUM(F28*10)</f>
        <v>0</v>
      </c>
      <c r="N18" s="25" t="s">
        <v>51</v>
      </c>
      <c r="O18" s="25">
        <v>59</v>
      </c>
      <c r="P18" s="25" t="s">
        <v>56</v>
      </c>
    </row>
    <row r="19" spans="1:16" ht="26.25" thickBot="1" x14ac:dyDescent="0.25">
      <c r="A19" s="94"/>
      <c r="B19" s="106"/>
      <c r="C19" s="98"/>
      <c r="D19" s="100"/>
      <c r="E19" s="102"/>
      <c r="F19" s="113"/>
      <c r="G19" s="26"/>
      <c r="H19" s="27"/>
      <c r="I19" s="28"/>
      <c r="J19" s="28"/>
      <c r="K19" s="117"/>
    </row>
    <row r="20" spans="1:16" ht="25.5" x14ac:dyDescent="0.2">
      <c r="A20" s="93" t="s">
        <v>45</v>
      </c>
      <c r="B20" s="105">
        <v>6135</v>
      </c>
      <c r="C20" s="97" t="s">
        <v>47</v>
      </c>
      <c r="D20" s="99" t="s">
        <v>75</v>
      </c>
      <c r="E20" s="101" t="s">
        <v>76</v>
      </c>
      <c r="F20" s="112"/>
      <c r="G20" s="29"/>
      <c r="H20" s="30"/>
      <c r="I20" s="31"/>
      <c r="J20" s="32"/>
      <c r="K20" s="116"/>
    </row>
    <row r="21" spans="1:16" ht="26.25" thickBot="1" x14ac:dyDescent="0.25">
      <c r="A21" s="94"/>
      <c r="B21" s="106"/>
      <c r="C21" s="98"/>
      <c r="D21" s="100"/>
      <c r="E21" s="102"/>
      <c r="F21" s="113"/>
      <c r="G21" s="26"/>
      <c r="H21" s="27"/>
      <c r="I21" s="28"/>
      <c r="J21" s="79"/>
      <c r="K21" s="117"/>
    </row>
    <row r="22" spans="1:16" ht="25.5" x14ac:dyDescent="0.2">
      <c r="A22" s="93" t="s">
        <v>14</v>
      </c>
      <c r="B22" s="105">
        <v>2526</v>
      </c>
      <c r="C22" s="97" t="s">
        <v>21</v>
      </c>
      <c r="D22" s="99" t="s">
        <v>78</v>
      </c>
      <c r="E22" s="101" t="s">
        <v>76</v>
      </c>
      <c r="F22" s="112"/>
      <c r="G22" s="29"/>
      <c r="H22" s="30"/>
      <c r="I22" s="31"/>
      <c r="J22" s="34"/>
      <c r="K22" s="107"/>
    </row>
    <row r="23" spans="1:16" ht="26.25" thickBot="1" x14ac:dyDescent="0.25">
      <c r="A23" s="94"/>
      <c r="B23" s="106"/>
      <c r="C23" s="98"/>
      <c r="D23" s="100"/>
      <c r="E23" s="102"/>
      <c r="F23" s="113"/>
      <c r="G23" s="26"/>
      <c r="H23" s="27"/>
      <c r="I23" s="28"/>
      <c r="J23" s="33"/>
      <c r="K23" s="108"/>
    </row>
    <row r="24" spans="1:16" ht="25.5" x14ac:dyDescent="0.2">
      <c r="A24" s="93" t="s">
        <v>49</v>
      </c>
      <c r="B24" s="105">
        <v>2527</v>
      </c>
      <c r="C24" s="97" t="s">
        <v>22</v>
      </c>
      <c r="D24" s="99" t="s">
        <v>75</v>
      </c>
      <c r="E24" s="101" t="s">
        <v>76</v>
      </c>
      <c r="F24" s="112"/>
      <c r="G24" s="29"/>
      <c r="H24" s="30"/>
      <c r="I24" s="31"/>
      <c r="J24" s="34"/>
      <c r="K24" s="114"/>
    </row>
    <row r="25" spans="1:16" ht="26.25" thickBot="1" x14ac:dyDescent="0.25">
      <c r="A25" s="94"/>
      <c r="B25" s="106"/>
      <c r="C25" s="98"/>
      <c r="D25" s="100"/>
      <c r="E25" s="102"/>
      <c r="F25" s="113"/>
      <c r="G25" s="26"/>
      <c r="H25" s="27"/>
      <c r="I25" s="28"/>
      <c r="J25" s="33"/>
      <c r="K25" s="115"/>
    </row>
    <row r="26" spans="1:16" ht="25.5" x14ac:dyDescent="0.2">
      <c r="A26" s="93" t="s">
        <v>12</v>
      </c>
      <c r="B26" s="105">
        <v>3800</v>
      </c>
      <c r="C26" s="97" t="s">
        <v>39</v>
      </c>
      <c r="D26" s="99" t="s">
        <v>78</v>
      </c>
      <c r="E26" s="101" t="s">
        <v>79</v>
      </c>
      <c r="F26" s="112"/>
      <c r="G26" s="29"/>
      <c r="H26" s="30"/>
      <c r="I26" s="29"/>
      <c r="J26" s="34"/>
      <c r="K26" s="107"/>
    </row>
    <row r="27" spans="1:16" ht="26.25" thickBot="1" x14ac:dyDescent="0.25">
      <c r="A27" s="94"/>
      <c r="B27" s="106"/>
      <c r="C27" s="98"/>
      <c r="D27" s="100"/>
      <c r="E27" s="102"/>
      <c r="F27" s="113"/>
      <c r="G27" s="26"/>
      <c r="H27" s="27"/>
      <c r="I27" s="28"/>
      <c r="J27" s="35"/>
      <c r="K27" s="108"/>
    </row>
    <row r="28" spans="1:16" ht="25.5" x14ac:dyDescent="0.2">
      <c r="A28" s="93" t="s">
        <v>13</v>
      </c>
      <c r="B28" s="105">
        <v>3801</v>
      </c>
      <c r="C28" s="97" t="s">
        <v>23</v>
      </c>
      <c r="D28" s="99" t="s">
        <v>78</v>
      </c>
      <c r="E28" s="101" t="s">
        <v>79</v>
      </c>
      <c r="F28" s="112"/>
      <c r="G28" s="29"/>
      <c r="H28" s="30"/>
      <c r="I28" s="31"/>
      <c r="J28" s="34"/>
      <c r="K28" s="107"/>
    </row>
    <row r="29" spans="1:16" ht="26.25" thickBot="1" x14ac:dyDescent="0.25">
      <c r="A29" s="94"/>
      <c r="B29" s="106"/>
      <c r="C29" s="98"/>
      <c r="D29" s="100"/>
      <c r="E29" s="102"/>
      <c r="F29" s="113"/>
      <c r="G29" s="26"/>
      <c r="H29" s="27"/>
      <c r="I29" s="28"/>
      <c r="J29" s="33"/>
      <c r="K29" s="108"/>
    </row>
    <row r="30" spans="1:16" ht="26.25" customHeight="1" x14ac:dyDescent="0.2">
      <c r="A30" s="93" t="s">
        <v>15</v>
      </c>
      <c r="B30" s="105">
        <v>3802</v>
      </c>
      <c r="C30" s="97" t="s">
        <v>41</v>
      </c>
      <c r="D30" s="99" t="s">
        <v>78</v>
      </c>
      <c r="E30" s="101" t="s">
        <v>80</v>
      </c>
      <c r="F30" s="112"/>
      <c r="G30" s="29"/>
      <c r="H30" s="30"/>
      <c r="I30" s="31"/>
      <c r="J30" s="36"/>
      <c r="K30" s="107"/>
    </row>
    <row r="31" spans="1:16" ht="26.25" thickBot="1" x14ac:dyDescent="0.25">
      <c r="A31" s="94"/>
      <c r="B31" s="106"/>
      <c r="C31" s="98"/>
      <c r="D31" s="100"/>
      <c r="E31" s="102"/>
      <c r="F31" s="113"/>
      <c r="G31" s="26"/>
      <c r="H31" s="27"/>
      <c r="I31" s="28"/>
      <c r="J31" s="33"/>
      <c r="K31" s="108"/>
    </row>
    <row r="32" spans="1:16" ht="25.5" x14ac:dyDescent="0.2">
      <c r="A32" s="93" t="s">
        <v>16</v>
      </c>
      <c r="B32" s="105">
        <v>3805</v>
      </c>
      <c r="C32" s="97" t="s">
        <v>24</v>
      </c>
      <c r="D32" s="99" t="s">
        <v>78</v>
      </c>
      <c r="E32" s="101" t="s">
        <v>76</v>
      </c>
      <c r="F32" s="112"/>
      <c r="G32" s="29"/>
      <c r="H32" s="30"/>
      <c r="I32" s="31"/>
      <c r="J32" s="34"/>
      <c r="K32" s="107"/>
    </row>
    <row r="33" spans="1:11" ht="26.25" thickBot="1" x14ac:dyDescent="0.25">
      <c r="A33" s="94"/>
      <c r="B33" s="106"/>
      <c r="C33" s="98"/>
      <c r="D33" s="100"/>
      <c r="E33" s="102"/>
      <c r="F33" s="113"/>
      <c r="G33" s="26"/>
      <c r="H33" s="27"/>
      <c r="I33" s="28"/>
      <c r="J33" s="35"/>
      <c r="K33" s="108"/>
    </row>
    <row r="34" spans="1:11" ht="25.5" x14ac:dyDescent="0.2">
      <c r="A34" s="93" t="s">
        <v>92</v>
      </c>
      <c r="B34" s="105">
        <v>3808</v>
      </c>
      <c r="C34" s="97" t="s">
        <v>25</v>
      </c>
      <c r="D34" s="99" t="s">
        <v>75</v>
      </c>
      <c r="E34" s="101" t="s">
        <v>76</v>
      </c>
      <c r="F34" s="112"/>
      <c r="G34" s="29"/>
      <c r="H34" s="30"/>
      <c r="I34" s="31"/>
      <c r="J34" s="34"/>
      <c r="K34" s="107"/>
    </row>
    <row r="35" spans="1:11" ht="26.25" thickBot="1" x14ac:dyDescent="0.25">
      <c r="A35" s="94"/>
      <c r="B35" s="106"/>
      <c r="C35" s="98"/>
      <c r="D35" s="100"/>
      <c r="E35" s="102"/>
      <c r="F35" s="113"/>
      <c r="G35" s="26"/>
      <c r="H35" s="27"/>
      <c r="I35" s="28"/>
      <c r="J35" s="35"/>
      <c r="K35" s="108"/>
    </row>
    <row r="36" spans="1:11" ht="25.5" x14ac:dyDescent="0.2">
      <c r="A36" s="93" t="s">
        <v>19</v>
      </c>
      <c r="B36" s="105">
        <v>3810</v>
      </c>
      <c r="C36" s="97" t="s">
        <v>42</v>
      </c>
      <c r="D36" s="99" t="s">
        <v>78</v>
      </c>
      <c r="E36" s="101" t="s">
        <v>76</v>
      </c>
      <c r="F36" s="112"/>
      <c r="G36" s="29"/>
      <c r="H36" s="30"/>
      <c r="I36" s="31"/>
      <c r="J36" s="34"/>
      <c r="K36" s="88"/>
    </row>
    <row r="37" spans="1:11" ht="26.25" thickBot="1" x14ac:dyDescent="0.25">
      <c r="A37" s="94"/>
      <c r="B37" s="106"/>
      <c r="C37" s="98"/>
      <c r="D37" s="100"/>
      <c r="E37" s="102"/>
      <c r="F37" s="113"/>
      <c r="G37" s="26"/>
      <c r="H37" s="27"/>
      <c r="I37" s="28"/>
      <c r="J37" s="35"/>
      <c r="K37" s="89"/>
    </row>
    <row r="38" spans="1:11" ht="25.5" x14ac:dyDescent="0.2">
      <c r="A38" s="93" t="s">
        <v>50</v>
      </c>
      <c r="B38" s="105">
        <v>6056</v>
      </c>
      <c r="C38" s="97" t="s">
        <v>29</v>
      </c>
      <c r="D38" s="99" t="s">
        <v>75</v>
      </c>
      <c r="E38" s="101" t="s">
        <v>79</v>
      </c>
      <c r="F38" s="112"/>
      <c r="G38" s="37"/>
      <c r="H38" s="30"/>
      <c r="I38" s="31"/>
      <c r="J38" s="34"/>
      <c r="K38" s="88"/>
    </row>
    <row r="39" spans="1:11" ht="26.25" thickBot="1" x14ac:dyDescent="0.25">
      <c r="A39" s="94"/>
      <c r="B39" s="106"/>
      <c r="C39" s="98"/>
      <c r="D39" s="100"/>
      <c r="E39" s="102"/>
      <c r="F39" s="113"/>
      <c r="G39" s="38"/>
      <c r="H39" s="27"/>
      <c r="I39" s="28"/>
      <c r="J39" s="33"/>
      <c r="K39" s="89"/>
    </row>
    <row r="40" spans="1:11" ht="25.5" x14ac:dyDescent="0.2">
      <c r="A40" s="93" t="s">
        <v>17</v>
      </c>
      <c r="B40" s="105">
        <v>3820</v>
      </c>
      <c r="C40" s="97" t="s">
        <v>40</v>
      </c>
      <c r="D40" s="99" t="s">
        <v>75</v>
      </c>
      <c r="E40" s="101" t="s">
        <v>79</v>
      </c>
      <c r="F40" s="112"/>
      <c r="G40" s="29"/>
      <c r="H40" s="30"/>
      <c r="I40" s="31"/>
      <c r="J40" s="34"/>
      <c r="K40" s="88"/>
    </row>
    <row r="41" spans="1:11" ht="26.25" thickBot="1" x14ac:dyDescent="0.25">
      <c r="A41" s="109"/>
      <c r="B41" s="110"/>
      <c r="C41" s="111"/>
      <c r="D41" s="100"/>
      <c r="E41" s="102"/>
      <c r="F41" s="113"/>
      <c r="G41" s="26"/>
      <c r="H41" s="27"/>
      <c r="I41" s="28"/>
      <c r="J41" s="35"/>
      <c r="K41" s="89"/>
    </row>
    <row r="42" spans="1:11" ht="26.25" customHeight="1" x14ac:dyDescent="0.2">
      <c r="A42" s="93" t="s">
        <v>18</v>
      </c>
      <c r="B42" s="105">
        <v>3821</v>
      </c>
      <c r="C42" s="97" t="s">
        <v>26</v>
      </c>
      <c r="D42" s="99" t="s">
        <v>78</v>
      </c>
      <c r="E42" s="101" t="s">
        <v>79</v>
      </c>
      <c r="F42" s="103"/>
      <c r="G42" s="29"/>
      <c r="H42" s="30"/>
      <c r="I42" s="31"/>
      <c r="J42" s="34"/>
      <c r="K42" s="88"/>
    </row>
    <row r="43" spans="1:11" ht="26.25" thickBot="1" x14ac:dyDescent="0.25">
      <c r="A43" s="94"/>
      <c r="B43" s="106"/>
      <c r="C43" s="98"/>
      <c r="D43" s="100"/>
      <c r="E43" s="102"/>
      <c r="F43" s="104"/>
      <c r="G43" s="26"/>
      <c r="H43" s="27"/>
      <c r="I43" s="28"/>
      <c r="J43" s="33"/>
      <c r="K43" s="89"/>
    </row>
    <row r="44" spans="1:11" ht="25.5" x14ac:dyDescent="0.2">
      <c r="A44" s="93" t="s">
        <v>97</v>
      </c>
      <c r="B44" s="105">
        <v>6317</v>
      </c>
      <c r="C44" s="97" t="s">
        <v>35</v>
      </c>
      <c r="D44" s="99" t="s">
        <v>78</v>
      </c>
      <c r="E44" s="101" t="s">
        <v>76</v>
      </c>
      <c r="F44" s="103"/>
      <c r="G44" s="29"/>
      <c r="H44" s="30"/>
      <c r="I44" s="31"/>
      <c r="J44" s="34"/>
      <c r="K44" s="107"/>
    </row>
    <row r="45" spans="1:11" ht="26.25" thickBot="1" x14ac:dyDescent="0.25">
      <c r="A45" s="94"/>
      <c r="B45" s="106"/>
      <c r="C45" s="98"/>
      <c r="D45" s="100"/>
      <c r="E45" s="102"/>
      <c r="F45" s="104"/>
      <c r="G45" s="26"/>
      <c r="H45" s="27"/>
      <c r="I45" s="28"/>
      <c r="J45" s="33"/>
      <c r="K45" s="108"/>
    </row>
    <row r="46" spans="1:11" ht="26.25" customHeight="1" x14ac:dyDescent="0.2">
      <c r="A46" s="93" t="s">
        <v>30</v>
      </c>
      <c r="B46" s="105">
        <v>3832</v>
      </c>
      <c r="C46" s="97" t="s">
        <v>34</v>
      </c>
      <c r="D46" s="99" t="s">
        <v>75</v>
      </c>
      <c r="E46" s="101" t="s">
        <v>76</v>
      </c>
      <c r="F46" s="103"/>
      <c r="G46" s="30"/>
      <c r="H46" s="30"/>
      <c r="I46" s="31"/>
      <c r="J46" s="34"/>
      <c r="K46" s="88"/>
    </row>
    <row r="47" spans="1:11" ht="26.25" thickBot="1" x14ac:dyDescent="0.25">
      <c r="A47" s="94"/>
      <c r="B47" s="106"/>
      <c r="C47" s="98"/>
      <c r="D47" s="100"/>
      <c r="E47" s="102"/>
      <c r="F47" s="104"/>
      <c r="G47" s="27"/>
      <c r="H47" s="27"/>
      <c r="I47" s="28"/>
      <c r="J47" s="33"/>
      <c r="K47" s="89"/>
    </row>
    <row r="48" spans="1:11" ht="25.5" x14ac:dyDescent="0.2">
      <c r="A48" s="93" t="s">
        <v>48</v>
      </c>
      <c r="B48" s="105">
        <v>4173</v>
      </c>
      <c r="C48" s="97" t="s">
        <v>10</v>
      </c>
      <c r="D48" s="99" t="s">
        <v>75</v>
      </c>
      <c r="E48" s="101" t="s">
        <v>76</v>
      </c>
      <c r="F48" s="103"/>
      <c r="G48" s="30"/>
      <c r="H48" s="30"/>
      <c r="I48" s="31"/>
      <c r="J48" s="34"/>
      <c r="K48" s="107"/>
    </row>
    <row r="49" spans="1:13" ht="26.25" thickBot="1" x14ac:dyDescent="0.25">
      <c r="A49" s="94"/>
      <c r="B49" s="106"/>
      <c r="C49" s="98"/>
      <c r="D49" s="100"/>
      <c r="E49" s="102"/>
      <c r="F49" s="104"/>
      <c r="G49" s="27"/>
      <c r="H49" s="27"/>
      <c r="I49" s="28"/>
      <c r="J49" s="33"/>
      <c r="K49" s="108"/>
    </row>
    <row r="50" spans="1:13" ht="25.5" x14ac:dyDescent="0.2">
      <c r="A50" s="93" t="s">
        <v>20</v>
      </c>
      <c r="B50" s="95">
        <v>2</v>
      </c>
      <c r="C50" s="97" t="s">
        <v>28</v>
      </c>
      <c r="D50" s="99" t="s">
        <v>75</v>
      </c>
      <c r="E50" s="101" t="s">
        <v>81</v>
      </c>
      <c r="F50" s="103"/>
      <c r="G50" s="30"/>
      <c r="H50" s="30"/>
      <c r="I50" s="39"/>
      <c r="J50" s="34"/>
      <c r="K50" s="88"/>
    </row>
    <row r="51" spans="1:13" ht="26.25" thickBot="1" x14ac:dyDescent="0.25">
      <c r="A51" s="94"/>
      <c r="B51" s="96"/>
      <c r="C51" s="98"/>
      <c r="D51" s="100"/>
      <c r="E51" s="102"/>
      <c r="F51" s="104"/>
      <c r="G51" s="27"/>
      <c r="H51" s="27"/>
      <c r="I51" s="35"/>
      <c r="J51" s="33"/>
      <c r="K51" s="89"/>
    </row>
    <row r="52" spans="1:13" s="42" customFormat="1" ht="25.5" customHeight="1" x14ac:dyDescent="0.2">
      <c r="A52" s="40"/>
      <c r="B52" s="90" t="s">
        <v>95</v>
      </c>
      <c r="C52" s="90"/>
      <c r="D52" s="90"/>
      <c r="E52" s="90"/>
      <c r="F52" s="90"/>
      <c r="G52" s="90"/>
      <c r="H52" s="90"/>
      <c r="I52" s="90"/>
      <c r="J52" s="90"/>
      <c r="K52" s="41"/>
    </row>
    <row r="53" spans="1:13" s="11" customFormat="1" ht="25.5" customHeight="1" x14ac:dyDescent="0.2">
      <c r="A53" s="43"/>
      <c r="B53" s="44"/>
      <c r="C53" s="45"/>
      <c r="D53" s="46"/>
      <c r="E53" s="46"/>
      <c r="F53" s="46"/>
      <c r="G53" s="47"/>
      <c r="H53" s="47"/>
      <c r="I53" s="48"/>
      <c r="J53" s="49"/>
      <c r="K53" s="50"/>
    </row>
    <row r="54" spans="1:13" s="11" customFormat="1" ht="25.5" customHeight="1" thickBot="1" x14ac:dyDescent="0.25">
      <c r="A54" s="43"/>
      <c r="C54" s="51" t="s">
        <v>67</v>
      </c>
      <c r="D54" s="52"/>
      <c r="E54" s="48"/>
      <c r="F54" s="46"/>
      <c r="G54" s="91" t="s">
        <v>68</v>
      </c>
      <c r="H54" s="91"/>
      <c r="I54" s="53"/>
      <c r="J54" s="49"/>
      <c r="K54" s="50"/>
    </row>
    <row r="55" spans="1:13" s="11" customFormat="1" ht="25.5" customHeight="1" x14ac:dyDescent="0.2">
      <c r="A55" s="43"/>
      <c r="B55" s="44"/>
      <c r="C55" s="45"/>
      <c r="D55" s="46"/>
      <c r="E55" s="46"/>
      <c r="F55" s="46"/>
      <c r="G55" s="47"/>
      <c r="H55" s="47"/>
      <c r="I55" s="48"/>
      <c r="J55" s="49"/>
      <c r="K55" s="50"/>
    </row>
    <row r="56" spans="1:13" s="11" customFormat="1" ht="30" customHeight="1" x14ac:dyDescent="0.2">
      <c r="A56" s="92" t="s">
        <v>11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M56" s="11" t="s">
        <v>0</v>
      </c>
    </row>
    <row r="57" spans="1:13" s="11" customFormat="1" ht="30" customHeight="1" x14ac:dyDescent="0.2">
      <c r="A57" s="54"/>
      <c r="B57" s="84"/>
      <c r="C57" s="84"/>
      <c r="D57" s="84"/>
      <c r="E57" s="84"/>
      <c r="F57" s="84"/>
      <c r="G57" s="84"/>
      <c r="H57" s="84"/>
      <c r="I57" s="84"/>
      <c r="J57" s="84"/>
      <c r="K57" s="55"/>
    </row>
    <row r="58" spans="1:13" s="11" customFormat="1" ht="30" customHeight="1" x14ac:dyDescent="0.2">
      <c r="A58" s="54"/>
      <c r="B58" s="84"/>
      <c r="C58" s="84"/>
      <c r="D58" s="84"/>
      <c r="E58" s="84"/>
      <c r="F58" s="84"/>
      <c r="G58" s="84"/>
      <c r="H58" s="84"/>
      <c r="I58" s="84"/>
      <c r="J58" s="84"/>
      <c r="K58" s="54"/>
      <c r="L58" s="54"/>
    </row>
    <row r="59" spans="1:13" s="11" customFormat="1" ht="30" customHeight="1" x14ac:dyDescent="0.2">
      <c r="A59" s="54"/>
      <c r="B59" s="84"/>
      <c r="C59" s="84"/>
      <c r="D59" s="84"/>
      <c r="E59" s="84"/>
      <c r="F59" s="84"/>
      <c r="G59" s="84"/>
      <c r="H59" s="84"/>
      <c r="I59" s="84"/>
      <c r="J59" s="84"/>
      <c r="K59" s="54"/>
      <c r="L59" s="45"/>
    </row>
    <row r="60" spans="1:13" s="11" customFormat="1" ht="30" customHeight="1" x14ac:dyDescent="0.2">
      <c r="A60" s="56"/>
      <c r="B60" s="57"/>
      <c r="C60" s="58"/>
      <c r="D60" s="58"/>
      <c r="E60" s="58"/>
      <c r="F60" s="57"/>
      <c r="G60" s="57"/>
      <c r="H60" s="57"/>
      <c r="I60" s="58"/>
      <c r="J60" s="58"/>
      <c r="K60" s="58"/>
    </row>
    <row r="61" spans="1:13" s="11" customFormat="1" ht="30" customHeight="1" x14ac:dyDescent="0.2">
      <c r="A61" s="56"/>
      <c r="B61" s="57"/>
      <c r="C61" s="58"/>
      <c r="D61" s="58"/>
      <c r="E61" s="58"/>
      <c r="F61" s="57"/>
      <c r="H61" s="57"/>
      <c r="I61" s="57"/>
    </row>
    <row r="62" spans="1:13" s="11" customFormat="1" ht="30" customHeight="1" x14ac:dyDescent="0.2">
      <c r="A62" s="59"/>
      <c r="B62" s="60"/>
      <c r="C62" s="61"/>
      <c r="D62" s="61"/>
      <c r="E62" s="61"/>
      <c r="F62" s="60"/>
      <c r="G62" s="62"/>
      <c r="H62" s="60"/>
      <c r="I62" s="60"/>
      <c r="J62" s="62"/>
      <c r="K62" s="62"/>
    </row>
    <row r="63" spans="1:13" s="10" customFormat="1" ht="20.100000000000001" customHeight="1" x14ac:dyDescent="0.2">
      <c r="A63" s="85" t="s">
        <v>94</v>
      </c>
      <c r="B63" s="85"/>
      <c r="C63" s="85"/>
      <c r="D63" s="63"/>
      <c r="E63" s="63"/>
      <c r="F63" s="64"/>
      <c r="G63" s="65"/>
      <c r="H63" s="86" t="s">
        <v>57</v>
      </c>
      <c r="I63" s="86"/>
      <c r="J63" s="86"/>
      <c r="K63" s="86"/>
      <c r="L63" s="66"/>
    </row>
    <row r="64" spans="1:13" s="10" customFormat="1" ht="20.100000000000001" customHeight="1" x14ac:dyDescent="0.2">
      <c r="A64" s="80" t="s">
        <v>69</v>
      </c>
      <c r="B64" s="80"/>
      <c r="C64" s="80"/>
      <c r="D64" s="64"/>
      <c r="E64" s="64"/>
      <c r="F64" s="64"/>
      <c r="G64" s="65"/>
      <c r="H64" s="80" t="s">
        <v>38</v>
      </c>
      <c r="I64" s="80"/>
      <c r="J64" s="80"/>
      <c r="K64" s="80"/>
    </row>
    <row r="65" spans="1:12" s="10" customFormat="1" ht="30" customHeight="1" x14ac:dyDescent="0.2">
      <c r="A65" s="64"/>
      <c r="B65" s="64"/>
      <c r="C65" s="64"/>
      <c r="D65" s="64"/>
      <c r="E65" s="64"/>
      <c r="F65" s="64"/>
      <c r="G65" s="65"/>
      <c r="H65" s="64"/>
      <c r="I65" s="64"/>
      <c r="J65" s="64"/>
      <c r="K65" s="64"/>
    </row>
    <row r="66" spans="1:12" s="10" customFormat="1" ht="30" customHeight="1" x14ac:dyDescent="0.2">
      <c r="A66" s="64"/>
      <c r="B66" s="64"/>
      <c r="C66" s="64"/>
      <c r="D66" s="64"/>
      <c r="E66" s="64"/>
      <c r="F66" s="64"/>
      <c r="G66" s="65"/>
      <c r="H66" s="64"/>
      <c r="I66" s="64"/>
      <c r="J66" s="64"/>
      <c r="K66" s="64"/>
    </row>
    <row r="67" spans="1:12" s="10" customFormat="1" ht="30" customHeight="1" x14ac:dyDescent="0.2">
      <c r="A67" s="64"/>
      <c r="B67" s="64"/>
      <c r="C67" s="64"/>
      <c r="D67" s="64"/>
      <c r="E67" s="64"/>
      <c r="F67" s="64"/>
      <c r="G67" s="65"/>
      <c r="H67" s="64"/>
      <c r="I67" s="64"/>
      <c r="J67" s="64"/>
      <c r="K67" s="64"/>
    </row>
    <row r="68" spans="1:12" s="10" customFormat="1" ht="30" customHeight="1" x14ac:dyDescent="0.2">
      <c r="A68" s="64"/>
      <c r="B68" s="64"/>
      <c r="C68" s="65"/>
      <c r="D68" s="65"/>
      <c r="E68" s="65"/>
      <c r="F68" s="64"/>
      <c r="G68" s="65"/>
      <c r="H68" s="64"/>
      <c r="I68" s="64"/>
      <c r="J68" s="65"/>
      <c r="K68" s="65"/>
    </row>
    <row r="69" spans="1:12" s="11" customFormat="1" ht="30" customHeight="1" x14ac:dyDescent="0.2">
      <c r="A69" s="67"/>
      <c r="B69" s="67"/>
      <c r="C69" s="67"/>
      <c r="D69" s="68"/>
      <c r="E69" s="68"/>
      <c r="F69" s="69"/>
      <c r="G69" s="70"/>
      <c r="H69" s="87"/>
      <c r="I69" s="87"/>
      <c r="J69" s="87"/>
      <c r="K69" s="87"/>
      <c r="L69" s="71"/>
    </row>
    <row r="70" spans="1:12" s="11" customFormat="1" ht="18.75" customHeight="1" x14ac:dyDescent="0.2">
      <c r="A70" s="80" t="s">
        <v>96</v>
      </c>
      <c r="B70" s="80"/>
      <c r="C70" s="80"/>
      <c r="D70" s="68"/>
      <c r="E70" s="68"/>
      <c r="F70" s="69"/>
      <c r="G70" s="70"/>
      <c r="H70" s="81" t="s">
        <v>71</v>
      </c>
      <c r="I70" s="81"/>
      <c r="J70" s="81"/>
      <c r="K70" s="81"/>
      <c r="L70" s="71"/>
    </row>
    <row r="71" spans="1:12" s="11" customFormat="1" ht="30" customHeight="1" x14ac:dyDescent="0.2">
      <c r="A71" s="80" t="s">
        <v>70</v>
      </c>
      <c r="B71" s="80"/>
      <c r="C71" s="80"/>
      <c r="D71" s="64"/>
      <c r="E71" s="64"/>
      <c r="F71" s="63"/>
      <c r="G71" s="68"/>
      <c r="L71" s="71"/>
    </row>
    <row r="72" spans="1:12" s="3" customFormat="1" ht="30" customHeight="1" x14ac:dyDescent="0.2">
      <c r="A72" s="82"/>
      <c r="B72" s="82"/>
      <c r="C72" s="82"/>
      <c r="D72" s="60"/>
      <c r="E72" s="60"/>
      <c r="F72" s="72"/>
      <c r="G72" s="73"/>
      <c r="H72" s="73"/>
      <c r="I72" s="73"/>
      <c r="J72" s="73"/>
      <c r="K72" s="74"/>
      <c r="L72" s="75"/>
    </row>
    <row r="73" spans="1:12" s="3" customFormat="1" ht="30" customHeight="1" x14ac:dyDescent="0.2">
      <c r="B73" s="83"/>
      <c r="C73" s="83"/>
      <c r="D73" s="76"/>
      <c r="E73" s="76"/>
      <c r="G73" s="77"/>
      <c r="H73" s="77"/>
      <c r="I73" s="77"/>
      <c r="J73" s="77"/>
    </row>
    <row r="74" spans="1:12" s="3" customFormat="1" ht="30" customHeight="1" x14ac:dyDescent="0.2">
      <c r="G74" s="77"/>
      <c r="H74" s="77"/>
      <c r="I74" s="77"/>
      <c r="J74" s="77"/>
    </row>
    <row r="75" spans="1:12" s="3" customFormat="1" ht="30" customHeight="1" x14ac:dyDescent="0.2"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H85" s="78"/>
    </row>
  </sheetData>
  <mergeCells count="167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A71:C71"/>
    <mergeCell ref="H70:K70"/>
    <mergeCell ref="A72:C72"/>
    <mergeCell ref="B73:C73"/>
    <mergeCell ref="B59:J59"/>
    <mergeCell ref="A63:C63"/>
    <mergeCell ref="H63:K63"/>
    <mergeCell ref="A64:C64"/>
    <mergeCell ref="H64:K64"/>
    <mergeCell ref="A70:C70"/>
    <mergeCell ref="H69:K69"/>
  </mergeCells>
  <printOptions horizontalCentered="1" verticalCentered="1"/>
  <pageMargins left="3.937007874015748E-2" right="3.937007874015748E-2" top="0.15748031496062992" bottom="0.15748031496062992" header="0.11811023622047245" footer="0.11811023622047245"/>
  <pageSetup scale="28" orientation="portrait" horizontalDpi="1200" verticalDpi="1200" r:id="rId1"/>
  <colBreaks count="1" manualBreakCount="1">
    <brk id="11" max="83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64A94-2C8D-49A5-A65A-8C558042DB51}">
  <dimension ref="A1:P85"/>
  <sheetViews>
    <sheetView view="pageBreakPreview" topLeftCell="A4" zoomScale="60" zoomScaleNormal="50" workbookViewId="0">
      <selection activeCell="F14" sqref="F14:J45"/>
    </sheetView>
  </sheetViews>
  <sheetFormatPr baseColWidth="10" defaultRowHeight="12.75" x14ac:dyDescent="0.2"/>
  <cols>
    <col min="1" max="1" width="43.7109375" style="14" customWidth="1"/>
    <col min="2" max="2" width="22.140625" style="14" customWidth="1"/>
    <col min="3" max="3" width="63" style="14" customWidth="1"/>
    <col min="4" max="4" width="34.85546875" style="14" customWidth="1"/>
    <col min="5" max="5" width="30.42578125" style="14" customWidth="1"/>
    <col min="6" max="6" width="24.5703125" style="14" customWidth="1"/>
    <col min="7" max="7" width="23.42578125" style="14" customWidth="1"/>
    <col min="8" max="8" width="23.140625" style="14" customWidth="1"/>
    <col min="9" max="9" width="33.42578125" style="14" customWidth="1"/>
    <col min="10" max="10" width="22.42578125" style="14" customWidth="1"/>
    <col min="11" max="11" width="40.28515625" style="14" customWidth="1"/>
    <col min="12" max="12" width="11.42578125" style="14"/>
    <col min="13" max="13" width="11.42578125" style="14" customWidth="1"/>
    <col min="14" max="14" width="22.140625" style="14" customWidth="1"/>
    <col min="15" max="15" width="11.42578125" style="14"/>
    <col min="16" max="16" width="28.28515625" style="14" customWidth="1"/>
    <col min="17" max="16384" width="11.42578125" style="14"/>
  </cols>
  <sheetData>
    <row r="1" spans="1:16" s="3" customFormat="1" ht="30" x14ac:dyDescent="0.2">
      <c r="A1" s="131" t="s">
        <v>43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/>
    </row>
    <row r="2" spans="1:16" s="3" customFormat="1" ht="30" x14ac:dyDescent="0.2">
      <c r="A2" s="131" t="s">
        <v>44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4"/>
    </row>
    <row r="3" spans="1:16" s="3" customFormat="1" ht="30" customHeight="1" x14ac:dyDescent="0.2">
      <c r="A3" s="131" t="s">
        <v>59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131" t="s">
        <v>60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61</v>
      </c>
      <c r="B7" s="132" t="s">
        <v>82</v>
      </c>
      <c r="C7" s="132"/>
      <c r="D7" s="132"/>
      <c r="E7" s="8"/>
      <c r="F7" s="9"/>
      <c r="G7" s="7" t="s">
        <v>1</v>
      </c>
      <c r="H7" s="132" t="s">
        <v>62</v>
      </c>
      <c r="I7" s="132"/>
      <c r="J7" s="132"/>
      <c r="K7" s="10"/>
    </row>
    <row r="8" spans="1:16" s="11" customFormat="1" ht="39.950000000000003" customHeight="1" x14ac:dyDescent="0.35">
      <c r="A8" s="7" t="s">
        <v>63</v>
      </c>
      <c r="B8" s="144" t="s">
        <v>64</v>
      </c>
      <c r="C8" s="144"/>
      <c r="D8" s="144"/>
      <c r="E8" s="12"/>
      <c r="F8" s="9"/>
      <c r="G8" s="7" t="s">
        <v>65</v>
      </c>
      <c r="H8" s="145"/>
      <c r="I8" s="145"/>
      <c r="J8" s="145"/>
      <c r="K8" s="10"/>
    </row>
    <row r="9" spans="1:16" s="11" customFormat="1" ht="39.950000000000003" customHeight="1" x14ac:dyDescent="0.35">
      <c r="A9" s="7" t="s">
        <v>66</v>
      </c>
      <c r="B9" s="132" t="s">
        <v>83</v>
      </c>
      <c r="C9" s="132"/>
      <c r="D9" s="132"/>
      <c r="E9" s="8"/>
      <c r="F9" s="9"/>
      <c r="G9" s="7" t="s">
        <v>36</v>
      </c>
      <c r="H9" s="146"/>
      <c r="I9" s="146"/>
      <c r="J9" s="146"/>
      <c r="K9" s="10"/>
    </row>
    <row r="10" spans="1:16" s="11" customFormat="1" ht="39.75" customHeight="1" x14ac:dyDescent="0.35">
      <c r="A10" s="7" t="s">
        <v>63</v>
      </c>
      <c r="B10" s="147" t="s">
        <v>89</v>
      </c>
      <c r="C10" s="147"/>
      <c r="D10" s="147"/>
      <c r="E10" s="12"/>
      <c r="F10" s="9"/>
      <c r="G10" s="7" t="s">
        <v>33</v>
      </c>
      <c r="H10" s="132"/>
      <c r="I10" s="132"/>
      <c r="J10" s="132"/>
      <c r="K10" s="10"/>
    </row>
    <row r="11" spans="1:16" ht="39.75" customHeight="1" thickBo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6" s="16" customFormat="1" ht="20.25" x14ac:dyDescent="0.3">
      <c r="A12" s="133" t="s">
        <v>2</v>
      </c>
      <c r="B12" s="135" t="s">
        <v>37</v>
      </c>
      <c r="C12" s="135" t="s">
        <v>3</v>
      </c>
      <c r="D12" s="137" t="s">
        <v>72</v>
      </c>
      <c r="E12" s="15" t="s">
        <v>73</v>
      </c>
      <c r="F12" s="139" t="s">
        <v>4</v>
      </c>
      <c r="G12" s="140"/>
      <c r="H12" s="140"/>
      <c r="I12" s="140"/>
      <c r="J12" s="141"/>
      <c r="K12" s="142" t="s">
        <v>32</v>
      </c>
    </row>
    <row r="13" spans="1:16" s="16" customFormat="1" ht="21" thickBot="1" x14ac:dyDescent="0.35">
      <c r="A13" s="134"/>
      <c r="B13" s="136"/>
      <c r="C13" s="136"/>
      <c r="D13" s="138"/>
      <c r="E13" s="18" t="s">
        <v>74</v>
      </c>
      <c r="F13" s="17" t="s">
        <v>5</v>
      </c>
      <c r="G13" s="17" t="s">
        <v>6</v>
      </c>
      <c r="H13" s="17" t="s">
        <v>7</v>
      </c>
      <c r="I13" s="19" t="s">
        <v>8</v>
      </c>
      <c r="J13" s="19" t="s">
        <v>31</v>
      </c>
      <c r="K13" s="143"/>
    </row>
    <row r="14" spans="1:16" ht="26.25" customHeight="1" x14ac:dyDescent="0.2">
      <c r="A14" s="127" t="s">
        <v>91</v>
      </c>
      <c r="B14" s="128">
        <v>146</v>
      </c>
      <c r="C14" s="129" t="s">
        <v>27</v>
      </c>
      <c r="D14" s="99" t="s">
        <v>75</v>
      </c>
      <c r="E14" s="101" t="s">
        <v>76</v>
      </c>
      <c r="F14" s="112"/>
      <c r="G14" s="20"/>
      <c r="H14" s="20"/>
      <c r="I14" s="22"/>
      <c r="J14" s="23"/>
      <c r="K14" s="118"/>
      <c r="M14" s="24">
        <f>SUM(F14+(F44*10)+(F32*10)+F22+F34+(F36*10)+F48)</f>
        <v>0</v>
      </c>
      <c r="N14" s="25" t="s">
        <v>51</v>
      </c>
      <c r="O14" s="25">
        <v>2715</v>
      </c>
      <c r="P14" s="25" t="s">
        <v>52</v>
      </c>
    </row>
    <row r="15" spans="1:16" ht="26.25" thickBot="1" x14ac:dyDescent="0.25">
      <c r="A15" s="121"/>
      <c r="B15" s="123"/>
      <c r="C15" s="130"/>
      <c r="D15" s="100"/>
      <c r="E15" s="102"/>
      <c r="F15" s="113"/>
      <c r="G15" s="26"/>
      <c r="H15" s="26"/>
      <c r="I15" s="28"/>
      <c r="J15" s="28"/>
      <c r="K15" s="119"/>
      <c r="M15" s="24">
        <f>SUM((F44/3)*20+F20)</f>
        <v>0</v>
      </c>
      <c r="N15" s="25" t="s">
        <v>51</v>
      </c>
      <c r="O15" s="25">
        <v>2707</v>
      </c>
      <c r="P15" s="25" t="s">
        <v>53</v>
      </c>
    </row>
    <row r="16" spans="1:16" ht="25.5" x14ac:dyDescent="0.2">
      <c r="A16" s="120" t="s">
        <v>46</v>
      </c>
      <c r="B16" s="122">
        <v>148</v>
      </c>
      <c r="C16" s="124" t="s">
        <v>9</v>
      </c>
      <c r="D16" s="99" t="s">
        <v>75</v>
      </c>
      <c r="E16" s="101" t="s">
        <v>77</v>
      </c>
      <c r="F16" s="112"/>
      <c r="G16" s="29"/>
      <c r="H16" s="29"/>
      <c r="I16" s="31"/>
      <c r="J16" s="32"/>
      <c r="K16" s="126"/>
      <c r="M16" s="24">
        <f>SUM(F24)</f>
        <v>0</v>
      </c>
      <c r="N16" s="25" t="s">
        <v>51</v>
      </c>
      <c r="O16" s="25">
        <v>2699</v>
      </c>
      <c r="P16" s="25" t="s">
        <v>54</v>
      </c>
    </row>
    <row r="17" spans="1:16" ht="26.25" thickBot="1" x14ac:dyDescent="0.25">
      <c r="A17" s="121"/>
      <c r="B17" s="123"/>
      <c r="C17" s="125"/>
      <c r="D17" s="100"/>
      <c r="E17" s="102"/>
      <c r="F17" s="113"/>
      <c r="G17" s="26"/>
      <c r="H17" s="26"/>
      <c r="I17" s="28"/>
      <c r="J17" s="28"/>
      <c r="K17" s="119"/>
      <c r="M17" s="24">
        <f>SUM(F26+F40)</f>
        <v>0</v>
      </c>
      <c r="N17" s="25" t="s">
        <v>51</v>
      </c>
      <c r="O17" s="25">
        <v>2657</v>
      </c>
      <c r="P17" s="25" t="s">
        <v>55</v>
      </c>
    </row>
    <row r="18" spans="1:16" ht="26.25" customHeight="1" x14ac:dyDescent="0.2">
      <c r="A18" s="93" t="s">
        <v>90</v>
      </c>
      <c r="B18" s="105">
        <v>150</v>
      </c>
      <c r="C18" s="97" t="s">
        <v>58</v>
      </c>
      <c r="D18" s="99" t="s">
        <v>75</v>
      </c>
      <c r="E18" s="101" t="s">
        <v>77</v>
      </c>
      <c r="F18" s="112"/>
      <c r="G18" s="29"/>
      <c r="H18" s="29"/>
      <c r="I18" s="31"/>
      <c r="J18" s="32"/>
      <c r="K18" s="116"/>
      <c r="M18" s="24">
        <f>SUM(F28*10)</f>
        <v>0</v>
      </c>
      <c r="N18" s="25" t="s">
        <v>51</v>
      </c>
      <c r="O18" s="25">
        <v>59</v>
      </c>
      <c r="P18" s="25" t="s">
        <v>56</v>
      </c>
    </row>
    <row r="19" spans="1:16" ht="26.25" thickBot="1" x14ac:dyDescent="0.25">
      <c r="A19" s="94"/>
      <c r="B19" s="106"/>
      <c r="C19" s="98"/>
      <c r="D19" s="100"/>
      <c r="E19" s="102"/>
      <c r="F19" s="113"/>
      <c r="G19" s="26"/>
      <c r="H19" s="26"/>
      <c r="I19" s="28"/>
      <c r="J19" s="28"/>
      <c r="K19" s="117"/>
    </row>
    <row r="20" spans="1:16" ht="25.5" x14ac:dyDescent="0.2">
      <c r="A20" s="93" t="s">
        <v>45</v>
      </c>
      <c r="B20" s="105">
        <v>6135</v>
      </c>
      <c r="C20" s="97" t="s">
        <v>47</v>
      </c>
      <c r="D20" s="99" t="s">
        <v>75</v>
      </c>
      <c r="E20" s="101" t="s">
        <v>76</v>
      </c>
      <c r="F20" s="112"/>
      <c r="G20" s="29"/>
      <c r="H20" s="29"/>
      <c r="I20" s="31"/>
      <c r="J20" s="32"/>
      <c r="K20" s="116"/>
    </row>
    <row r="21" spans="1:16" ht="26.25" thickBot="1" x14ac:dyDescent="0.25">
      <c r="A21" s="94"/>
      <c r="B21" s="106"/>
      <c r="C21" s="98"/>
      <c r="D21" s="100"/>
      <c r="E21" s="102"/>
      <c r="F21" s="113"/>
      <c r="G21" s="26"/>
      <c r="H21" s="26"/>
      <c r="I21" s="28"/>
      <c r="J21" s="79"/>
      <c r="K21" s="117"/>
    </row>
    <row r="22" spans="1:16" ht="25.5" x14ac:dyDescent="0.2">
      <c r="A22" s="93" t="s">
        <v>14</v>
      </c>
      <c r="B22" s="105">
        <v>2526</v>
      </c>
      <c r="C22" s="97" t="s">
        <v>21</v>
      </c>
      <c r="D22" s="99" t="s">
        <v>78</v>
      </c>
      <c r="E22" s="101" t="s">
        <v>76</v>
      </c>
      <c r="F22" s="112"/>
      <c r="G22" s="29"/>
      <c r="H22" s="29"/>
      <c r="I22" s="31"/>
      <c r="J22" s="34"/>
      <c r="K22" s="107"/>
    </row>
    <row r="23" spans="1:16" ht="26.25" thickBot="1" x14ac:dyDescent="0.25">
      <c r="A23" s="94"/>
      <c r="B23" s="106"/>
      <c r="C23" s="98"/>
      <c r="D23" s="100"/>
      <c r="E23" s="102"/>
      <c r="F23" s="113"/>
      <c r="G23" s="26"/>
      <c r="H23" s="26"/>
      <c r="I23" s="28"/>
      <c r="J23" s="33"/>
      <c r="K23" s="108"/>
    </row>
    <row r="24" spans="1:16" ht="25.5" x14ac:dyDescent="0.2">
      <c r="A24" s="93" t="s">
        <v>49</v>
      </c>
      <c r="B24" s="105">
        <v>2527</v>
      </c>
      <c r="C24" s="97" t="s">
        <v>22</v>
      </c>
      <c r="D24" s="99" t="s">
        <v>75</v>
      </c>
      <c r="E24" s="101" t="s">
        <v>76</v>
      </c>
      <c r="F24" s="112"/>
      <c r="G24" s="29"/>
      <c r="H24" s="29"/>
      <c r="I24" s="31"/>
      <c r="J24" s="34"/>
      <c r="K24" s="114"/>
    </row>
    <row r="25" spans="1:16" ht="26.25" thickBot="1" x14ac:dyDescent="0.25">
      <c r="A25" s="94"/>
      <c r="B25" s="106"/>
      <c r="C25" s="98"/>
      <c r="D25" s="100"/>
      <c r="E25" s="102"/>
      <c r="F25" s="113"/>
      <c r="G25" s="26"/>
      <c r="H25" s="26"/>
      <c r="I25" s="28"/>
      <c r="J25" s="33"/>
      <c r="K25" s="115"/>
    </row>
    <row r="26" spans="1:16" ht="25.5" x14ac:dyDescent="0.2">
      <c r="A26" s="93" t="s">
        <v>12</v>
      </c>
      <c r="B26" s="105">
        <v>3800</v>
      </c>
      <c r="C26" s="97" t="s">
        <v>39</v>
      </c>
      <c r="D26" s="99" t="s">
        <v>78</v>
      </c>
      <c r="E26" s="101" t="s">
        <v>79</v>
      </c>
      <c r="F26" s="112"/>
      <c r="G26" s="29"/>
      <c r="H26" s="29"/>
      <c r="I26" s="29"/>
      <c r="J26" s="34"/>
      <c r="K26" s="107"/>
    </row>
    <row r="27" spans="1:16" ht="26.25" thickBot="1" x14ac:dyDescent="0.25">
      <c r="A27" s="94"/>
      <c r="B27" s="106"/>
      <c r="C27" s="98"/>
      <c r="D27" s="100"/>
      <c r="E27" s="102"/>
      <c r="F27" s="113"/>
      <c r="G27" s="26"/>
      <c r="H27" s="26"/>
      <c r="I27" s="28"/>
      <c r="J27" s="35"/>
      <c r="K27" s="108"/>
    </row>
    <row r="28" spans="1:16" ht="25.5" x14ac:dyDescent="0.2">
      <c r="A28" s="93" t="s">
        <v>13</v>
      </c>
      <c r="B28" s="105">
        <v>3801</v>
      </c>
      <c r="C28" s="97" t="s">
        <v>23</v>
      </c>
      <c r="D28" s="99" t="s">
        <v>78</v>
      </c>
      <c r="E28" s="101" t="s">
        <v>79</v>
      </c>
      <c r="F28" s="112"/>
      <c r="G28" s="29"/>
      <c r="H28" s="29"/>
      <c r="I28" s="31"/>
      <c r="J28" s="34"/>
      <c r="K28" s="107"/>
    </row>
    <row r="29" spans="1:16" ht="26.25" thickBot="1" x14ac:dyDescent="0.25">
      <c r="A29" s="94"/>
      <c r="B29" s="106"/>
      <c r="C29" s="98"/>
      <c r="D29" s="100"/>
      <c r="E29" s="102"/>
      <c r="F29" s="113"/>
      <c r="G29" s="26"/>
      <c r="H29" s="26"/>
      <c r="I29" s="28"/>
      <c r="J29" s="33"/>
      <c r="K29" s="108"/>
    </row>
    <row r="30" spans="1:16" ht="26.25" customHeight="1" x14ac:dyDescent="0.2">
      <c r="A30" s="93" t="s">
        <v>15</v>
      </c>
      <c r="B30" s="105">
        <v>3802</v>
      </c>
      <c r="C30" s="97" t="s">
        <v>41</v>
      </c>
      <c r="D30" s="99" t="s">
        <v>78</v>
      </c>
      <c r="E30" s="101" t="s">
        <v>80</v>
      </c>
      <c r="F30" s="112"/>
      <c r="G30" s="29"/>
      <c r="H30" s="29"/>
      <c r="I30" s="31"/>
      <c r="J30" s="36"/>
      <c r="K30" s="107"/>
    </row>
    <row r="31" spans="1:16" ht="26.25" thickBot="1" x14ac:dyDescent="0.25">
      <c r="A31" s="94"/>
      <c r="B31" s="106"/>
      <c r="C31" s="98"/>
      <c r="D31" s="100"/>
      <c r="E31" s="102"/>
      <c r="F31" s="113"/>
      <c r="G31" s="26"/>
      <c r="H31" s="26"/>
      <c r="I31" s="28"/>
      <c r="J31" s="33"/>
      <c r="K31" s="108"/>
    </row>
    <row r="32" spans="1:16" ht="25.5" x14ac:dyDescent="0.2">
      <c r="A32" s="93" t="s">
        <v>16</v>
      </c>
      <c r="B32" s="105">
        <v>3805</v>
      </c>
      <c r="C32" s="97" t="s">
        <v>24</v>
      </c>
      <c r="D32" s="99" t="s">
        <v>78</v>
      </c>
      <c r="E32" s="101" t="s">
        <v>76</v>
      </c>
      <c r="F32" s="112"/>
      <c r="G32" s="29"/>
      <c r="H32" s="29"/>
      <c r="I32" s="31"/>
      <c r="J32" s="34"/>
      <c r="K32" s="107"/>
    </row>
    <row r="33" spans="1:11" ht="26.25" thickBot="1" x14ac:dyDescent="0.25">
      <c r="A33" s="94"/>
      <c r="B33" s="106"/>
      <c r="C33" s="98"/>
      <c r="D33" s="100"/>
      <c r="E33" s="102"/>
      <c r="F33" s="113"/>
      <c r="G33" s="26"/>
      <c r="H33" s="26"/>
      <c r="I33" s="28"/>
      <c r="J33" s="35"/>
      <c r="K33" s="108"/>
    </row>
    <row r="34" spans="1:11" ht="25.5" x14ac:dyDescent="0.2">
      <c r="A34" s="93" t="s">
        <v>92</v>
      </c>
      <c r="B34" s="105">
        <v>3808</v>
      </c>
      <c r="C34" s="97" t="s">
        <v>25</v>
      </c>
      <c r="D34" s="99" t="s">
        <v>75</v>
      </c>
      <c r="E34" s="101" t="s">
        <v>76</v>
      </c>
      <c r="F34" s="112"/>
      <c r="G34" s="29"/>
      <c r="H34" s="29"/>
      <c r="I34" s="31"/>
      <c r="J34" s="34"/>
      <c r="K34" s="107"/>
    </row>
    <row r="35" spans="1:11" ht="26.25" thickBot="1" x14ac:dyDescent="0.25">
      <c r="A35" s="94"/>
      <c r="B35" s="106"/>
      <c r="C35" s="98"/>
      <c r="D35" s="100"/>
      <c r="E35" s="102"/>
      <c r="F35" s="113"/>
      <c r="G35" s="26"/>
      <c r="H35" s="26"/>
      <c r="I35" s="28"/>
      <c r="J35" s="35"/>
      <c r="K35" s="108"/>
    </row>
    <row r="36" spans="1:11" ht="25.5" x14ac:dyDescent="0.2">
      <c r="A36" s="93" t="s">
        <v>19</v>
      </c>
      <c r="B36" s="105">
        <v>3810</v>
      </c>
      <c r="C36" s="97" t="s">
        <v>42</v>
      </c>
      <c r="D36" s="99" t="s">
        <v>78</v>
      </c>
      <c r="E36" s="101" t="s">
        <v>76</v>
      </c>
      <c r="F36" s="112"/>
      <c r="G36" s="29"/>
      <c r="H36" s="29"/>
      <c r="I36" s="31"/>
      <c r="J36" s="34"/>
      <c r="K36" s="88"/>
    </row>
    <row r="37" spans="1:11" ht="26.25" thickBot="1" x14ac:dyDescent="0.25">
      <c r="A37" s="94"/>
      <c r="B37" s="106"/>
      <c r="C37" s="98"/>
      <c r="D37" s="100"/>
      <c r="E37" s="102"/>
      <c r="F37" s="113"/>
      <c r="G37" s="26"/>
      <c r="H37" s="26"/>
      <c r="I37" s="28"/>
      <c r="J37" s="35"/>
      <c r="K37" s="89"/>
    </row>
    <row r="38" spans="1:11" ht="25.5" x14ac:dyDescent="0.2">
      <c r="A38" s="93" t="s">
        <v>50</v>
      </c>
      <c r="B38" s="105">
        <v>6056</v>
      </c>
      <c r="C38" s="97" t="s">
        <v>29</v>
      </c>
      <c r="D38" s="99" t="s">
        <v>75</v>
      </c>
      <c r="E38" s="101" t="s">
        <v>79</v>
      </c>
      <c r="F38" s="112"/>
      <c r="G38" s="37"/>
      <c r="H38" s="37"/>
      <c r="I38" s="31"/>
      <c r="J38" s="34"/>
      <c r="K38" s="88"/>
    </row>
    <row r="39" spans="1:11" ht="26.25" thickBot="1" x14ac:dyDescent="0.25">
      <c r="A39" s="94"/>
      <c r="B39" s="106"/>
      <c r="C39" s="98"/>
      <c r="D39" s="100"/>
      <c r="E39" s="102"/>
      <c r="F39" s="113"/>
      <c r="G39" s="38"/>
      <c r="H39" s="38"/>
      <c r="I39" s="28"/>
      <c r="J39" s="33"/>
      <c r="K39" s="89"/>
    </row>
    <row r="40" spans="1:11" ht="25.5" x14ac:dyDescent="0.2">
      <c r="A40" s="93" t="s">
        <v>17</v>
      </c>
      <c r="B40" s="105">
        <v>3820</v>
      </c>
      <c r="C40" s="97" t="s">
        <v>40</v>
      </c>
      <c r="D40" s="99" t="s">
        <v>75</v>
      </c>
      <c r="E40" s="101" t="s">
        <v>79</v>
      </c>
      <c r="F40" s="112"/>
      <c r="G40" s="29"/>
      <c r="H40" s="29"/>
      <c r="I40" s="31"/>
      <c r="J40" s="34"/>
      <c r="K40" s="88"/>
    </row>
    <row r="41" spans="1:11" ht="26.25" thickBot="1" x14ac:dyDescent="0.25">
      <c r="A41" s="109"/>
      <c r="B41" s="110"/>
      <c r="C41" s="111"/>
      <c r="D41" s="100"/>
      <c r="E41" s="102"/>
      <c r="F41" s="113"/>
      <c r="G41" s="26"/>
      <c r="H41" s="26"/>
      <c r="I41" s="28"/>
      <c r="J41" s="35"/>
      <c r="K41" s="89"/>
    </row>
    <row r="42" spans="1:11" ht="26.25" customHeight="1" x14ac:dyDescent="0.2">
      <c r="A42" s="93" t="s">
        <v>18</v>
      </c>
      <c r="B42" s="105">
        <v>3821</v>
      </c>
      <c r="C42" s="97" t="s">
        <v>26</v>
      </c>
      <c r="D42" s="99" t="s">
        <v>78</v>
      </c>
      <c r="E42" s="101" t="s">
        <v>79</v>
      </c>
      <c r="F42" s="103"/>
      <c r="G42" s="29"/>
      <c r="H42" s="30"/>
      <c r="I42" s="31"/>
      <c r="J42" s="34"/>
      <c r="K42" s="88"/>
    </row>
    <row r="43" spans="1:11" ht="26.25" thickBot="1" x14ac:dyDescent="0.25">
      <c r="A43" s="94"/>
      <c r="B43" s="106"/>
      <c r="C43" s="98"/>
      <c r="D43" s="100"/>
      <c r="E43" s="102"/>
      <c r="F43" s="104"/>
      <c r="G43" s="26"/>
      <c r="H43" s="27"/>
      <c r="I43" s="28"/>
      <c r="J43" s="33"/>
      <c r="K43" s="89"/>
    </row>
    <row r="44" spans="1:11" ht="25.5" x14ac:dyDescent="0.2">
      <c r="A44" s="93" t="s">
        <v>97</v>
      </c>
      <c r="B44" s="105">
        <v>6317</v>
      </c>
      <c r="C44" s="97" t="s">
        <v>35</v>
      </c>
      <c r="D44" s="99" t="s">
        <v>78</v>
      </c>
      <c r="E44" s="101" t="s">
        <v>76</v>
      </c>
      <c r="F44" s="103"/>
      <c r="G44" s="29"/>
      <c r="H44" s="30"/>
      <c r="I44" s="31"/>
      <c r="J44" s="34"/>
      <c r="K44" s="107"/>
    </row>
    <row r="45" spans="1:11" ht="26.25" thickBot="1" x14ac:dyDescent="0.25">
      <c r="A45" s="94"/>
      <c r="B45" s="106"/>
      <c r="C45" s="98"/>
      <c r="D45" s="100"/>
      <c r="E45" s="102"/>
      <c r="F45" s="104"/>
      <c r="G45" s="26"/>
      <c r="H45" s="27"/>
      <c r="I45" s="28"/>
      <c r="J45" s="33"/>
      <c r="K45" s="108"/>
    </row>
    <row r="46" spans="1:11" ht="26.25" customHeight="1" x14ac:dyDescent="0.2">
      <c r="A46" s="93" t="s">
        <v>30</v>
      </c>
      <c r="B46" s="105">
        <v>3832</v>
      </c>
      <c r="C46" s="97" t="s">
        <v>34</v>
      </c>
      <c r="D46" s="99" t="s">
        <v>75</v>
      </c>
      <c r="E46" s="101" t="s">
        <v>76</v>
      </c>
      <c r="F46" s="103"/>
      <c r="G46" s="30"/>
      <c r="H46" s="30"/>
      <c r="I46" s="31"/>
      <c r="J46" s="34"/>
      <c r="K46" s="88"/>
    </row>
    <row r="47" spans="1:11" ht="26.25" thickBot="1" x14ac:dyDescent="0.25">
      <c r="A47" s="94"/>
      <c r="B47" s="106"/>
      <c r="C47" s="98"/>
      <c r="D47" s="100"/>
      <c r="E47" s="102"/>
      <c r="F47" s="104"/>
      <c r="G47" s="27"/>
      <c r="H47" s="27"/>
      <c r="I47" s="28"/>
      <c r="J47" s="33"/>
      <c r="K47" s="89"/>
    </row>
    <row r="48" spans="1:11" ht="25.5" x14ac:dyDescent="0.2">
      <c r="A48" s="93" t="s">
        <v>48</v>
      </c>
      <c r="B48" s="105">
        <v>4173</v>
      </c>
      <c r="C48" s="97" t="s">
        <v>10</v>
      </c>
      <c r="D48" s="99" t="s">
        <v>75</v>
      </c>
      <c r="E48" s="101" t="s">
        <v>76</v>
      </c>
      <c r="F48" s="103"/>
      <c r="G48" s="30"/>
      <c r="H48" s="30"/>
      <c r="I48" s="31"/>
      <c r="J48" s="34"/>
      <c r="K48" s="107"/>
    </row>
    <row r="49" spans="1:13" ht="26.25" thickBot="1" x14ac:dyDescent="0.25">
      <c r="A49" s="94"/>
      <c r="B49" s="106"/>
      <c r="C49" s="98"/>
      <c r="D49" s="100"/>
      <c r="E49" s="102"/>
      <c r="F49" s="104"/>
      <c r="G49" s="27"/>
      <c r="H49" s="27"/>
      <c r="I49" s="28"/>
      <c r="J49" s="33"/>
      <c r="K49" s="108"/>
    </row>
    <row r="50" spans="1:13" ht="25.5" x14ac:dyDescent="0.2">
      <c r="A50" s="93" t="s">
        <v>20</v>
      </c>
      <c r="B50" s="95">
        <v>2</v>
      </c>
      <c r="C50" s="97" t="s">
        <v>28</v>
      </c>
      <c r="D50" s="99" t="s">
        <v>75</v>
      </c>
      <c r="E50" s="101" t="s">
        <v>81</v>
      </c>
      <c r="F50" s="103"/>
      <c r="G50" s="30"/>
      <c r="H50" s="30"/>
      <c r="I50" s="39"/>
      <c r="J50" s="34"/>
      <c r="K50" s="88"/>
    </row>
    <row r="51" spans="1:13" ht="26.25" thickBot="1" x14ac:dyDescent="0.25">
      <c r="A51" s="94"/>
      <c r="B51" s="96"/>
      <c r="C51" s="98"/>
      <c r="D51" s="100"/>
      <c r="E51" s="102"/>
      <c r="F51" s="104"/>
      <c r="G51" s="27"/>
      <c r="H51" s="27"/>
      <c r="I51" s="35"/>
      <c r="J51" s="33"/>
      <c r="K51" s="89"/>
    </row>
    <row r="52" spans="1:13" s="42" customFormat="1" ht="25.5" customHeight="1" x14ac:dyDescent="0.2">
      <c r="A52" s="40"/>
      <c r="B52" s="90" t="s">
        <v>95</v>
      </c>
      <c r="C52" s="90"/>
      <c r="D52" s="90"/>
      <c r="E52" s="90"/>
      <c r="F52" s="90"/>
      <c r="G52" s="90"/>
      <c r="H52" s="90"/>
      <c r="I52" s="90"/>
      <c r="J52" s="90"/>
      <c r="K52" s="41"/>
    </row>
    <row r="53" spans="1:13" s="11" customFormat="1" ht="25.5" customHeight="1" x14ac:dyDescent="0.2">
      <c r="A53" s="43"/>
      <c r="B53" s="44"/>
      <c r="C53" s="45"/>
      <c r="D53" s="46"/>
      <c r="E53" s="46"/>
      <c r="F53" s="46"/>
      <c r="G53" s="47"/>
      <c r="H53" s="47"/>
      <c r="I53" s="48"/>
      <c r="J53" s="49"/>
      <c r="K53" s="50"/>
    </row>
    <row r="54" spans="1:13" s="11" customFormat="1" ht="25.5" customHeight="1" thickBot="1" x14ac:dyDescent="0.25">
      <c r="A54" s="43"/>
      <c r="C54" s="51" t="s">
        <v>67</v>
      </c>
      <c r="D54" s="52"/>
      <c r="E54" s="48"/>
      <c r="F54" s="46"/>
      <c r="G54" s="91" t="s">
        <v>68</v>
      </c>
      <c r="H54" s="91"/>
      <c r="I54" s="53"/>
      <c r="J54" s="49"/>
      <c r="K54" s="50"/>
    </row>
    <row r="55" spans="1:13" s="11" customFormat="1" ht="25.5" customHeight="1" x14ac:dyDescent="0.2">
      <c r="A55" s="43"/>
      <c r="B55" s="44"/>
      <c r="C55" s="45"/>
      <c r="D55" s="46"/>
      <c r="E55" s="46"/>
      <c r="F55" s="46"/>
      <c r="G55" s="47"/>
      <c r="H55" s="47"/>
      <c r="I55" s="48"/>
      <c r="J55" s="49"/>
      <c r="K55" s="50"/>
    </row>
    <row r="56" spans="1:13" s="11" customFormat="1" ht="30" customHeight="1" x14ac:dyDescent="0.2">
      <c r="A56" s="92" t="s">
        <v>11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M56" s="11" t="s">
        <v>0</v>
      </c>
    </row>
    <row r="57" spans="1:13" s="11" customFormat="1" ht="30" customHeight="1" x14ac:dyDescent="0.2">
      <c r="A57" s="54"/>
      <c r="B57" s="84"/>
      <c r="C57" s="84"/>
      <c r="D57" s="84"/>
      <c r="E57" s="84"/>
      <c r="F57" s="84"/>
      <c r="G57" s="84"/>
      <c r="H57" s="84"/>
      <c r="I57" s="84"/>
      <c r="J57" s="84"/>
      <c r="K57" s="55"/>
    </row>
    <row r="58" spans="1:13" s="11" customFormat="1" ht="30" customHeight="1" x14ac:dyDescent="0.2">
      <c r="A58" s="54"/>
      <c r="B58" s="84"/>
      <c r="C58" s="84"/>
      <c r="D58" s="84"/>
      <c r="E58" s="84"/>
      <c r="F58" s="84"/>
      <c r="G58" s="84"/>
      <c r="H58" s="84"/>
      <c r="I58" s="84"/>
      <c r="J58" s="84"/>
      <c r="K58" s="54"/>
      <c r="L58" s="54"/>
    </row>
    <row r="59" spans="1:13" s="11" customFormat="1" ht="30" customHeight="1" x14ac:dyDescent="0.2">
      <c r="A59" s="54"/>
      <c r="B59" s="84"/>
      <c r="C59" s="84"/>
      <c r="D59" s="84"/>
      <c r="E59" s="84"/>
      <c r="F59" s="84"/>
      <c r="G59" s="84"/>
      <c r="H59" s="84"/>
      <c r="I59" s="84"/>
      <c r="J59" s="84"/>
      <c r="K59" s="54"/>
      <c r="L59" s="45"/>
    </row>
    <row r="60" spans="1:13" s="11" customFormat="1" ht="30" customHeight="1" x14ac:dyDescent="0.2">
      <c r="A60" s="56"/>
      <c r="B60" s="57"/>
      <c r="C60" s="58"/>
      <c r="D60" s="58"/>
      <c r="E60" s="58"/>
      <c r="F60" s="57"/>
      <c r="G60" s="57"/>
      <c r="H60" s="57"/>
      <c r="I60" s="58"/>
      <c r="J60" s="58"/>
      <c r="K60" s="58"/>
    </row>
    <row r="61" spans="1:13" s="11" customFormat="1" ht="30" customHeight="1" x14ac:dyDescent="0.2">
      <c r="A61" s="56"/>
      <c r="B61" s="57"/>
      <c r="C61" s="58"/>
      <c r="D61" s="58"/>
      <c r="E61" s="58"/>
      <c r="F61" s="57"/>
      <c r="H61" s="57"/>
      <c r="I61" s="57"/>
    </row>
    <row r="62" spans="1:13" s="11" customFormat="1" ht="30" customHeight="1" x14ac:dyDescent="0.2">
      <c r="A62" s="59"/>
      <c r="B62" s="60"/>
      <c r="C62" s="61"/>
      <c r="D62" s="61"/>
      <c r="E62" s="61"/>
      <c r="F62" s="60"/>
      <c r="G62" s="62"/>
      <c r="H62" s="60"/>
      <c r="I62" s="60"/>
      <c r="J62" s="62"/>
      <c r="K62" s="62"/>
    </row>
    <row r="63" spans="1:13" s="10" customFormat="1" ht="20.100000000000001" customHeight="1" x14ac:dyDescent="0.2">
      <c r="A63" s="85" t="s">
        <v>94</v>
      </c>
      <c r="B63" s="85"/>
      <c r="C63" s="85"/>
      <c r="D63" s="63"/>
      <c r="E63" s="63"/>
      <c r="F63" s="64"/>
      <c r="G63" s="65"/>
      <c r="H63" s="86" t="s">
        <v>57</v>
      </c>
      <c r="I63" s="86"/>
      <c r="J63" s="86"/>
      <c r="K63" s="86"/>
      <c r="L63" s="66"/>
    </row>
    <row r="64" spans="1:13" s="10" customFormat="1" ht="20.100000000000001" customHeight="1" x14ac:dyDescent="0.2">
      <c r="A64" s="80" t="s">
        <v>69</v>
      </c>
      <c r="B64" s="80"/>
      <c r="C64" s="80"/>
      <c r="D64" s="64"/>
      <c r="E64" s="64"/>
      <c r="F64" s="64"/>
      <c r="G64" s="65"/>
      <c r="H64" s="80" t="s">
        <v>38</v>
      </c>
      <c r="I64" s="80"/>
      <c r="J64" s="80"/>
      <c r="K64" s="80"/>
    </row>
    <row r="65" spans="1:12" s="10" customFormat="1" ht="30" customHeight="1" x14ac:dyDescent="0.2">
      <c r="A65" s="64"/>
      <c r="B65" s="64"/>
      <c r="C65" s="64"/>
      <c r="D65" s="64"/>
      <c r="E65" s="64"/>
      <c r="F65" s="64"/>
      <c r="G65" s="65"/>
      <c r="H65" s="64"/>
      <c r="I65" s="64"/>
      <c r="J65" s="64"/>
      <c r="K65" s="64"/>
    </row>
    <row r="66" spans="1:12" s="10" customFormat="1" ht="30" customHeight="1" x14ac:dyDescent="0.2">
      <c r="A66" s="64"/>
      <c r="B66" s="64"/>
      <c r="C66" s="64"/>
      <c r="D66" s="64"/>
      <c r="E66" s="64"/>
      <c r="F66" s="64"/>
      <c r="G66" s="65"/>
      <c r="H66" s="64"/>
      <c r="I66" s="64"/>
      <c r="J66" s="64"/>
      <c r="K66" s="64"/>
    </row>
    <row r="67" spans="1:12" s="10" customFormat="1" ht="30" customHeight="1" x14ac:dyDescent="0.2">
      <c r="A67" s="64"/>
      <c r="B67" s="64"/>
      <c r="C67" s="64"/>
      <c r="D67" s="64"/>
      <c r="E67" s="64"/>
      <c r="F67" s="64"/>
      <c r="G67" s="65"/>
      <c r="H67" s="64"/>
      <c r="I67" s="64"/>
      <c r="J67" s="64"/>
      <c r="K67" s="64"/>
    </row>
    <row r="68" spans="1:12" s="10" customFormat="1" ht="30" customHeight="1" x14ac:dyDescent="0.2">
      <c r="A68" s="64"/>
      <c r="B68" s="64"/>
      <c r="C68" s="65"/>
      <c r="D68" s="65"/>
      <c r="E68" s="65"/>
      <c r="F68" s="64"/>
      <c r="G68" s="65"/>
      <c r="H68" s="64"/>
      <c r="I68" s="64"/>
      <c r="J68" s="65"/>
      <c r="K68" s="65"/>
    </row>
    <row r="69" spans="1:12" s="11" customFormat="1" ht="30" customHeight="1" x14ac:dyDescent="0.2">
      <c r="A69" s="67"/>
      <c r="B69" s="67"/>
      <c r="C69" s="67"/>
      <c r="D69" s="68"/>
      <c r="E69" s="68"/>
      <c r="F69" s="69"/>
      <c r="G69" s="70"/>
      <c r="H69" s="87"/>
      <c r="I69" s="87"/>
      <c r="J69" s="87"/>
      <c r="K69" s="87"/>
      <c r="L69" s="71"/>
    </row>
    <row r="70" spans="1:12" s="11" customFormat="1" ht="18.75" customHeight="1" x14ac:dyDescent="0.2">
      <c r="A70" s="80" t="s">
        <v>93</v>
      </c>
      <c r="B70" s="80"/>
      <c r="C70" s="80"/>
      <c r="D70" s="68"/>
      <c r="E70" s="68"/>
      <c r="F70" s="69"/>
      <c r="G70" s="70"/>
      <c r="H70" s="81" t="s">
        <v>71</v>
      </c>
      <c r="I70" s="81"/>
      <c r="J70" s="81"/>
      <c r="K70" s="81"/>
      <c r="L70" s="71"/>
    </row>
    <row r="71" spans="1:12" s="11" customFormat="1" ht="30" customHeight="1" x14ac:dyDescent="0.2">
      <c r="A71" s="80" t="s">
        <v>70</v>
      </c>
      <c r="B71" s="80"/>
      <c r="C71" s="80"/>
      <c r="D71" s="64"/>
      <c r="E71" s="64"/>
      <c r="F71" s="63"/>
      <c r="G71" s="68"/>
      <c r="L71" s="71"/>
    </row>
    <row r="72" spans="1:12" s="3" customFormat="1" ht="30" customHeight="1" x14ac:dyDescent="0.2">
      <c r="A72" s="82"/>
      <c r="B72" s="82"/>
      <c r="C72" s="82"/>
      <c r="D72" s="60"/>
      <c r="E72" s="60"/>
      <c r="F72" s="72"/>
      <c r="G72" s="73"/>
      <c r="H72" s="73"/>
      <c r="I72" s="73"/>
      <c r="J72" s="73"/>
      <c r="K72" s="74"/>
      <c r="L72" s="75"/>
    </row>
    <row r="73" spans="1:12" s="3" customFormat="1" ht="30" customHeight="1" x14ac:dyDescent="0.2">
      <c r="B73" s="83"/>
      <c r="C73" s="83"/>
      <c r="D73" s="76"/>
      <c r="E73" s="76"/>
      <c r="G73" s="77"/>
      <c r="H73" s="77"/>
      <c r="I73" s="77"/>
      <c r="J73" s="77"/>
    </row>
    <row r="74" spans="1:12" s="3" customFormat="1" ht="30" customHeight="1" x14ac:dyDescent="0.2">
      <c r="G74" s="77"/>
      <c r="H74" s="77"/>
      <c r="I74" s="77"/>
      <c r="J74" s="77"/>
    </row>
    <row r="75" spans="1:12" s="3" customFormat="1" ht="30" customHeight="1" x14ac:dyDescent="0.2"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H85" s="78"/>
    </row>
  </sheetData>
  <mergeCells count="167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A71:C71"/>
    <mergeCell ref="H70:K70"/>
    <mergeCell ref="A72:C72"/>
    <mergeCell ref="B73:C73"/>
    <mergeCell ref="B59:J59"/>
    <mergeCell ref="A63:C63"/>
    <mergeCell ref="H63:K63"/>
    <mergeCell ref="A64:C64"/>
    <mergeCell ref="H64:K64"/>
    <mergeCell ref="A70:C70"/>
    <mergeCell ref="H69:K69"/>
  </mergeCells>
  <printOptions horizontalCentered="1" verticalCentered="1"/>
  <pageMargins left="3.937007874015748E-2" right="3.937007874015748E-2" top="0.15748031496062992" bottom="0.15748031496062992" header="0.11811023622047245" footer="0.11811023622047245"/>
  <pageSetup scale="28" orientation="portrait" horizontalDpi="1200" verticalDpi="1200" r:id="rId1"/>
  <colBreaks count="1" manualBreakCount="1">
    <brk id="11" max="8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D2920-7130-4882-9CDA-3FA43CFA269D}">
  <dimension ref="A1:P85"/>
  <sheetViews>
    <sheetView view="pageBreakPreview" topLeftCell="A4" zoomScale="60" zoomScaleNormal="50" workbookViewId="0">
      <selection activeCell="F14" sqref="F14:J51"/>
    </sheetView>
  </sheetViews>
  <sheetFormatPr baseColWidth="10" defaultRowHeight="12.75" x14ac:dyDescent="0.2"/>
  <cols>
    <col min="1" max="1" width="43.7109375" style="14" customWidth="1"/>
    <col min="2" max="2" width="22.140625" style="14" customWidth="1"/>
    <col min="3" max="3" width="63" style="14" customWidth="1"/>
    <col min="4" max="4" width="34.85546875" style="14" customWidth="1"/>
    <col min="5" max="5" width="30.42578125" style="14" customWidth="1"/>
    <col min="6" max="6" width="24.5703125" style="14" customWidth="1"/>
    <col min="7" max="7" width="23.42578125" style="14" customWidth="1"/>
    <col min="8" max="8" width="23.140625" style="14" customWidth="1"/>
    <col min="9" max="9" width="33.42578125" style="14" customWidth="1"/>
    <col min="10" max="10" width="22.42578125" style="14" customWidth="1"/>
    <col min="11" max="11" width="40.28515625" style="14" customWidth="1"/>
    <col min="12" max="12" width="11.42578125" style="14"/>
    <col min="13" max="13" width="11.42578125" style="14" customWidth="1"/>
    <col min="14" max="14" width="22.140625" style="14" customWidth="1"/>
    <col min="15" max="15" width="11.42578125" style="14"/>
    <col min="16" max="16" width="28.28515625" style="14" customWidth="1"/>
    <col min="17" max="16384" width="11.42578125" style="14"/>
  </cols>
  <sheetData>
    <row r="1" spans="1:16" s="3" customFormat="1" ht="30" x14ac:dyDescent="0.2">
      <c r="A1" s="131" t="s">
        <v>43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/>
    </row>
    <row r="2" spans="1:16" s="3" customFormat="1" ht="30" x14ac:dyDescent="0.2">
      <c r="A2" s="131" t="s">
        <v>44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4"/>
    </row>
    <row r="3" spans="1:16" s="3" customFormat="1" ht="30" customHeight="1" x14ac:dyDescent="0.2">
      <c r="A3" s="131" t="s">
        <v>59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131" t="s">
        <v>60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61</v>
      </c>
      <c r="B7" s="132" t="s">
        <v>82</v>
      </c>
      <c r="C7" s="132"/>
      <c r="D7" s="132"/>
      <c r="E7" s="8"/>
      <c r="F7" s="9"/>
      <c r="G7" s="7" t="s">
        <v>1</v>
      </c>
      <c r="H7" s="132" t="s">
        <v>62</v>
      </c>
      <c r="I7" s="132"/>
      <c r="J7" s="132"/>
      <c r="K7" s="10"/>
    </row>
    <row r="8" spans="1:16" s="11" customFormat="1" ht="39.950000000000003" customHeight="1" x14ac:dyDescent="0.35">
      <c r="A8" s="7" t="s">
        <v>63</v>
      </c>
      <c r="B8" s="144" t="s">
        <v>64</v>
      </c>
      <c r="C8" s="144"/>
      <c r="D8" s="144"/>
      <c r="E8" s="12"/>
      <c r="F8" s="9"/>
      <c r="G8" s="7" t="s">
        <v>65</v>
      </c>
      <c r="H8" s="145"/>
      <c r="I8" s="145"/>
      <c r="J8" s="145"/>
      <c r="K8" s="10"/>
    </row>
    <row r="9" spans="1:16" s="11" customFormat="1" ht="39.950000000000003" customHeight="1" x14ac:dyDescent="0.35">
      <c r="A9" s="7" t="s">
        <v>66</v>
      </c>
      <c r="B9" s="132" t="s">
        <v>84</v>
      </c>
      <c r="C9" s="132"/>
      <c r="D9" s="132"/>
      <c r="E9" s="8"/>
      <c r="F9" s="9"/>
      <c r="G9" s="7" t="s">
        <v>36</v>
      </c>
      <c r="H9" s="146"/>
      <c r="I9" s="146"/>
      <c r="J9" s="146"/>
      <c r="K9" s="10"/>
    </row>
    <row r="10" spans="1:16" s="11" customFormat="1" ht="39.75" customHeight="1" x14ac:dyDescent="0.35">
      <c r="A10" s="7" t="s">
        <v>63</v>
      </c>
      <c r="B10" s="147" t="s">
        <v>88</v>
      </c>
      <c r="C10" s="147"/>
      <c r="D10" s="147"/>
      <c r="E10" s="12"/>
      <c r="F10" s="9"/>
      <c r="G10" s="7" t="s">
        <v>33</v>
      </c>
      <c r="H10" s="132"/>
      <c r="I10" s="132"/>
      <c r="J10" s="132"/>
      <c r="K10" s="10"/>
    </row>
    <row r="11" spans="1:16" ht="39.75" customHeight="1" thickBo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6" s="16" customFormat="1" ht="20.25" x14ac:dyDescent="0.3">
      <c r="A12" s="133" t="s">
        <v>2</v>
      </c>
      <c r="B12" s="135" t="s">
        <v>37</v>
      </c>
      <c r="C12" s="135" t="s">
        <v>3</v>
      </c>
      <c r="D12" s="137" t="s">
        <v>72</v>
      </c>
      <c r="E12" s="15" t="s">
        <v>73</v>
      </c>
      <c r="F12" s="139" t="s">
        <v>4</v>
      </c>
      <c r="G12" s="140"/>
      <c r="H12" s="140"/>
      <c r="I12" s="140"/>
      <c r="J12" s="141"/>
      <c r="K12" s="142" t="s">
        <v>32</v>
      </c>
    </row>
    <row r="13" spans="1:16" s="16" customFormat="1" ht="21" thickBot="1" x14ac:dyDescent="0.35">
      <c r="A13" s="134"/>
      <c r="B13" s="136"/>
      <c r="C13" s="136"/>
      <c r="D13" s="138"/>
      <c r="E13" s="18" t="s">
        <v>74</v>
      </c>
      <c r="F13" s="17" t="s">
        <v>5</v>
      </c>
      <c r="G13" s="17" t="s">
        <v>6</v>
      </c>
      <c r="H13" s="17" t="s">
        <v>7</v>
      </c>
      <c r="I13" s="19" t="s">
        <v>8</v>
      </c>
      <c r="J13" s="19" t="s">
        <v>31</v>
      </c>
      <c r="K13" s="143"/>
    </row>
    <row r="14" spans="1:16" ht="26.25" customHeight="1" x14ac:dyDescent="0.2">
      <c r="A14" s="127" t="s">
        <v>91</v>
      </c>
      <c r="B14" s="128">
        <v>146</v>
      </c>
      <c r="C14" s="129" t="s">
        <v>27</v>
      </c>
      <c r="D14" s="99" t="s">
        <v>75</v>
      </c>
      <c r="E14" s="101" t="s">
        <v>76</v>
      </c>
      <c r="F14" s="112"/>
      <c r="G14" s="20"/>
      <c r="H14" s="21"/>
      <c r="I14" s="22"/>
      <c r="J14" s="23"/>
      <c r="K14" s="118"/>
      <c r="M14" s="24">
        <f>SUM(F14+(F44*10)+(F32*10)+F22+F34+(F36*10)+F48)</f>
        <v>0</v>
      </c>
      <c r="N14" s="25" t="s">
        <v>51</v>
      </c>
      <c r="O14" s="25">
        <v>2715</v>
      </c>
      <c r="P14" s="25" t="s">
        <v>52</v>
      </c>
    </row>
    <row r="15" spans="1:16" ht="26.25" thickBot="1" x14ac:dyDescent="0.25">
      <c r="A15" s="121"/>
      <c r="B15" s="123"/>
      <c r="C15" s="130"/>
      <c r="D15" s="100"/>
      <c r="E15" s="102"/>
      <c r="F15" s="113"/>
      <c r="G15" s="26"/>
      <c r="H15" s="27"/>
      <c r="I15" s="28"/>
      <c r="J15" s="28"/>
      <c r="K15" s="119"/>
      <c r="M15" s="24">
        <f>SUM((F44/3)*20+F20)</f>
        <v>0</v>
      </c>
      <c r="N15" s="25" t="s">
        <v>51</v>
      </c>
      <c r="O15" s="25">
        <v>2707</v>
      </c>
      <c r="P15" s="25" t="s">
        <v>53</v>
      </c>
    </row>
    <row r="16" spans="1:16" ht="25.5" x14ac:dyDescent="0.2">
      <c r="A16" s="120" t="s">
        <v>46</v>
      </c>
      <c r="B16" s="122">
        <v>148</v>
      </c>
      <c r="C16" s="124" t="s">
        <v>9</v>
      </c>
      <c r="D16" s="99" t="s">
        <v>75</v>
      </c>
      <c r="E16" s="101" t="s">
        <v>77</v>
      </c>
      <c r="F16" s="112"/>
      <c r="G16" s="29"/>
      <c r="H16" s="29"/>
      <c r="I16" s="31"/>
      <c r="J16" s="32"/>
      <c r="K16" s="126"/>
      <c r="M16" s="24">
        <f>SUM(F24)</f>
        <v>0</v>
      </c>
      <c r="N16" s="25" t="s">
        <v>51</v>
      </c>
      <c r="O16" s="25">
        <v>2699</v>
      </c>
      <c r="P16" s="25" t="s">
        <v>54</v>
      </c>
    </row>
    <row r="17" spans="1:16" ht="26.25" thickBot="1" x14ac:dyDescent="0.25">
      <c r="A17" s="121"/>
      <c r="B17" s="123"/>
      <c r="C17" s="125"/>
      <c r="D17" s="100"/>
      <c r="E17" s="102"/>
      <c r="F17" s="113"/>
      <c r="G17" s="26"/>
      <c r="H17" s="26"/>
      <c r="I17" s="28"/>
      <c r="J17" s="28"/>
      <c r="K17" s="119"/>
      <c r="M17" s="24">
        <f>SUM(F26+F40)</f>
        <v>0</v>
      </c>
      <c r="N17" s="25" t="s">
        <v>51</v>
      </c>
      <c r="O17" s="25">
        <v>2657</v>
      </c>
      <c r="P17" s="25" t="s">
        <v>55</v>
      </c>
    </row>
    <row r="18" spans="1:16" ht="26.25" customHeight="1" x14ac:dyDescent="0.2">
      <c r="A18" s="93" t="s">
        <v>90</v>
      </c>
      <c r="B18" s="105">
        <v>150</v>
      </c>
      <c r="C18" s="97" t="s">
        <v>58</v>
      </c>
      <c r="D18" s="99" t="s">
        <v>75</v>
      </c>
      <c r="E18" s="101" t="s">
        <v>77</v>
      </c>
      <c r="F18" s="112"/>
      <c r="G18" s="29"/>
      <c r="H18" s="29"/>
      <c r="I18" s="31"/>
      <c r="J18" s="32"/>
      <c r="K18" s="116"/>
      <c r="M18" s="24">
        <f>SUM(F28*10)</f>
        <v>0</v>
      </c>
      <c r="N18" s="25" t="s">
        <v>51</v>
      </c>
      <c r="O18" s="25">
        <v>59</v>
      </c>
      <c r="P18" s="25" t="s">
        <v>56</v>
      </c>
    </row>
    <row r="19" spans="1:16" ht="26.25" thickBot="1" x14ac:dyDescent="0.25">
      <c r="A19" s="94"/>
      <c r="B19" s="106"/>
      <c r="C19" s="98"/>
      <c r="D19" s="100"/>
      <c r="E19" s="102"/>
      <c r="F19" s="113"/>
      <c r="G19" s="26"/>
      <c r="H19" s="26"/>
      <c r="I19" s="28"/>
      <c r="J19" s="28"/>
      <c r="K19" s="117"/>
    </row>
    <row r="20" spans="1:16" ht="25.5" x14ac:dyDescent="0.2">
      <c r="A20" s="93" t="s">
        <v>45</v>
      </c>
      <c r="B20" s="105">
        <v>6135</v>
      </c>
      <c r="C20" s="97" t="s">
        <v>47</v>
      </c>
      <c r="D20" s="99" t="s">
        <v>75</v>
      </c>
      <c r="E20" s="101" t="s">
        <v>76</v>
      </c>
      <c r="F20" s="112"/>
      <c r="G20" s="29"/>
      <c r="H20" s="29"/>
      <c r="I20" s="31"/>
      <c r="J20" s="32"/>
      <c r="K20" s="116"/>
    </row>
    <row r="21" spans="1:16" ht="26.25" thickBot="1" x14ac:dyDescent="0.25">
      <c r="A21" s="94"/>
      <c r="B21" s="106"/>
      <c r="C21" s="98"/>
      <c r="D21" s="100"/>
      <c r="E21" s="102"/>
      <c r="F21" s="113"/>
      <c r="G21" s="26"/>
      <c r="H21" s="26"/>
      <c r="I21" s="28"/>
      <c r="J21" s="28"/>
      <c r="K21" s="117"/>
    </row>
    <row r="22" spans="1:16" ht="25.5" x14ac:dyDescent="0.2">
      <c r="A22" s="93" t="s">
        <v>14</v>
      </c>
      <c r="B22" s="105">
        <v>2526</v>
      </c>
      <c r="C22" s="97" t="s">
        <v>21</v>
      </c>
      <c r="D22" s="99" t="s">
        <v>78</v>
      </c>
      <c r="E22" s="101" t="s">
        <v>76</v>
      </c>
      <c r="F22" s="112"/>
      <c r="G22" s="29"/>
      <c r="H22" s="29"/>
      <c r="I22" s="31"/>
      <c r="J22" s="34"/>
      <c r="K22" s="107"/>
    </row>
    <row r="23" spans="1:16" ht="26.25" thickBot="1" x14ac:dyDescent="0.25">
      <c r="A23" s="94"/>
      <c r="B23" s="106"/>
      <c r="C23" s="98"/>
      <c r="D23" s="100"/>
      <c r="E23" s="102"/>
      <c r="F23" s="113"/>
      <c r="G23" s="26"/>
      <c r="H23" s="26"/>
      <c r="I23" s="28"/>
      <c r="J23" s="33"/>
      <c r="K23" s="108"/>
    </row>
    <row r="24" spans="1:16" ht="25.5" x14ac:dyDescent="0.2">
      <c r="A24" s="93" t="s">
        <v>49</v>
      </c>
      <c r="B24" s="105">
        <v>2527</v>
      </c>
      <c r="C24" s="97" t="s">
        <v>22</v>
      </c>
      <c r="D24" s="99" t="s">
        <v>75</v>
      </c>
      <c r="E24" s="101" t="s">
        <v>76</v>
      </c>
      <c r="F24" s="112"/>
      <c r="G24" s="29"/>
      <c r="H24" s="29"/>
      <c r="I24" s="31"/>
      <c r="J24" s="34"/>
      <c r="K24" s="114"/>
    </row>
    <row r="25" spans="1:16" ht="26.25" thickBot="1" x14ac:dyDescent="0.25">
      <c r="A25" s="94"/>
      <c r="B25" s="106"/>
      <c r="C25" s="98"/>
      <c r="D25" s="100"/>
      <c r="E25" s="102"/>
      <c r="F25" s="113"/>
      <c r="G25" s="26"/>
      <c r="H25" s="26"/>
      <c r="I25" s="28"/>
      <c r="J25" s="33"/>
      <c r="K25" s="115"/>
    </row>
    <row r="26" spans="1:16" ht="25.5" x14ac:dyDescent="0.2">
      <c r="A26" s="93" t="s">
        <v>12</v>
      </c>
      <c r="B26" s="105">
        <v>3800</v>
      </c>
      <c r="C26" s="97" t="s">
        <v>39</v>
      </c>
      <c r="D26" s="99" t="s">
        <v>78</v>
      </c>
      <c r="E26" s="101" t="s">
        <v>79</v>
      </c>
      <c r="F26" s="112"/>
      <c r="G26" s="29"/>
      <c r="H26" s="29"/>
      <c r="I26" s="29"/>
      <c r="J26" s="34"/>
      <c r="K26" s="107"/>
    </row>
    <row r="27" spans="1:16" ht="26.25" thickBot="1" x14ac:dyDescent="0.25">
      <c r="A27" s="94"/>
      <c r="B27" s="106"/>
      <c r="C27" s="98"/>
      <c r="D27" s="100"/>
      <c r="E27" s="102"/>
      <c r="F27" s="113"/>
      <c r="G27" s="26"/>
      <c r="H27" s="26"/>
      <c r="I27" s="28"/>
      <c r="J27" s="35"/>
      <c r="K27" s="108"/>
    </row>
    <row r="28" spans="1:16" ht="25.5" x14ac:dyDescent="0.2">
      <c r="A28" s="93" t="s">
        <v>13</v>
      </c>
      <c r="B28" s="105">
        <v>3801</v>
      </c>
      <c r="C28" s="97" t="s">
        <v>23</v>
      </c>
      <c r="D28" s="99" t="s">
        <v>78</v>
      </c>
      <c r="E28" s="101" t="s">
        <v>79</v>
      </c>
      <c r="F28" s="112"/>
      <c r="G28" s="29"/>
      <c r="H28" s="29"/>
      <c r="I28" s="31"/>
      <c r="J28" s="34"/>
      <c r="K28" s="107"/>
    </row>
    <row r="29" spans="1:16" ht="26.25" thickBot="1" x14ac:dyDescent="0.25">
      <c r="A29" s="94"/>
      <c r="B29" s="106"/>
      <c r="C29" s="98"/>
      <c r="D29" s="100"/>
      <c r="E29" s="102"/>
      <c r="F29" s="113"/>
      <c r="G29" s="26"/>
      <c r="H29" s="26"/>
      <c r="I29" s="28"/>
      <c r="J29" s="33"/>
      <c r="K29" s="108"/>
    </row>
    <row r="30" spans="1:16" ht="26.25" customHeight="1" x14ac:dyDescent="0.2">
      <c r="A30" s="93" t="s">
        <v>15</v>
      </c>
      <c r="B30" s="105">
        <v>3802</v>
      </c>
      <c r="C30" s="97" t="s">
        <v>41</v>
      </c>
      <c r="D30" s="99" t="s">
        <v>78</v>
      </c>
      <c r="E30" s="101" t="s">
        <v>80</v>
      </c>
      <c r="F30" s="112"/>
      <c r="G30" s="29"/>
      <c r="H30" s="29"/>
      <c r="I30" s="31"/>
      <c r="J30" s="36"/>
      <c r="K30" s="107"/>
    </row>
    <row r="31" spans="1:16" ht="26.25" thickBot="1" x14ac:dyDescent="0.25">
      <c r="A31" s="94"/>
      <c r="B31" s="106"/>
      <c r="C31" s="98"/>
      <c r="D31" s="100"/>
      <c r="E31" s="102"/>
      <c r="F31" s="113"/>
      <c r="G31" s="26"/>
      <c r="H31" s="26"/>
      <c r="I31" s="28"/>
      <c r="J31" s="33"/>
      <c r="K31" s="108"/>
    </row>
    <row r="32" spans="1:16" ht="25.5" x14ac:dyDescent="0.2">
      <c r="A32" s="93" t="s">
        <v>16</v>
      </c>
      <c r="B32" s="105">
        <v>3805</v>
      </c>
      <c r="C32" s="97" t="s">
        <v>24</v>
      </c>
      <c r="D32" s="99" t="s">
        <v>78</v>
      </c>
      <c r="E32" s="101" t="s">
        <v>76</v>
      </c>
      <c r="F32" s="112"/>
      <c r="G32" s="29"/>
      <c r="H32" s="29"/>
      <c r="I32" s="31"/>
      <c r="J32" s="34"/>
      <c r="K32" s="107"/>
    </row>
    <row r="33" spans="1:11" ht="26.25" thickBot="1" x14ac:dyDescent="0.25">
      <c r="A33" s="94"/>
      <c r="B33" s="106"/>
      <c r="C33" s="98"/>
      <c r="D33" s="100"/>
      <c r="E33" s="102"/>
      <c r="F33" s="113"/>
      <c r="G33" s="26"/>
      <c r="H33" s="26"/>
      <c r="I33" s="28"/>
      <c r="J33" s="35"/>
      <c r="K33" s="108"/>
    </row>
    <row r="34" spans="1:11" ht="25.5" x14ac:dyDescent="0.2">
      <c r="A34" s="93" t="s">
        <v>92</v>
      </c>
      <c r="B34" s="105">
        <v>3808</v>
      </c>
      <c r="C34" s="97" t="s">
        <v>25</v>
      </c>
      <c r="D34" s="99" t="s">
        <v>75</v>
      </c>
      <c r="E34" s="101" t="s">
        <v>76</v>
      </c>
      <c r="F34" s="112"/>
      <c r="G34" s="29"/>
      <c r="H34" s="29"/>
      <c r="I34" s="31"/>
      <c r="J34" s="34"/>
      <c r="K34" s="107"/>
    </row>
    <row r="35" spans="1:11" ht="26.25" thickBot="1" x14ac:dyDescent="0.25">
      <c r="A35" s="94"/>
      <c r="B35" s="106"/>
      <c r="C35" s="98"/>
      <c r="D35" s="100"/>
      <c r="E35" s="102"/>
      <c r="F35" s="113"/>
      <c r="G35" s="26"/>
      <c r="H35" s="26"/>
      <c r="I35" s="28"/>
      <c r="J35" s="35"/>
      <c r="K35" s="108"/>
    </row>
    <row r="36" spans="1:11" ht="25.5" x14ac:dyDescent="0.2">
      <c r="A36" s="93" t="s">
        <v>19</v>
      </c>
      <c r="B36" s="105">
        <v>3810</v>
      </c>
      <c r="C36" s="97" t="s">
        <v>42</v>
      </c>
      <c r="D36" s="99" t="s">
        <v>78</v>
      </c>
      <c r="E36" s="101" t="s">
        <v>76</v>
      </c>
      <c r="F36" s="112"/>
      <c r="G36" s="29"/>
      <c r="H36" s="29"/>
      <c r="I36" s="31"/>
      <c r="J36" s="34"/>
      <c r="K36" s="88"/>
    </row>
    <row r="37" spans="1:11" ht="26.25" thickBot="1" x14ac:dyDescent="0.25">
      <c r="A37" s="94"/>
      <c r="B37" s="106"/>
      <c r="C37" s="98"/>
      <c r="D37" s="100"/>
      <c r="E37" s="102"/>
      <c r="F37" s="113"/>
      <c r="G37" s="26"/>
      <c r="H37" s="26"/>
      <c r="I37" s="28"/>
      <c r="J37" s="35"/>
      <c r="K37" s="89"/>
    </row>
    <row r="38" spans="1:11" ht="25.5" x14ac:dyDescent="0.2">
      <c r="A38" s="93" t="s">
        <v>50</v>
      </c>
      <c r="B38" s="105">
        <v>6056</v>
      </c>
      <c r="C38" s="97" t="s">
        <v>29</v>
      </c>
      <c r="D38" s="99" t="s">
        <v>75</v>
      </c>
      <c r="E38" s="101" t="s">
        <v>79</v>
      </c>
      <c r="F38" s="112"/>
      <c r="G38" s="37"/>
      <c r="H38" s="37"/>
      <c r="I38" s="31"/>
      <c r="J38" s="34"/>
      <c r="K38" s="88"/>
    </row>
    <row r="39" spans="1:11" ht="26.25" thickBot="1" x14ac:dyDescent="0.25">
      <c r="A39" s="94"/>
      <c r="B39" s="106"/>
      <c r="C39" s="98"/>
      <c r="D39" s="100"/>
      <c r="E39" s="102"/>
      <c r="F39" s="113"/>
      <c r="G39" s="38"/>
      <c r="H39" s="38"/>
      <c r="I39" s="28"/>
      <c r="J39" s="33"/>
      <c r="K39" s="89"/>
    </row>
    <row r="40" spans="1:11" ht="25.5" x14ac:dyDescent="0.2">
      <c r="A40" s="93" t="s">
        <v>17</v>
      </c>
      <c r="B40" s="105">
        <v>3820</v>
      </c>
      <c r="C40" s="97" t="s">
        <v>40</v>
      </c>
      <c r="D40" s="99" t="s">
        <v>75</v>
      </c>
      <c r="E40" s="101" t="s">
        <v>79</v>
      </c>
      <c r="F40" s="112"/>
      <c r="G40" s="29"/>
      <c r="H40" s="29"/>
      <c r="I40" s="31"/>
      <c r="J40" s="34"/>
      <c r="K40" s="88"/>
    </row>
    <row r="41" spans="1:11" ht="26.25" thickBot="1" x14ac:dyDescent="0.25">
      <c r="A41" s="109"/>
      <c r="B41" s="110"/>
      <c r="C41" s="111"/>
      <c r="D41" s="100"/>
      <c r="E41" s="102"/>
      <c r="F41" s="113"/>
      <c r="G41" s="26"/>
      <c r="H41" s="26"/>
      <c r="I41" s="28"/>
      <c r="J41" s="35"/>
      <c r="K41" s="89"/>
    </row>
    <row r="42" spans="1:11" ht="26.25" customHeight="1" x14ac:dyDescent="0.2">
      <c r="A42" s="93" t="s">
        <v>18</v>
      </c>
      <c r="B42" s="105">
        <v>3821</v>
      </c>
      <c r="C42" s="97" t="s">
        <v>26</v>
      </c>
      <c r="D42" s="99" t="s">
        <v>78</v>
      </c>
      <c r="E42" s="101" t="s">
        <v>79</v>
      </c>
      <c r="F42" s="103"/>
      <c r="G42" s="29"/>
      <c r="H42" s="30"/>
      <c r="I42" s="31"/>
      <c r="J42" s="34"/>
      <c r="K42" s="88"/>
    </row>
    <row r="43" spans="1:11" ht="26.25" thickBot="1" x14ac:dyDescent="0.25">
      <c r="A43" s="94"/>
      <c r="B43" s="106"/>
      <c r="C43" s="98"/>
      <c r="D43" s="100"/>
      <c r="E43" s="102"/>
      <c r="F43" s="104"/>
      <c r="G43" s="26"/>
      <c r="H43" s="27"/>
      <c r="I43" s="28"/>
      <c r="J43" s="33"/>
      <c r="K43" s="89"/>
    </row>
    <row r="44" spans="1:11" ht="25.5" x14ac:dyDescent="0.2">
      <c r="A44" s="93" t="s">
        <v>97</v>
      </c>
      <c r="B44" s="105">
        <v>6317</v>
      </c>
      <c r="C44" s="97" t="s">
        <v>35</v>
      </c>
      <c r="D44" s="99" t="s">
        <v>78</v>
      </c>
      <c r="E44" s="101" t="s">
        <v>76</v>
      </c>
      <c r="F44" s="103"/>
      <c r="G44" s="29"/>
      <c r="H44" s="30"/>
      <c r="I44" s="31"/>
      <c r="J44" s="34"/>
      <c r="K44" s="107"/>
    </row>
    <row r="45" spans="1:11" ht="26.25" thickBot="1" x14ac:dyDescent="0.25">
      <c r="A45" s="94"/>
      <c r="B45" s="106"/>
      <c r="C45" s="98"/>
      <c r="D45" s="100"/>
      <c r="E45" s="102"/>
      <c r="F45" s="104"/>
      <c r="G45" s="26"/>
      <c r="H45" s="27"/>
      <c r="I45" s="28"/>
      <c r="J45" s="33"/>
      <c r="K45" s="108"/>
    </row>
    <row r="46" spans="1:11" ht="26.25" customHeight="1" x14ac:dyDescent="0.2">
      <c r="A46" s="93" t="s">
        <v>30</v>
      </c>
      <c r="B46" s="105">
        <v>3832</v>
      </c>
      <c r="C46" s="97" t="s">
        <v>34</v>
      </c>
      <c r="D46" s="99" t="s">
        <v>75</v>
      </c>
      <c r="E46" s="101" t="s">
        <v>76</v>
      </c>
      <c r="F46" s="103"/>
      <c r="G46" s="30"/>
      <c r="H46" s="30"/>
      <c r="I46" s="31"/>
      <c r="J46" s="34"/>
      <c r="K46" s="88"/>
    </row>
    <row r="47" spans="1:11" ht="26.25" thickBot="1" x14ac:dyDescent="0.25">
      <c r="A47" s="94"/>
      <c r="B47" s="106"/>
      <c r="C47" s="98"/>
      <c r="D47" s="100"/>
      <c r="E47" s="102"/>
      <c r="F47" s="104"/>
      <c r="G47" s="27"/>
      <c r="H47" s="27"/>
      <c r="I47" s="28"/>
      <c r="J47" s="33"/>
      <c r="K47" s="89"/>
    </row>
    <row r="48" spans="1:11" ht="25.5" x14ac:dyDescent="0.2">
      <c r="A48" s="93" t="s">
        <v>48</v>
      </c>
      <c r="B48" s="105">
        <v>4173</v>
      </c>
      <c r="C48" s="97" t="s">
        <v>10</v>
      </c>
      <c r="D48" s="99" t="s">
        <v>75</v>
      </c>
      <c r="E48" s="101" t="s">
        <v>76</v>
      </c>
      <c r="F48" s="103"/>
      <c r="G48" s="30"/>
      <c r="H48" s="30"/>
      <c r="I48" s="31"/>
      <c r="J48" s="34"/>
      <c r="K48" s="107"/>
    </row>
    <row r="49" spans="1:13" ht="26.25" thickBot="1" x14ac:dyDescent="0.25">
      <c r="A49" s="94"/>
      <c r="B49" s="106"/>
      <c r="C49" s="98"/>
      <c r="D49" s="100"/>
      <c r="E49" s="102"/>
      <c r="F49" s="104"/>
      <c r="G49" s="27"/>
      <c r="H49" s="27"/>
      <c r="I49" s="28"/>
      <c r="J49" s="33"/>
      <c r="K49" s="108"/>
    </row>
    <row r="50" spans="1:13" ht="25.5" x14ac:dyDescent="0.2">
      <c r="A50" s="93" t="s">
        <v>20</v>
      </c>
      <c r="B50" s="95">
        <v>2</v>
      </c>
      <c r="C50" s="97" t="s">
        <v>28</v>
      </c>
      <c r="D50" s="99" t="s">
        <v>75</v>
      </c>
      <c r="E50" s="101" t="s">
        <v>81</v>
      </c>
      <c r="F50" s="103"/>
      <c r="G50" s="30"/>
      <c r="H50" s="30"/>
      <c r="I50" s="39"/>
      <c r="J50" s="34"/>
      <c r="K50" s="88"/>
    </row>
    <row r="51" spans="1:13" ht="26.25" thickBot="1" x14ac:dyDescent="0.25">
      <c r="A51" s="94"/>
      <c r="B51" s="96"/>
      <c r="C51" s="98"/>
      <c r="D51" s="100"/>
      <c r="E51" s="102"/>
      <c r="F51" s="104"/>
      <c r="G51" s="27"/>
      <c r="H51" s="27"/>
      <c r="I51" s="35"/>
      <c r="J51" s="33"/>
      <c r="K51" s="89"/>
    </row>
    <row r="52" spans="1:13" s="42" customFormat="1" ht="25.5" customHeight="1" x14ac:dyDescent="0.2">
      <c r="A52" s="40"/>
      <c r="B52" s="90" t="s">
        <v>95</v>
      </c>
      <c r="C52" s="90"/>
      <c r="D52" s="90"/>
      <c r="E52" s="90"/>
      <c r="F52" s="90"/>
      <c r="G52" s="90"/>
      <c r="H52" s="90"/>
      <c r="I52" s="90"/>
      <c r="J52" s="90"/>
      <c r="K52" s="41"/>
    </row>
    <row r="53" spans="1:13" s="11" customFormat="1" ht="25.5" customHeight="1" x14ac:dyDescent="0.2">
      <c r="A53" s="43"/>
      <c r="B53" s="44"/>
      <c r="C53" s="45"/>
      <c r="D53" s="46"/>
      <c r="E53" s="46"/>
      <c r="F53" s="46"/>
      <c r="G53" s="47"/>
      <c r="H53" s="47"/>
      <c r="I53" s="48"/>
      <c r="J53" s="49"/>
      <c r="K53" s="50"/>
    </row>
    <row r="54" spans="1:13" s="11" customFormat="1" ht="25.5" customHeight="1" thickBot="1" x14ac:dyDescent="0.25">
      <c r="A54" s="43"/>
      <c r="C54" s="51" t="s">
        <v>67</v>
      </c>
      <c r="D54" s="52"/>
      <c r="E54" s="48"/>
      <c r="F54" s="46"/>
      <c r="G54" s="91" t="s">
        <v>68</v>
      </c>
      <c r="H54" s="91"/>
      <c r="I54" s="53"/>
      <c r="J54" s="49"/>
      <c r="K54" s="50"/>
    </row>
    <row r="55" spans="1:13" s="11" customFormat="1" ht="25.5" customHeight="1" x14ac:dyDescent="0.2">
      <c r="A55" s="43"/>
      <c r="B55" s="44"/>
      <c r="C55" s="45"/>
      <c r="D55" s="46"/>
      <c r="E55" s="46"/>
      <c r="F55" s="46"/>
      <c r="G55" s="47"/>
      <c r="H55" s="47"/>
      <c r="I55" s="48"/>
      <c r="J55" s="49"/>
      <c r="K55" s="50"/>
    </row>
    <row r="56" spans="1:13" s="11" customFormat="1" ht="30" customHeight="1" x14ac:dyDescent="0.2">
      <c r="A56" s="92" t="s">
        <v>11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M56" s="11" t="s">
        <v>0</v>
      </c>
    </row>
    <row r="57" spans="1:13" s="11" customFormat="1" ht="30" customHeight="1" x14ac:dyDescent="0.2">
      <c r="A57" s="54"/>
      <c r="B57" s="84"/>
      <c r="C57" s="84"/>
      <c r="D57" s="84"/>
      <c r="E57" s="84"/>
      <c r="F57" s="84"/>
      <c r="G57" s="84"/>
      <c r="H57" s="84"/>
      <c r="I57" s="84"/>
      <c r="J57" s="84"/>
      <c r="K57" s="55"/>
    </row>
    <row r="58" spans="1:13" s="11" customFormat="1" ht="30" customHeight="1" x14ac:dyDescent="0.2">
      <c r="A58" s="54"/>
      <c r="B58" s="84"/>
      <c r="C58" s="84"/>
      <c r="D58" s="84"/>
      <c r="E58" s="84"/>
      <c r="F58" s="84"/>
      <c r="G58" s="84"/>
      <c r="H58" s="84"/>
      <c r="I58" s="84"/>
      <c r="J58" s="84"/>
      <c r="K58" s="54"/>
      <c r="L58" s="54"/>
    </row>
    <row r="59" spans="1:13" s="11" customFormat="1" ht="30" customHeight="1" x14ac:dyDescent="0.2">
      <c r="A59" s="54"/>
      <c r="B59" s="84"/>
      <c r="C59" s="84"/>
      <c r="D59" s="84"/>
      <c r="E59" s="84"/>
      <c r="F59" s="84"/>
      <c r="G59" s="84"/>
      <c r="H59" s="84"/>
      <c r="I59" s="84"/>
      <c r="J59" s="84"/>
      <c r="K59" s="54"/>
      <c r="L59" s="45"/>
    </row>
    <row r="60" spans="1:13" s="11" customFormat="1" ht="30" customHeight="1" x14ac:dyDescent="0.2">
      <c r="A60" s="56"/>
      <c r="B60" s="57"/>
      <c r="C60" s="58"/>
      <c r="D60" s="58"/>
      <c r="E60" s="58"/>
      <c r="F60" s="57"/>
      <c r="G60" s="57"/>
      <c r="H60" s="57"/>
      <c r="I60" s="58"/>
      <c r="J60" s="58"/>
      <c r="K60" s="58"/>
    </row>
    <row r="61" spans="1:13" s="11" customFormat="1" ht="30" customHeight="1" x14ac:dyDescent="0.2">
      <c r="A61" s="56"/>
      <c r="B61" s="57"/>
      <c r="C61" s="58"/>
      <c r="D61" s="58"/>
      <c r="E61" s="58"/>
      <c r="F61" s="57"/>
      <c r="H61" s="57"/>
      <c r="I61" s="57"/>
    </row>
    <row r="62" spans="1:13" s="11" customFormat="1" ht="30" customHeight="1" x14ac:dyDescent="0.2">
      <c r="A62" s="59"/>
      <c r="B62" s="60"/>
      <c r="C62" s="61"/>
      <c r="D62" s="61"/>
      <c r="E62" s="61"/>
      <c r="F62" s="60"/>
      <c r="G62" s="62"/>
      <c r="H62" s="60"/>
      <c r="I62" s="60"/>
      <c r="J62" s="62"/>
      <c r="K62" s="62"/>
    </row>
    <row r="63" spans="1:13" s="10" customFormat="1" ht="20.100000000000001" customHeight="1" x14ac:dyDescent="0.2">
      <c r="A63" s="85" t="s">
        <v>94</v>
      </c>
      <c r="B63" s="85"/>
      <c r="C63" s="85"/>
      <c r="D63" s="63"/>
      <c r="E63" s="63"/>
      <c r="F63" s="64"/>
      <c r="G63" s="65"/>
      <c r="H63" s="86" t="s">
        <v>57</v>
      </c>
      <c r="I63" s="86"/>
      <c r="J63" s="86"/>
      <c r="K63" s="86"/>
      <c r="L63" s="66"/>
    </row>
    <row r="64" spans="1:13" s="10" customFormat="1" ht="20.100000000000001" customHeight="1" x14ac:dyDescent="0.2">
      <c r="A64" s="80" t="s">
        <v>69</v>
      </c>
      <c r="B64" s="80"/>
      <c r="C64" s="80"/>
      <c r="D64" s="64"/>
      <c r="E64" s="64"/>
      <c r="F64" s="64"/>
      <c r="G64" s="65"/>
      <c r="H64" s="80" t="s">
        <v>38</v>
      </c>
      <c r="I64" s="80"/>
      <c r="J64" s="80"/>
      <c r="K64" s="80"/>
    </row>
    <row r="65" spans="1:12" s="10" customFormat="1" ht="30" customHeight="1" x14ac:dyDescent="0.2">
      <c r="A65" s="64"/>
      <c r="B65" s="64"/>
      <c r="C65" s="64"/>
      <c r="D65" s="64"/>
      <c r="E65" s="64"/>
      <c r="F65" s="64"/>
      <c r="G65" s="65"/>
      <c r="H65" s="64"/>
      <c r="I65" s="64"/>
      <c r="J65" s="64"/>
      <c r="K65" s="64"/>
    </row>
    <row r="66" spans="1:12" s="10" customFormat="1" ht="30" customHeight="1" x14ac:dyDescent="0.2">
      <c r="A66" s="64"/>
      <c r="B66" s="64"/>
      <c r="C66" s="64"/>
      <c r="D66" s="64"/>
      <c r="E66" s="64"/>
      <c r="F66" s="64"/>
      <c r="G66" s="65"/>
      <c r="H66" s="64"/>
      <c r="I66" s="64"/>
      <c r="J66" s="64"/>
      <c r="K66" s="64"/>
    </row>
    <row r="67" spans="1:12" s="10" customFormat="1" ht="30" customHeight="1" x14ac:dyDescent="0.2">
      <c r="A67" s="64"/>
      <c r="B67" s="64"/>
      <c r="C67" s="64"/>
      <c r="D67" s="64"/>
      <c r="E67" s="64"/>
      <c r="F67" s="64"/>
      <c r="G67" s="65"/>
      <c r="H67" s="64"/>
      <c r="I67" s="64"/>
      <c r="J67" s="64"/>
      <c r="K67" s="64"/>
    </row>
    <row r="68" spans="1:12" s="10" customFormat="1" ht="30" customHeight="1" x14ac:dyDescent="0.2">
      <c r="A68" s="64"/>
      <c r="B68" s="64"/>
      <c r="C68" s="65"/>
      <c r="D68" s="65"/>
      <c r="E68" s="65"/>
      <c r="F68" s="64"/>
      <c r="G68" s="65"/>
      <c r="H68" s="64"/>
      <c r="I68" s="64"/>
      <c r="J68" s="65"/>
      <c r="K68" s="65"/>
    </row>
    <row r="69" spans="1:12" s="11" customFormat="1" ht="30" customHeight="1" x14ac:dyDescent="0.2">
      <c r="A69" s="67"/>
      <c r="B69" s="67"/>
      <c r="C69" s="67"/>
      <c r="D69" s="68"/>
      <c r="E69" s="68"/>
      <c r="F69" s="69"/>
      <c r="G69" s="70"/>
      <c r="H69" s="87"/>
      <c r="I69" s="87"/>
      <c r="J69" s="87"/>
      <c r="K69" s="87"/>
      <c r="L69" s="71"/>
    </row>
    <row r="70" spans="1:12" s="11" customFormat="1" ht="18.75" customHeight="1" x14ac:dyDescent="0.2">
      <c r="A70" s="80" t="s">
        <v>93</v>
      </c>
      <c r="B70" s="80"/>
      <c r="C70" s="80"/>
      <c r="D70" s="68"/>
      <c r="E70" s="68"/>
      <c r="F70" s="69"/>
      <c r="G70" s="70"/>
      <c r="H70" s="81" t="s">
        <v>71</v>
      </c>
      <c r="I70" s="81"/>
      <c r="J70" s="81"/>
      <c r="K70" s="81"/>
      <c r="L70" s="71"/>
    </row>
    <row r="71" spans="1:12" s="11" customFormat="1" ht="30" customHeight="1" x14ac:dyDescent="0.2">
      <c r="A71" s="80" t="s">
        <v>70</v>
      </c>
      <c r="B71" s="80"/>
      <c r="C71" s="80"/>
      <c r="D71" s="64"/>
      <c r="E71" s="64"/>
      <c r="F71" s="63"/>
      <c r="G71" s="68"/>
      <c r="L71" s="71"/>
    </row>
    <row r="72" spans="1:12" s="3" customFormat="1" ht="30" customHeight="1" x14ac:dyDescent="0.2">
      <c r="A72" s="82"/>
      <c r="B72" s="82"/>
      <c r="C72" s="82"/>
      <c r="D72" s="60"/>
      <c r="E72" s="60"/>
      <c r="F72" s="72"/>
      <c r="G72" s="73"/>
      <c r="H72" s="73"/>
      <c r="I72" s="73"/>
      <c r="J72" s="73"/>
      <c r="K72" s="74"/>
      <c r="L72" s="75"/>
    </row>
    <row r="73" spans="1:12" s="3" customFormat="1" ht="30" customHeight="1" x14ac:dyDescent="0.2">
      <c r="B73" s="83"/>
      <c r="C73" s="83"/>
      <c r="D73" s="76"/>
      <c r="E73" s="76"/>
      <c r="G73" s="77"/>
      <c r="H73" s="77"/>
      <c r="I73" s="77"/>
      <c r="J73" s="77"/>
    </row>
    <row r="74" spans="1:12" s="3" customFormat="1" ht="30" customHeight="1" x14ac:dyDescent="0.2">
      <c r="G74" s="77"/>
      <c r="H74" s="77"/>
      <c r="I74" s="77"/>
      <c r="J74" s="77"/>
    </row>
    <row r="75" spans="1:12" s="3" customFormat="1" ht="30" customHeight="1" x14ac:dyDescent="0.2"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H85" s="78"/>
    </row>
  </sheetData>
  <mergeCells count="167"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A71:C71"/>
    <mergeCell ref="H70:K70"/>
    <mergeCell ref="A72:C72"/>
    <mergeCell ref="B73:C73"/>
    <mergeCell ref="B59:J59"/>
    <mergeCell ref="A63:C63"/>
    <mergeCell ref="H63:K63"/>
    <mergeCell ref="A64:C64"/>
    <mergeCell ref="H64:K64"/>
    <mergeCell ref="A70:C70"/>
    <mergeCell ref="H69:K69"/>
  </mergeCells>
  <printOptions horizontalCentered="1" verticalCentered="1"/>
  <pageMargins left="3.937007874015748E-2" right="3.937007874015748E-2" top="0.15748031496062992" bottom="0.15748031496062992" header="0.11811023622047245" footer="0.11811023622047245"/>
  <pageSetup scale="28" orientation="portrait" horizontalDpi="1200" verticalDpi="1200" r:id="rId1"/>
  <colBreaks count="1" manualBreakCount="1">
    <brk id="11" max="8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41DC-054B-4A1D-AB93-50ADF34A5EA0}">
  <dimension ref="A1:P85"/>
  <sheetViews>
    <sheetView view="pageBreakPreview" zoomScale="60" zoomScaleNormal="50" workbookViewId="0">
      <selection activeCell="F14" sqref="F14:J51"/>
    </sheetView>
  </sheetViews>
  <sheetFormatPr baseColWidth="10" defaultRowHeight="12.75" x14ac:dyDescent="0.2"/>
  <cols>
    <col min="1" max="1" width="43.7109375" style="14" customWidth="1"/>
    <col min="2" max="2" width="22.140625" style="14" customWidth="1"/>
    <col min="3" max="3" width="63" style="14" customWidth="1"/>
    <col min="4" max="4" width="34.85546875" style="14" customWidth="1"/>
    <col min="5" max="5" width="30.42578125" style="14" customWidth="1"/>
    <col min="6" max="6" width="24.5703125" style="14" customWidth="1"/>
    <col min="7" max="7" width="23.42578125" style="14" customWidth="1"/>
    <col min="8" max="8" width="23.140625" style="14" customWidth="1"/>
    <col min="9" max="9" width="33.42578125" style="14" customWidth="1"/>
    <col min="10" max="10" width="22.42578125" style="14" customWidth="1"/>
    <col min="11" max="11" width="40.28515625" style="14" customWidth="1"/>
    <col min="12" max="12" width="11.42578125" style="14"/>
    <col min="13" max="13" width="11.42578125" style="14" customWidth="1"/>
    <col min="14" max="14" width="22.140625" style="14" customWidth="1"/>
    <col min="15" max="15" width="11.42578125" style="14"/>
    <col min="16" max="16" width="28.28515625" style="14" customWidth="1"/>
    <col min="17" max="16384" width="11.42578125" style="14"/>
  </cols>
  <sheetData>
    <row r="1" spans="1:16" s="3" customFormat="1" ht="30" x14ac:dyDescent="0.2">
      <c r="A1" s="131" t="s">
        <v>43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2"/>
    </row>
    <row r="2" spans="1:16" s="3" customFormat="1" ht="30" x14ac:dyDescent="0.2">
      <c r="A2" s="131" t="s">
        <v>44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4"/>
    </row>
    <row r="3" spans="1:16" s="3" customFormat="1" ht="30" customHeight="1" x14ac:dyDescent="0.2">
      <c r="A3" s="131" t="s">
        <v>59</v>
      </c>
      <c r="B3" s="131"/>
      <c r="C3" s="131"/>
      <c r="D3" s="131"/>
      <c r="E3" s="131"/>
      <c r="F3" s="131"/>
      <c r="G3" s="131"/>
      <c r="H3" s="131"/>
      <c r="I3" s="131"/>
      <c r="J3" s="131"/>
      <c r="K3" s="131"/>
      <c r="L3" s="4"/>
    </row>
    <row r="4" spans="1:16" s="3" customFormat="1" ht="30" customHeight="1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4"/>
    </row>
    <row r="5" spans="1:16" s="3" customFormat="1" ht="30" customHeight="1" x14ac:dyDescent="0.2">
      <c r="A5" s="131" t="s">
        <v>60</v>
      </c>
      <c r="B5" s="131"/>
      <c r="C5" s="131"/>
      <c r="D5" s="131"/>
      <c r="E5" s="131"/>
      <c r="F5" s="131"/>
      <c r="G5" s="131"/>
      <c r="H5" s="131"/>
      <c r="I5" s="131"/>
      <c r="J5" s="131"/>
      <c r="K5" s="131"/>
    </row>
    <row r="6" spans="1:16" s="3" customFormat="1" ht="30" customHeight="1" x14ac:dyDescent="0.2">
      <c r="A6" s="1"/>
      <c r="B6" s="1"/>
      <c r="C6" s="1"/>
      <c r="D6" s="1"/>
      <c r="E6" s="6"/>
      <c r="F6" s="1"/>
      <c r="G6" s="1"/>
      <c r="H6" s="1"/>
      <c r="I6" s="1"/>
      <c r="J6" s="1"/>
      <c r="K6" s="6"/>
    </row>
    <row r="7" spans="1:16" s="11" customFormat="1" ht="39.950000000000003" customHeight="1" x14ac:dyDescent="0.35">
      <c r="A7" s="7" t="s">
        <v>61</v>
      </c>
      <c r="B7" s="132" t="s">
        <v>82</v>
      </c>
      <c r="C7" s="132"/>
      <c r="D7" s="132"/>
      <c r="E7" s="8"/>
      <c r="F7" s="9"/>
      <c r="G7" s="7" t="s">
        <v>1</v>
      </c>
      <c r="H7" s="132" t="s">
        <v>62</v>
      </c>
      <c r="I7" s="132"/>
      <c r="J7" s="132"/>
      <c r="K7" s="10"/>
    </row>
    <row r="8" spans="1:16" s="11" customFormat="1" ht="39.950000000000003" customHeight="1" x14ac:dyDescent="0.35">
      <c r="A8" s="7" t="s">
        <v>63</v>
      </c>
      <c r="B8" s="144" t="s">
        <v>64</v>
      </c>
      <c r="C8" s="144"/>
      <c r="D8" s="144"/>
      <c r="E8" s="12"/>
      <c r="F8" s="9"/>
      <c r="G8" s="7" t="s">
        <v>65</v>
      </c>
      <c r="H8" s="145"/>
      <c r="I8" s="145"/>
      <c r="J8" s="145"/>
      <c r="K8" s="10"/>
    </row>
    <row r="9" spans="1:16" s="11" customFormat="1" ht="39.950000000000003" customHeight="1" x14ac:dyDescent="0.35">
      <c r="A9" s="7" t="s">
        <v>66</v>
      </c>
      <c r="B9" s="132" t="s">
        <v>85</v>
      </c>
      <c r="C9" s="132"/>
      <c r="D9" s="132"/>
      <c r="E9" s="8"/>
      <c r="F9" s="9"/>
      <c r="G9" s="7" t="s">
        <v>36</v>
      </c>
      <c r="H9" s="146"/>
      <c r="I9" s="146"/>
      <c r="J9" s="146"/>
      <c r="K9" s="10"/>
    </row>
    <row r="10" spans="1:16" s="11" customFormat="1" ht="39.75" customHeight="1" x14ac:dyDescent="0.35">
      <c r="A10" s="7" t="s">
        <v>63</v>
      </c>
      <c r="B10" s="147" t="s">
        <v>87</v>
      </c>
      <c r="C10" s="147"/>
      <c r="D10" s="147"/>
      <c r="E10" s="12"/>
      <c r="F10" s="9"/>
      <c r="G10" s="7" t="s">
        <v>33</v>
      </c>
      <c r="H10" s="132"/>
      <c r="I10" s="132"/>
      <c r="J10" s="132"/>
      <c r="K10" s="10"/>
    </row>
    <row r="11" spans="1:16" ht="39.75" customHeight="1" thickBo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</row>
    <row r="12" spans="1:16" s="16" customFormat="1" ht="20.25" x14ac:dyDescent="0.3">
      <c r="A12" s="133" t="s">
        <v>2</v>
      </c>
      <c r="B12" s="135" t="s">
        <v>37</v>
      </c>
      <c r="C12" s="135" t="s">
        <v>3</v>
      </c>
      <c r="D12" s="137" t="s">
        <v>72</v>
      </c>
      <c r="E12" s="15" t="s">
        <v>73</v>
      </c>
      <c r="F12" s="139" t="s">
        <v>4</v>
      </c>
      <c r="G12" s="140"/>
      <c r="H12" s="140"/>
      <c r="I12" s="140"/>
      <c r="J12" s="141"/>
      <c r="K12" s="142" t="s">
        <v>32</v>
      </c>
    </row>
    <row r="13" spans="1:16" s="16" customFormat="1" ht="21" thickBot="1" x14ac:dyDescent="0.35">
      <c r="A13" s="134"/>
      <c r="B13" s="136"/>
      <c r="C13" s="136"/>
      <c r="D13" s="138"/>
      <c r="E13" s="18" t="s">
        <v>74</v>
      </c>
      <c r="F13" s="17" t="s">
        <v>5</v>
      </c>
      <c r="G13" s="17" t="s">
        <v>6</v>
      </c>
      <c r="H13" s="17" t="s">
        <v>7</v>
      </c>
      <c r="I13" s="19" t="s">
        <v>8</v>
      </c>
      <c r="J13" s="19" t="s">
        <v>31</v>
      </c>
      <c r="K13" s="143"/>
    </row>
    <row r="14" spans="1:16" ht="26.25" customHeight="1" x14ac:dyDescent="0.2">
      <c r="A14" s="127" t="s">
        <v>91</v>
      </c>
      <c r="B14" s="128">
        <v>146</v>
      </c>
      <c r="C14" s="129" t="s">
        <v>27</v>
      </c>
      <c r="D14" s="99" t="s">
        <v>75</v>
      </c>
      <c r="E14" s="101" t="s">
        <v>76</v>
      </c>
      <c r="F14" s="112"/>
      <c r="G14" s="20"/>
      <c r="H14" s="21"/>
      <c r="I14" s="22"/>
      <c r="J14" s="23"/>
      <c r="K14" s="118"/>
      <c r="M14" s="24">
        <f>SUM(F14+(F44*10)+(F32*10)+F22+F34+(F36*10)+F48)</f>
        <v>0</v>
      </c>
      <c r="N14" s="25" t="s">
        <v>51</v>
      </c>
      <c r="O14" s="25">
        <v>2715</v>
      </c>
      <c r="P14" s="25" t="s">
        <v>52</v>
      </c>
    </row>
    <row r="15" spans="1:16" ht="26.25" thickBot="1" x14ac:dyDescent="0.25">
      <c r="A15" s="121"/>
      <c r="B15" s="123"/>
      <c r="C15" s="130"/>
      <c r="D15" s="100"/>
      <c r="E15" s="102"/>
      <c r="F15" s="113"/>
      <c r="G15" s="26"/>
      <c r="H15" s="27"/>
      <c r="I15" s="28"/>
      <c r="J15" s="28"/>
      <c r="K15" s="119"/>
      <c r="M15" s="24">
        <f>SUM((F44/3)*20+F20)</f>
        <v>0</v>
      </c>
      <c r="N15" s="25" t="s">
        <v>51</v>
      </c>
      <c r="O15" s="25">
        <v>2707</v>
      </c>
      <c r="P15" s="25" t="s">
        <v>53</v>
      </c>
    </row>
    <row r="16" spans="1:16" ht="25.5" x14ac:dyDescent="0.2">
      <c r="A16" s="120" t="s">
        <v>46</v>
      </c>
      <c r="B16" s="122">
        <v>148</v>
      </c>
      <c r="C16" s="124" t="s">
        <v>9</v>
      </c>
      <c r="D16" s="99" t="s">
        <v>75</v>
      </c>
      <c r="E16" s="101" t="s">
        <v>77</v>
      </c>
      <c r="F16" s="112"/>
      <c r="G16" s="29"/>
      <c r="H16" s="30"/>
      <c r="I16" s="31"/>
      <c r="J16" s="32"/>
      <c r="K16" s="126"/>
      <c r="M16" s="24">
        <f>SUM(F24)</f>
        <v>0</v>
      </c>
      <c r="N16" s="25" t="s">
        <v>51</v>
      </c>
      <c r="O16" s="25">
        <v>2699</v>
      </c>
      <c r="P16" s="25" t="s">
        <v>54</v>
      </c>
    </row>
    <row r="17" spans="1:16" ht="26.25" thickBot="1" x14ac:dyDescent="0.25">
      <c r="A17" s="121"/>
      <c r="B17" s="123"/>
      <c r="C17" s="125"/>
      <c r="D17" s="100"/>
      <c r="E17" s="102"/>
      <c r="F17" s="113"/>
      <c r="G17" s="26"/>
      <c r="H17" s="27"/>
      <c r="I17" s="28"/>
      <c r="J17" s="28"/>
      <c r="K17" s="119"/>
      <c r="M17" s="24">
        <f>SUM(F26+F40)</f>
        <v>0</v>
      </c>
      <c r="N17" s="25" t="s">
        <v>51</v>
      </c>
      <c r="O17" s="25">
        <v>2657</v>
      </c>
      <c r="P17" s="25" t="s">
        <v>55</v>
      </c>
    </row>
    <row r="18" spans="1:16" ht="26.25" customHeight="1" x14ac:dyDescent="0.2">
      <c r="A18" s="93" t="s">
        <v>90</v>
      </c>
      <c r="B18" s="105">
        <v>150</v>
      </c>
      <c r="C18" s="97" t="s">
        <v>58</v>
      </c>
      <c r="D18" s="99" t="s">
        <v>75</v>
      </c>
      <c r="E18" s="101" t="s">
        <v>77</v>
      </c>
      <c r="F18" s="112"/>
      <c r="G18" s="29"/>
      <c r="H18" s="30"/>
      <c r="I18" s="31"/>
      <c r="J18" s="32"/>
      <c r="K18" s="116"/>
      <c r="M18" s="24">
        <f>SUM(F28*10)</f>
        <v>0</v>
      </c>
      <c r="N18" s="25" t="s">
        <v>51</v>
      </c>
      <c r="O18" s="25">
        <v>59</v>
      </c>
      <c r="P18" s="25" t="s">
        <v>56</v>
      </c>
    </row>
    <row r="19" spans="1:16" ht="26.25" thickBot="1" x14ac:dyDescent="0.25">
      <c r="A19" s="94"/>
      <c r="B19" s="106"/>
      <c r="C19" s="98"/>
      <c r="D19" s="100"/>
      <c r="E19" s="102"/>
      <c r="F19" s="113"/>
      <c r="G19" s="26"/>
      <c r="H19" s="27"/>
      <c r="I19" s="28"/>
      <c r="J19" s="28"/>
      <c r="K19" s="117"/>
    </row>
    <row r="20" spans="1:16" ht="25.5" x14ac:dyDescent="0.2">
      <c r="A20" s="93" t="s">
        <v>45</v>
      </c>
      <c r="B20" s="105">
        <v>6135</v>
      </c>
      <c r="C20" s="97" t="s">
        <v>47</v>
      </c>
      <c r="D20" s="99" t="s">
        <v>75</v>
      </c>
      <c r="E20" s="101" t="s">
        <v>76</v>
      </c>
      <c r="F20" s="112"/>
      <c r="G20" s="29"/>
      <c r="H20" s="30"/>
      <c r="I20" s="31"/>
      <c r="J20" s="32"/>
      <c r="K20" s="116"/>
    </row>
    <row r="21" spans="1:16" ht="26.25" thickBot="1" x14ac:dyDescent="0.25">
      <c r="A21" s="94"/>
      <c r="B21" s="106"/>
      <c r="C21" s="98"/>
      <c r="D21" s="100"/>
      <c r="E21" s="102"/>
      <c r="F21" s="113"/>
      <c r="G21" s="26"/>
      <c r="H21" s="27"/>
      <c r="I21" s="28"/>
      <c r="J21" s="79"/>
      <c r="K21" s="117"/>
    </row>
    <row r="22" spans="1:16" ht="25.5" x14ac:dyDescent="0.2">
      <c r="A22" s="93" t="s">
        <v>14</v>
      </c>
      <c r="B22" s="105">
        <v>2526</v>
      </c>
      <c r="C22" s="97" t="s">
        <v>21</v>
      </c>
      <c r="D22" s="99" t="s">
        <v>78</v>
      </c>
      <c r="E22" s="101" t="s">
        <v>76</v>
      </c>
      <c r="F22" s="112"/>
      <c r="G22" s="29"/>
      <c r="H22" s="30"/>
      <c r="I22" s="31"/>
      <c r="J22" s="34"/>
      <c r="K22" s="107"/>
    </row>
    <row r="23" spans="1:16" ht="26.25" thickBot="1" x14ac:dyDescent="0.25">
      <c r="A23" s="94"/>
      <c r="B23" s="106"/>
      <c r="C23" s="98"/>
      <c r="D23" s="100"/>
      <c r="E23" s="102"/>
      <c r="F23" s="113"/>
      <c r="G23" s="26"/>
      <c r="H23" s="27"/>
      <c r="I23" s="28"/>
      <c r="J23" s="33"/>
      <c r="K23" s="108"/>
    </row>
    <row r="24" spans="1:16" ht="25.5" x14ac:dyDescent="0.2">
      <c r="A24" s="93" t="s">
        <v>49</v>
      </c>
      <c r="B24" s="105">
        <v>2527</v>
      </c>
      <c r="C24" s="97" t="s">
        <v>22</v>
      </c>
      <c r="D24" s="99" t="s">
        <v>75</v>
      </c>
      <c r="E24" s="101" t="s">
        <v>76</v>
      </c>
      <c r="F24" s="112"/>
      <c r="G24" s="29"/>
      <c r="H24" s="30"/>
      <c r="I24" s="31"/>
      <c r="J24" s="34"/>
      <c r="K24" s="114"/>
    </row>
    <row r="25" spans="1:16" ht="26.25" thickBot="1" x14ac:dyDescent="0.25">
      <c r="A25" s="94"/>
      <c r="B25" s="106"/>
      <c r="C25" s="98"/>
      <c r="D25" s="100"/>
      <c r="E25" s="102"/>
      <c r="F25" s="113"/>
      <c r="G25" s="26"/>
      <c r="H25" s="27"/>
      <c r="I25" s="28"/>
      <c r="J25" s="33"/>
      <c r="K25" s="115"/>
    </row>
    <row r="26" spans="1:16" ht="25.5" x14ac:dyDescent="0.2">
      <c r="A26" s="93" t="s">
        <v>12</v>
      </c>
      <c r="B26" s="105">
        <v>3800</v>
      </c>
      <c r="C26" s="97" t="s">
        <v>39</v>
      </c>
      <c r="D26" s="99" t="s">
        <v>78</v>
      </c>
      <c r="E26" s="101" t="s">
        <v>79</v>
      </c>
      <c r="F26" s="112"/>
      <c r="G26" s="29"/>
      <c r="H26" s="30"/>
      <c r="I26" s="29"/>
      <c r="J26" s="34"/>
      <c r="K26" s="107"/>
    </row>
    <row r="27" spans="1:16" ht="26.25" thickBot="1" x14ac:dyDescent="0.25">
      <c r="A27" s="94"/>
      <c r="B27" s="106"/>
      <c r="C27" s="98"/>
      <c r="D27" s="100"/>
      <c r="E27" s="102"/>
      <c r="F27" s="113"/>
      <c r="G27" s="26"/>
      <c r="H27" s="27"/>
      <c r="I27" s="28"/>
      <c r="J27" s="35"/>
      <c r="K27" s="108"/>
    </row>
    <row r="28" spans="1:16" ht="25.5" x14ac:dyDescent="0.2">
      <c r="A28" s="93" t="s">
        <v>13</v>
      </c>
      <c r="B28" s="105">
        <v>3801</v>
      </c>
      <c r="C28" s="97" t="s">
        <v>23</v>
      </c>
      <c r="D28" s="99" t="s">
        <v>78</v>
      </c>
      <c r="E28" s="101" t="s">
        <v>79</v>
      </c>
      <c r="F28" s="112"/>
      <c r="G28" s="29"/>
      <c r="H28" s="30"/>
      <c r="I28" s="31"/>
      <c r="J28" s="34"/>
      <c r="K28" s="107"/>
    </row>
    <row r="29" spans="1:16" ht="26.25" thickBot="1" x14ac:dyDescent="0.25">
      <c r="A29" s="94"/>
      <c r="B29" s="106"/>
      <c r="C29" s="98"/>
      <c r="D29" s="100"/>
      <c r="E29" s="102"/>
      <c r="F29" s="113"/>
      <c r="G29" s="26"/>
      <c r="H29" s="27"/>
      <c r="I29" s="28"/>
      <c r="J29" s="33"/>
      <c r="K29" s="108"/>
    </row>
    <row r="30" spans="1:16" ht="26.25" customHeight="1" x14ac:dyDescent="0.2">
      <c r="A30" s="93" t="s">
        <v>15</v>
      </c>
      <c r="B30" s="105">
        <v>3802</v>
      </c>
      <c r="C30" s="97" t="s">
        <v>41</v>
      </c>
      <c r="D30" s="99" t="s">
        <v>78</v>
      </c>
      <c r="E30" s="101" t="s">
        <v>80</v>
      </c>
      <c r="F30" s="112"/>
      <c r="G30" s="29"/>
      <c r="H30" s="30"/>
      <c r="I30" s="31"/>
      <c r="J30" s="36"/>
      <c r="K30" s="107"/>
    </row>
    <row r="31" spans="1:16" ht="26.25" thickBot="1" x14ac:dyDescent="0.25">
      <c r="A31" s="94"/>
      <c r="B31" s="106"/>
      <c r="C31" s="98"/>
      <c r="D31" s="100"/>
      <c r="E31" s="102"/>
      <c r="F31" s="113"/>
      <c r="G31" s="26"/>
      <c r="H31" s="27"/>
      <c r="I31" s="28"/>
      <c r="J31" s="33"/>
      <c r="K31" s="108"/>
    </row>
    <row r="32" spans="1:16" ht="25.5" x14ac:dyDescent="0.2">
      <c r="A32" s="93" t="s">
        <v>16</v>
      </c>
      <c r="B32" s="105">
        <v>3805</v>
      </c>
      <c r="C32" s="97" t="s">
        <v>24</v>
      </c>
      <c r="D32" s="99" t="s">
        <v>78</v>
      </c>
      <c r="E32" s="101" t="s">
        <v>76</v>
      </c>
      <c r="F32" s="112"/>
      <c r="G32" s="29"/>
      <c r="H32" s="30"/>
      <c r="I32" s="31"/>
      <c r="J32" s="34"/>
      <c r="K32" s="107"/>
    </row>
    <row r="33" spans="1:11" ht="26.25" thickBot="1" x14ac:dyDescent="0.25">
      <c r="A33" s="94"/>
      <c r="B33" s="106"/>
      <c r="C33" s="98"/>
      <c r="D33" s="100"/>
      <c r="E33" s="102"/>
      <c r="F33" s="113"/>
      <c r="G33" s="26"/>
      <c r="H33" s="27"/>
      <c r="I33" s="28"/>
      <c r="J33" s="35"/>
      <c r="K33" s="108"/>
    </row>
    <row r="34" spans="1:11" ht="25.5" x14ac:dyDescent="0.2">
      <c r="A34" s="93" t="s">
        <v>92</v>
      </c>
      <c r="B34" s="105">
        <v>3808</v>
      </c>
      <c r="C34" s="97" t="s">
        <v>25</v>
      </c>
      <c r="D34" s="99" t="s">
        <v>75</v>
      </c>
      <c r="E34" s="101" t="s">
        <v>76</v>
      </c>
      <c r="F34" s="112"/>
      <c r="G34" s="29"/>
      <c r="H34" s="30"/>
      <c r="I34" s="31"/>
      <c r="J34" s="34"/>
      <c r="K34" s="107"/>
    </row>
    <row r="35" spans="1:11" ht="26.25" thickBot="1" x14ac:dyDescent="0.25">
      <c r="A35" s="94"/>
      <c r="B35" s="106"/>
      <c r="C35" s="98"/>
      <c r="D35" s="100"/>
      <c r="E35" s="102"/>
      <c r="F35" s="113"/>
      <c r="G35" s="26"/>
      <c r="H35" s="27"/>
      <c r="I35" s="28"/>
      <c r="J35" s="35"/>
      <c r="K35" s="108"/>
    </row>
    <row r="36" spans="1:11" ht="25.5" x14ac:dyDescent="0.2">
      <c r="A36" s="93" t="s">
        <v>19</v>
      </c>
      <c r="B36" s="105">
        <v>3810</v>
      </c>
      <c r="C36" s="97" t="s">
        <v>42</v>
      </c>
      <c r="D36" s="99" t="s">
        <v>78</v>
      </c>
      <c r="E36" s="101" t="s">
        <v>76</v>
      </c>
      <c r="F36" s="112"/>
      <c r="G36" s="29"/>
      <c r="H36" s="30"/>
      <c r="I36" s="31"/>
      <c r="J36" s="34"/>
      <c r="K36" s="88"/>
    </row>
    <row r="37" spans="1:11" ht="26.25" thickBot="1" x14ac:dyDescent="0.25">
      <c r="A37" s="94"/>
      <c r="B37" s="106"/>
      <c r="C37" s="98"/>
      <c r="D37" s="100"/>
      <c r="E37" s="102"/>
      <c r="F37" s="113"/>
      <c r="G37" s="26"/>
      <c r="H37" s="27"/>
      <c r="I37" s="28"/>
      <c r="J37" s="35"/>
      <c r="K37" s="89"/>
    </row>
    <row r="38" spans="1:11" ht="25.5" x14ac:dyDescent="0.2">
      <c r="A38" s="93" t="s">
        <v>50</v>
      </c>
      <c r="B38" s="105">
        <v>6056</v>
      </c>
      <c r="C38" s="97" t="s">
        <v>29</v>
      </c>
      <c r="D38" s="99" t="s">
        <v>75</v>
      </c>
      <c r="E38" s="101" t="s">
        <v>79</v>
      </c>
      <c r="F38" s="112"/>
      <c r="G38" s="37"/>
      <c r="H38" s="30"/>
      <c r="I38" s="31"/>
      <c r="J38" s="34"/>
      <c r="K38" s="88"/>
    </row>
    <row r="39" spans="1:11" ht="26.25" thickBot="1" x14ac:dyDescent="0.25">
      <c r="A39" s="94"/>
      <c r="B39" s="106"/>
      <c r="C39" s="98"/>
      <c r="D39" s="100"/>
      <c r="E39" s="102"/>
      <c r="F39" s="113"/>
      <c r="G39" s="38"/>
      <c r="H39" s="27"/>
      <c r="I39" s="28"/>
      <c r="J39" s="33"/>
      <c r="K39" s="89"/>
    </row>
    <row r="40" spans="1:11" ht="25.5" x14ac:dyDescent="0.2">
      <c r="A40" s="93" t="s">
        <v>17</v>
      </c>
      <c r="B40" s="105">
        <v>3820</v>
      </c>
      <c r="C40" s="97" t="s">
        <v>40</v>
      </c>
      <c r="D40" s="99" t="s">
        <v>75</v>
      </c>
      <c r="E40" s="101" t="s">
        <v>79</v>
      </c>
      <c r="F40" s="112"/>
      <c r="G40" s="29"/>
      <c r="H40" s="30"/>
      <c r="I40" s="31"/>
      <c r="J40" s="34"/>
      <c r="K40" s="88"/>
    </row>
    <row r="41" spans="1:11" ht="26.25" thickBot="1" x14ac:dyDescent="0.25">
      <c r="A41" s="109"/>
      <c r="B41" s="110"/>
      <c r="C41" s="111"/>
      <c r="D41" s="100"/>
      <c r="E41" s="102"/>
      <c r="F41" s="113"/>
      <c r="G41" s="26"/>
      <c r="H41" s="27"/>
      <c r="I41" s="28"/>
      <c r="J41" s="35"/>
      <c r="K41" s="89"/>
    </row>
    <row r="42" spans="1:11" ht="26.25" customHeight="1" x14ac:dyDescent="0.2">
      <c r="A42" s="93" t="s">
        <v>18</v>
      </c>
      <c r="B42" s="105">
        <v>3821</v>
      </c>
      <c r="C42" s="97" t="s">
        <v>26</v>
      </c>
      <c r="D42" s="99" t="s">
        <v>78</v>
      </c>
      <c r="E42" s="101" t="s">
        <v>79</v>
      </c>
      <c r="F42" s="103"/>
      <c r="G42" s="29"/>
      <c r="H42" s="30"/>
      <c r="I42" s="31"/>
      <c r="J42" s="34"/>
      <c r="K42" s="88"/>
    </row>
    <row r="43" spans="1:11" ht="26.25" thickBot="1" x14ac:dyDescent="0.25">
      <c r="A43" s="94"/>
      <c r="B43" s="106"/>
      <c r="C43" s="98"/>
      <c r="D43" s="100"/>
      <c r="E43" s="102"/>
      <c r="F43" s="104"/>
      <c r="G43" s="26"/>
      <c r="H43" s="27"/>
      <c r="I43" s="28"/>
      <c r="J43" s="33"/>
      <c r="K43" s="89"/>
    </row>
    <row r="44" spans="1:11" ht="25.5" x14ac:dyDescent="0.2">
      <c r="A44" s="93" t="s">
        <v>97</v>
      </c>
      <c r="B44" s="105">
        <v>6317</v>
      </c>
      <c r="C44" s="97" t="s">
        <v>35</v>
      </c>
      <c r="D44" s="99" t="s">
        <v>78</v>
      </c>
      <c r="E44" s="101" t="s">
        <v>76</v>
      </c>
      <c r="F44" s="103"/>
      <c r="G44" s="29"/>
      <c r="H44" s="30"/>
      <c r="I44" s="31"/>
      <c r="J44" s="34"/>
      <c r="K44" s="107"/>
    </row>
    <row r="45" spans="1:11" ht="26.25" thickBot="1" x14ac:dyDescent="0.25">
      <c r="A45" s="94"/>
      <c r="B45" s="106"/>
      <c r="C45" s="98"/>
      <c r="D45" s="100"/>
      <c r="E45" s="102"/>
      <c r="F45" s="104"/>
      <c r="G45" s="26"/>
      <c r="H45" s="27"/>
      <c r="I45" s="28"/>
      <c r="J45" s="33"/>
      <c r="K45" s="108"/>
    </row>
    <row r="46" spans="1:11" ht="26.25" customHeight="1" x14ac:dyDescent="0.2">
      <c r="A46" s="93" t="s">
        <v>30</v>
      </c>
      <c r="B46" s="105">
        <v>3832</v>
      </c>
      <c r="C46" s="97" t="s">
        <v>34</v>
      </c>
      <c r="D46" s="99" t="s">
        <v>75</v>
      </c>
      <c r="E46" s="101" t="s">
        <v>76</v>
      </c>
      <c r="F46" s="103"/>
      <c r="G46" s="30"/>
      <c r="H46" s="30"/>
      <c r="I46" s="31"/>
      <c r="J46" s="34"/>
      <c r="K46" s="88"/>
    </row>
    <row r="47" spans="1:11" ht="26.25" thickBot="1" x14ac:dyDescent="0.25">
      <c r="A47" s="94"/>
      <c r="B47" s="106"/>
      <c r="C47" s="98"/>
      <c r="D47" s="100"/>
      <c r="E47" s="102"/>
      <c r="F47" s="104"/>
      <c r="G47" s="27"/>
      <c r="H47" s="27"/>
      <c r="I47" s="28"/>
      <c r="J47" s="33"/>
      <c r="K47" s="89"/>
    </row>
    <row r="48" spans="1:11" ht="25.5" x14ac:dyDescent="0.2">
      <c r="A48" s="93" t="s">
        <v>48</v>
      </c>
      <c r="B48" s="105">
        <v>4173</v>
      </c>
      <c r="C48" s="97" t="s">
        <v>10</v>
      </c>
      <c r="D48" s="99" t="s">
        <v>75</v>
      </c>
      <c r="E48" s="101" t="s">
        <v>76</v>
      </c>
      <c r="F48" s="103"/>
      <c r="G48" s="30"/>
      <c r="H48" s="30"/>
      <c r="I48" s="31"/>
      <c r="J48" s="34"/>
      <c r="K48" s="107"/>
    </row>
    <row r="49" spans="1:13" ht="26.25" thickBot="1" x14ac:dyDescent="0.25">
      <c r="A49" s="94"/>
      <c r="B49" s="106"/>
      <c r="C49" s="98"/>
      <c r="D49" s="100"/>
      <c r="E49" s="102"/>
      <c r="F49" s="104"/>
      <c r="G49" s="27"/>
      <c r="H49" s="27"/>
      <c r="I49" s="28"/>
      <c r="J49" s="33"/>
      <c r="K49" s="108"/>
    </row>
    <row r="50" spans="1:13" ht="25.5" x14ac:dyDescent="0.2">
      <c r="A50" s="93" t="s">
        <v>20</v>
      </c>
      <c r="B50" s="95">
        <v>2</v>
      </c>
      <c r="C50" s="97" t="s">
        <v>28</v>
      </c>
      <c r="D50" s="99" t="s">
        <v>75</v>
      </c>
      <c r="E50" s="101" t="s">
        <v>81</v>
      </c>
      <c r="F50" s="103"/>
      <c r="G50" s="30"/>
      <c r="H50" s="30"/>
      <c r="I50" s="39"/>
      <c r="J50" s="34"/>
      <c r="K50" s="88"/>
    </row>
    <row r="51" spans="1:13" ht="26.25" thickBot="1" x14ac:dyDescent="0.25">
      <c r="A51" s="94"/>
      <c r="B51" s="96"/>
      <c r="C51" s="98"/>
      <c r="D51" s="100"/>
      <c r="E51" s="102"/>
      <c r="F51" s="104"/>
      <c r="G51" s="27"/>
      <c r="H51" s="27"/>
      <c r="I51" s="35"/>
      <c r="J51" s="33"/>
      <c r="K51" s="89"/>
    </row>
    <row r="52" spans="1:13" s="42" customFormat="1" ht="25.5" customHeight="1" x14ac:dyDescent="0.2">
      <c r="A52" s="40"/>
      <c r="B52" s="90" t="s">
        <v>95</v>
      </c>
      <c r="C52" s="90"/>
      <c r="D52" s="90"/>
      <c r="E52" s="90"/>
      <c r="F52" s="90"/>
      <c r="G52" s="90"/>
      <c r="H52" s="90"/>
      <c r="I52" s="90"/>
      <c r="J52" s="90"/>
      <c r="K52" s="41"/>
    </row>
    <row r="53" spans="1:13" s="11" customFormat="1" ht="25.5" customHeight="1" x14ac:dyDescent="0.2">
      <c r="A53" s="43"/>
      <c r="B53" s="44"/>
      <c r="C53" s="45"/>
      <c r="D53" s="46"/>
      <c r="E53" s="46"/>
      <c r="F53" s="46"/>
      <c r="G53" s="47"/>
      <c r="H53" s="47"/>
      <c r="I53" s="48"/>
      <c r="J53" s="49"/>
      <c r="K53" s="50"/>
    </row>
    <row r="54" spans="1:13" s="11" customFormat="1" ht="25.5" customHeight="1" thickBot="1" x14ac:dyDescent="0.25">
      <c r="A54" s="43"/>
      <c r="C54" s="51" t="s">
        <v>67</v>
      </c>
      <c r="D54" s="52"/>
      <c r="E54" s="48"/>
      <c r="F54" s="46"/>
      <c r="G54" s="91" t="s">
        <v>68</v>
      </c>
      <c r="H54" s="91"/>
      <c r="I54" s="53"/>
      <c r="J54" s="49"/>
      <c r="K54" s="50"/>
    </row>
    <row r="55" spans="1:13" s="11" customFormat="1" ht="25.5" customHeight="1" x14ac:dyDescent="0.2">
      <c r="A55" s="43"/>
      <c r="B55" s="44"/>
      <c r="C55" s="45"/>
      <c r="D55" s="46"/>
      <c r="E55" s="46"/>
      <c r="F55" s="46"/>
      <c r="G55" s="47"/>
      <c r="H55" s="47"/>
      <c r="I55" s="48"/>
      <c r="J55" s="49"/>
      <c r="K55" s="50"/>
    </row>
    <row r="56" spans="1:13" s="11" customFormat="1" ht="30" customHeight="1" x14ac:dyDescent="0.2">
      <c r="A56" s="92" t="s">
        <v>11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M56" s="11" t="s">
        <v>0</v>
      </c>
    </row>
    <row r="57" spans="1:13" s="11" customFormat="1" ht="30" customHeight="1" x14ac:dyDescent="0.2">
      <c r="A57" s="54"/>
      <c r="B57" s="84"/>
      <c r="C57" s="84"/>
      <c r="D57" s="84"/>
      <c r="E57" s="84"/>
      <c r="F57" s="84"/>
      <c r="G57" s="84"/>
      <c r="H57" s="84"/>
      <c r="I57" s="84"/>
      <c r="J57" s="84"/>
      <c r="K57" s="55"/>
    </row>
    <row r="58" spans="1:13" s="11" customFormat="1" ht="30" customHeight="1" x14ac:dyDescent="0.2">
      <c r="A58" s="54"/>
      <c r="B58" s="84"/>
      <c r="C58" s="84"/>
      <c r="D58" s="84"/>
      <c r="E58" s="84"/>
      <c r="F58" s="84"/>
      <c r="G58" s="84"/>
      <c r="H58" s="84"/>
      <c r="I58" s="84"/>
      <c r="J58" s="84"/>
      <c r="K58" s="54"/>
      <c r="L58" s="54"/>
    </row>
    <row r="59" spans="1:13" s="11" customFormat="1" ht="30" customHeight="1" x14ac:dyDescent="0.2">
      <c r="A59" s="54"/>
      <c r="B59" s="84"/>
      <c r="C59" s="84"/>
      <c r="D59" s="84"/>
      <c r="E59" s="84"/>
      <c r="F59" s="84"/>
      <c r="G59" s="84"/>
      <c r="H59" s="84"/>
      <c r="I59" s="84"/>
      <c r="J59" s="84"/>
      <c r="K59" s="54"/>
      <c r="L59" s="45"/>
    </row>
    <row r="60" spans="1:13" s="11" customFormat="1" ht="30" customHeight="1" x14ac:dyDescent="0.2">
      <c r="A60" s="56"/>
      <c r="B60" s="57"/>
      <c r="C60" s="58"/>
      <c r="D60" s="58"/>
      <c r="E60" s="58"/>
      <c r="F60" s="57"/>
      <c r="G60" s="57"/>
      <c r="H60" s="57"/>
      <c r="I60" s="58"/>
      <c r="J60" s="58"/>
      <c r="K60" s="58"/>
    </row>
    <row r="61" spans="1:13" s="11" customFormat="1" ht="30" customHeight="1" x14ac:dyDescent="0.2">
      <c r="A61" s="56"/>
      <c r="B61" s="57"/>
      <c r="C61" s="58"/>
      <c r="D61" s="58"/>
      <c r="E61" s="58"/>
      <c r="F61" s="57"/>
      <c r="H61" s="57"/>
      <c r="I61" s="57"/>
    </row>
    <row r="62" spans="1:13" s="11" customFormat="1" ht="30" customHeight="1" x14ac:dyDescent="0.2">
      <c r="A62" s="59"/>
      <c r="B62" s="60"/>
      <c r="C62" s="61"/>
      <c r="D62" s="61"/>
      <c r="E62" s="61"/>
      <c r="F62" s="60"/>
      <c r="G62" s="62"/>
      <c r="H62" s="60"/>
      <c r="I62" s="60"/>
      <c r="J62" s="62"/>
      <c r="K62" s="62"/>
    </row>
    <row r="63" spans="1:13" s="10" customFormat="1" ht="20.100000000000001" customHeight="1" x14ac:dyDescent="0.2">
      <c r="A63" s="85" t="s">
        <v>94</v>
      </c>
      <c r="B63" s="85"/>
      <c r="C63" s="85"/>
      <c r="D63" s="63"/>
      <c r="E63" s="63"/>
      <c r="F63" s="64"/>
      <c r="G63" s="65"/>
      <c r="H63" s="86" t="s">
        <v>57</v>
      </c>
      <c r="I63" s="86"/>
      <c r="J63" s="86"/>
      <c r="K63" s="86"/>
      <c r="L63" s="66"/>
    </row>
    <row r="64" spans="1:13" s="10" customFormat="1" ht="20.100000000000001" customHeight="1" x14ac:dyDescent="0.2">
      <c r="A64" s="80" t="s">
        <v>69</v>
      </c>
      <c r="B64" s="80"/>
      <c r="C64" s="80"/>
      <c r="D64" s="64"/>
      <c r="E64" s="64"/>
      <c r="F64" s="64"/>
      <c r="G64" s="65"/>
      <c r="H64" s="80" t="s">
        <v>38</v>
      </c>
      <c r="I64" s="80"/>
      <c r="J64" s="80"/>
      <c r="K64" s="80"/>
    </row>
    <row r="65" spans="1:12" s="10" customFormat="1" ht="30" customHeight="1" x14ac:dyDescent="0.2">
      <c r="A65" s="64"/>
      <c r="B65" s="64"/>
      <c r="C65" s="64"/>
      <c r="D65" s="64"/>
      <c r="E65" s="64"/>
      <c r="F65" s="64"/>
      <c r="G65" s="65"/>
      <c r="H65" s="64"/>
      <c r="I65" s="64"/>
      <c r="J65" s="64"/>
      <c r="K65" s="64"/>
    </row>
    <row r="66" spans="1:12" s="10" customFormat="1" ht="30" customHeight="1" x14ac:dyDescent="0.2">
      <c r="A66" s="64"/>
      <c r="B66" s="64"/>
      <c r="C66" s="64"/>
      <c r="D66" s="64"/>
      <c r="E66" s="64"/>
      <c r="F66" s="64"/>
      <c r="G66" s="65"/>
      <c r="H66" s="64"/>
      <c r="I66" s="64"/>
      <c r="J66" s="64"/>
      <c r="K66" s="64"/>
    </row>
    <row r="67" spans="1:12" s="10" customFormat="1" ht="30" customHeight="1" x14ac:dyDescent="0.2">
      <c r="A67" s="64"/>
      <c r="B67" s="64"/>
      <c r="C67" s="64"/>
      <c r="D67" s="64"/>
      <c r="E67" s="64"/>
      <c r="F67" s="64"/>
      <c r="G67" s="65"/>
      <c r="H67" s="64"/>
      <c r="I67" s="64"/>
      <c r="J67" s="64"/>
      <c r="K67" s="64"/>
    </row>
    <row r="68" spans="1:12" s="10" customFormat="1" ht="30" customHeight="1" x14ac:dyDescent="0.2">
      <c r="A68" s="64"/>
      <c r="B68" s="64"/>
      <c r="C68" s="65"/>
      <c r="D68" s="65"/>
      <c r="E68" s="65"/>
      <c r="F68" s="64"/>
      <c r="G68" s="65"/>
      <c r="H68" s="64"/>
      <c r="I68" s="64"/>
      <c r="J68" s="65"/>
      <c r="K68" s="65"/>
    </row>
    <row r="69" spans="1:12" s="11" customFormat="1" ht="30" customHeight="1" x14ac:dyDescent="0.2">
      <c r="A69" s="67"/>
      <c r="B69" s="67"/>
      <c r="C69" s="67"/>
      <c r="D69" s="68"/>
      <c r="E69" s="68"/>
      <c r="F69" s="69"/>
      <c r="G69" s="70"/>
      <c r="H69" s="87"/>
      <c r="I69" s="87"/>
      <c r="J69" s="87"/>
      <c r="K69" s="87"/>
      <c r="L69" s="71"/>
    </row>
    <row r="70" spans="1:12" s="11" customFormat="1" ht="18.75" customHeight="1" x14ac:dyDescent="0.2">
      <c r="A70" s="80" t="s">
        <v>93</v>
      </c>
      <c r="B70" s="80"/>
      <c r="C70" s="80"/>
      <c r="D70" s="68"/>
      <c r="E70" s="68"/>
      <c r="F70" s="69"/>
      <c r="G70" s="70"/>
      <c r="H70" s="81" t="s">
        <v>71</v>
      </c>
      <c r="I70" s="81"/>
      <c r="J70" s="81"/>
      <c r="K70" s="81"/>
      <c r="L70" s="71"/>
    </row>
    <row r="71" spans="1:12" s="11" customFormat="1" ht="30" customHeight="1" x14ac:dyDescent="0.2">
      <c r="A71" s="80" t="s">
        <v>70</v>
      </c>
      <c r="B71" s="80"/>
      <c r="C71" s="80"/>
      <c r="D71" s="64"/>
      <c r="E71" s="64"/>
      <c r="F71" s="63"/>
      <c r="G71" s="68"/>
      <c r="L71" s="71"/>
    </row>
    <row r="72" spans="1:12" s="3" customFormat="1" ht="30" customHeight="1" x14ac:dyDescent="0.2">
      <c r="A72" s="82"/>
      <c r="B72" s="82"/>
      <c r="C72" s="82"/>
      <c r="D72" s="60"/>
      <c r="E72" s="60"/>
      <c r="F72" s="72"/>
      <c r="G72" s="73"/>
      <c r="H72" s="73"/>
      <c r="I72" s="73"/>
      <c r="J72" s="73"/>
      <c r="K72" s="74"/>
      <c r="L72" s="75"/>
    </row>
    <row r="73" spans="1:12" s="3" customFormat="1" ht="30" customHeight="1" x14ac:dyDescent="0.2">
      <c r="B73" s="83"/>
      <c r="C73" s="83"/>
      <c r="D73" s="76"/>
      <c r="E73" s="76"/>
      <c r="G73" s="77"/>
      <c r="H73" s="77"/>
      <c r="I73" s="77"/>
      <c r="J73" s="77"/>
    </row>
    <row r="74" spans="1:12" s="3" customFormat="1" ht="30" customHeight="1" x14ac:dyDescent="0.2">
      <c r="G74" s="77"/>
      <c r="H74" s="77"/>
      <c r="I74" s="77"/>
      <c r="J74" s="77"/>
    </row>
    <row r="75" spans="1:12" s="3" customFormat="1" ht="30" customHeight="1" x14ac:dyDescent="0.2">
      <c r="G75" s="77"/>
      <c r="H75" s="77"/>
      <c r="I75" s="77"/>
      <c r="J75" s="77"/>
    </row>
    <row r="76" spans="1:12" s="3" customFormat="1" ht="30" customHeight="1" x14ac:dyDescent="0.2">
      <c r="G76" s="77"/>
      <c r="H76" s="77"/>
      <c r="I76" s="77"/>
      <c r="J76" s="77"/>
    </row>
    <row r="77" spans="1:12" s="3" customFormat="1" ht="30" customHeight="1" x14ac:dyDescent="0.2">
      <c r="G77" s="77"/>
      <c r="H77" s="77"/>
      <c r="I77" s="77"/>
      <c r="J77" s="77"/>
    </row>
    <row r="78" spans="1:12" s="3" customFormat="1" ht="30" customHeight="1" x14ac:dyDescent="0.2">
      <c r="G78" s="77"/>
      <c r="H78" s="77"/>
      <c r="I78" s="77"/>
      <c r="J78" s="77"/>
    </row>
    <row r="79" spans="1:12" s="3" customFormat="1" ht="30" customHeight="1" x14ac:dyDescent="0.2">
      <c r="G79" s="77"/>
      <c r="H79" s="77"/>
      <c r="I79" s="77"/>
      <c r="J79" s="77"/>
    </row>
    <row r="80" spans="1:12" s="3" customFormat="1" ht="30" customHeight="1" x14ac:dyDescent="0.2">
      <c r="G80" s="77"/>
      <c r="H80" s="77"/>
      <c r="I80" s="77"/>
      <c r="J80" s="77"/>
    </row>
    <row r="81" spans="7:10" s="3" customFormat="1" ht="30" customHeight="1" x14ac:dyDescent="0.2">
      <c r="G81" s="77"/>
      <c r="H81" s="77"/>
      <c r="I81" s="77"/>
      <c r="J81" s="77"/>
    </row>
    <row r="82" spans="7:10" s="3" customFormat="1" ht="30" customHeight="1" x14ac:dyDescent="0.2">
      <c r="G82" s="77"/>
      <c r="H82" s="77"/>
      <c r="I82" s="77"/>
      <c r="J82" s="77"/>
    </row>
    <row r="83" spans="7:10" s="3" customFormat="1" ht="30" customHeight="1" x14ac:dyDescent="0.2">
      <c r="G83" s="77"/>
      <c r="H83" s="77"/>
      <c r="I83" s="77"/>
      <c r="J83" s="77"/>
    </row>
    <row r="84" spans="7:10" s="3" customFormat="1" ht="30" customHeight="1" x14ac:dyDescent="0.2">
      <c r="G84" s="77"/>
      <c r="H84" s="77"/>
      <c r="I84" s="77"/>
      <c r="J84" s="77"/>
    </row>
    <row r="85" spans="7:10" s="3" customFormat="1" ht="30" customHeight="1" x14ac:dyDescent="0.2">
      <c r="H85" s="78"/>
    </row>
  </sheetData>
  <mergeCells count="167">
    <mergeCell ref="A71:C71"/>
    <mergeCell ref="H70:K70"/>
    <mergeCell ref="A72:C72"/>
    <mergeCell ref="B73:C73"/>
    <mergeCell ref="B59:J59"/>
    <mergeCell ref="A63:C63"/>
    <mergeCell ref="H63:K63"/>
    <mergeCell ref="A64:C64"/>
    <mergeCell ref="H64:K64"/>
    <mergeCell ref="A70:C70"/>
    <mergeCell ref="H69:K69"/>
    <mergeCell ref="K50:K51"/>
    <mergeCell ref="B52:J52"/>
    <mergeCell ref="G54:H54"/>
    <mergeCell ref="A56:K56"/>
    <mergeCell ref="B57:J57"/>
    <mergeCell ref="B58:J58"/>
    <mergeCell ref="A50:A51"/>
    <mergeCell ref="B50:B51"/>
    <mergeCell ref="C50:C51"/>
    <mergeCell ref="D50:D51"/>
    <mergeCell ref="E50:E51"/>
    <mergeCell ref="F50:F51"/>
    <mergeCell ref="K46:K47"/>
    <mergeCell ref="A48:A49"/>
    <mergeCell ref="B48:B49"/>
    <mergeCell ref="C48:C49"/>
    <mergeCell ref="D48:D49"/>
    <mergeCell ref="E48:E49"/>
    <mergeCell ref="F48:F49"/>
    <mergeCell ref="K48:K49"/>
    <mergeCell ref="A46:A47"/>
    <mergeCell ref="B46:B47"/>
    <mergeCell ref="C46:C47"/>
    <mergeCell ref="D46:D47"/>
    <mergeCell ref="E46:E47"/>
    <mergeCell ref="F46:F47"/>
    <mergeCell ref="K42:K43"/>
    <mergeCell ref="A44:A45"/>
    <mergeCell ref="B44:B45"/>
    <mergeCell ref="C44:C45"/>
    <mergeCell ref="D44:D45"/>
    <mergeCell ref="E44:E45"/>
    <mergeCell ref="F44:F45"/>
    <mergeCell ref="K44:K45"/>
    <mergeCell ref="A42:A43"/>
    <mergeCell ref="B42:B43"/>
    <mergeCell ref="C42:C43"/>
    <mergeCell ref="D42:D43"/>
    <mergeCell ref="E42:E43"/>
    <mergeCell ref="F42:F43"/>
    <mergeCell ref="K38:K39"/>
    <mergeCell ref="A40:A41"/>
    <mergeCell ref="B40:B41"/>
    <mergeCell ref="C40:C41"/>
    <mergeCell ref="D40:D41"/>
    <mergeCell ref="E40:E41"/>
    <mergeCell ref="F40:F41"/>
    <mergeCell ref="K40:K41"/>
    <mergeCell ref="A38:A39"/>
    <mergeCell ref="B38:B39"/>
    <mergeCell ref="C38:C39"/>
    <mergeCell ref="D38:D39"/>
    <mergeCell ref="E38:E39"/>
    <mergeCell ref="F38:F39"/>
    <mergeCell ref="K34:K35"/>
    <mergeCell ref="A36:A37"/>
    <mergeCell ref="B36:B37"/>
    <mergeCell ref="C36:C37"/>
    <mergeCell ref="D36:D37"/>
    <mergeCell ref="E36:E37"/>
    <mergeCell ref="F36:F37"/>
    <mergeCell ref="K36:K37"/>
    <mergeCell ref="A34:A35"/>
    <mergeCell ref="B34:B35"/>
    <mergeCell ref="C34:C35"/>
    <mergeCell ref="D34:D35"/>
    <mergeCell ref="E34:E35"/>
    <mergeCell ref="F34:F35"/>
    <mergeCell ref="K30:K31"/>
    <mergeCell ref="A32:A33"/>
    <mergeCell ref="B32:B33"/>
    <mergeCell ref="C32:C33"/>
    <mergeCell ref="D32:D33"/>
    <mergeCell ref="E32:E33"/>
    <mergeCell ref="F32:F33"/>
    <mergeCell ref="K32:K33"/>
    <mergeCell ref="A30:A31"/>
    <mergeCell ref="B30:B31"/>
    <mergeCell ref="C30:C31"/>
    <mergeCell ref="D30:D31"/>
    <mergeCell ref="E30:E31"/>
    <mergeCell ref="F30:F31"/>
    <mergeCell ref="K26:K27"/>
    <mergeCell ref="A28:A29"/>
    <mergeCell ref="B28:B29"/>
    <mergeCell ref="C28:C29"/>
    <mergeCell ref="D28:D29"/>
    <mergeCell ref="E28:E29"/>
    <mergeCell ref="F28:F29"/>
    <mergeCell ref="K28:K29"/>
    <mergeCell ref="A26:A27"/>
    <mergeCell ref="B26:B27"/>
    <mergeCell ref="C26:C27"/>
    <mergeCell ref="D26:D27"/>
    <mergeCell ref="E26:E27"/>
    <mergeCell ref="F26:F27"/>
    <mergeCell ref="K22:K23"/>
    <mergeCell ref="A24:A25"/>
    <mergeCell ref="B24:B25"/>
    <mergeCell ref="C24:C25"/>
    <mergeCell ref="D24:D25"/>
    <mergeCell ref="E24:E25"/>
    <mergeCell ref="F24:F25"/>
    <mergeCell ref="K24:K25"/>
    <mergeCell ref="A22:A23"/>
    <mergeCell ref="B22:B23"/>
    <mergeCell ref="C22:C23"/>
    <mergeCell ref="D22:D23"/>
    <mergeCell ref="E22:E23"/>
    <mergeCell ref="F22:F23"/>
    <mergeCell ref="K18:K19"/>
    <mergeCell ref="A20:A21"/>
    <mergeCell ref="B20:B21"/>
    <mergeCell ref="C20:C21"/>
    <mergeCell ref="D20:D21"/>
    <mergeCell ref="E20:E21"/>
    <mergeCell ref="F20:F21"/>
    <mergeCell ref="K20:K21"/>
    <mergeCell ref="A18:A19"/>
    <mergeCell ref="B18:B19"/>
    <mergeCell ref="C18:C19"/>
    <mergeCell ref="D18:D19"/>
    <mergeCell ref="E18:E19"/>
    <mergeCell ref="F18:F19"/>
    <mergeCell ref="K14:K15"/>
    <mergeCell ref="A16:A17"/>
    <mergeCell ref="B16:B17"/>
    <mergeCell ref="C16:C17"/>
    <mergeCell ref="D16:D17"/>
    <mergeCell ref="E16:E17"/>
    <mergeCell ref="F16:F17"/>
    <mergeCell ref="K16:K17"/>
    <mergeCell ref="A14:A15"/>
    <mergeCell ref="B14:B15"/>
    <mergeCell ref="C14:C15"/>
    <mergeCell ref="D14:D15"/>
    <mergeCell ref="E14:E15"/>
    <mergeCell ref="F14:F15"/>
    <mergeCell ref="A1:K1"/>
    <mergeCell ref="A2:K2"/>
    <mergeCell ref="A3:K3"/>
    <mergeCell ref="A5:K5"/>
    <mergeCell ref="B7:D7"/>
    <mergeCell ref="H7:J7"/>
    <mergeCell ref="A12:A13"/>
    <mergeCell ref="B12:B13"/>
    <mergeCell ref="C12:C13"/>
    <mergeCell ref="D12:D13"/>
    <mergeCell ref="F12:J12"/>
    <mergeCell ref="K12:K13"/>
    <mergeCell ref="B8:D8"/>
    <mergeCell ref="H8:J8"/>
    <mergeCell ref="B9:D9"/>
    <mergeCell ref="H9:J9"/>
    <mergeCell ref="B10:D10"/>
    <mergeCell ref="H10:J10"/>
  </mergeCells>
  <printOptions horizontalCentered="1" verticalCentered="1"/>
  <pageMargins left="3.937007874015748E-2" right="3.937007874015748E-2" top="0.15748031496062992" bottom="0.15748031496062992" header="0.11811023622047245" footer="0.11811023622047245"/>
  <pageSetup scale="28" orientation="portrait" horizontalDpi="1200" verticalDpi="1200" r:id="rId1"/>
  <colBreaks count="1" manualBreakCount="1">
    <brk id="11" max="8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4</vt:i4>
      </vt:variant>
    </vt:vector>
  </HeadingPairs>
  <TitlesOfParts>
    <vt:vector size="8" baseType="lpstr">
      <vt:lpstr>HUIMILPAN</vt:lpstr>
      <vt:lpstr>PEDRO ESCOBEDO</vt:lpstr>
      <vt:lpstr>SATÉLITE</vt:lpstr>
      <vt:lpstr>LOMAS</vt:lpstr>
      <vt:lpstr>HUIMILPAN!Área_de_impresión</vt:lpstr>
      <vt:lpstr>LOMAS!Área_de_impresión</vt:lpstr>
      <vt:lpstr>'PEDRO ESCOBEDO'!Área_de_impresión</vt:lpstr>
      <vt:lpstr>SATÉLITE!Área_de_impresión</vt:lpstr>
    </vt:vector>
  </TitlesOfParts>
  <Company>SESEQ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MIGUELL</dc:creator>
  <cp:lastModifiedBy>LESLIE ENCISO</cp:lastModifiedBy>
  <cp:lastPrinted>2024-10-14T14:02:37Z</cp:lastPrinted>
  <dcterms:created xsi:type="dcterms:W3CDTF">2013-03-21T18:12:10Z</dcterms:created>
  <dcterms:modified xsi:type="dcterms:W3CDTF">2024-10-15T19:33:20Z</dcterms:modified>
</cp:coreProperties>
</file>