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SLIE ENCISO\Desktop\ORACLE\REQUISICION MENSUAL\REQUISICIONES 2026\SEPTIEMBRE\"/>
    </mc:Choice>
  </mc:AlternateContent>
  <xr:revisionPtr revIDLastSave="0" documentId="13_ncr:1_{E650C96C-97DF-4538-A71D-08BE82CEF920}" xr6:coauthVersionLast="47" xr6:coauthVersionMax="47" xr10:uidLastSave="{00000000-0000-0000-0000-000000000000}"/>
  <bookViews>
    <workbookView xWindow="-120" yWindow="-120" windowWidth="24240" windowHeight="13140" tabRatio="868" xr2:uid="{00000000-000D-0000-FFFF-FFFF00000000}"/>
  </bookViews>
  <sheets>
    <sheet name="GRAN TOTAL JURIS" sheetId="20" r:id="rId1"/>
    <sheet name="CAR. SAN PEDRITO" sheetId="8" state="hidden" r:id="rId2"/>
    <sheet name="CAR. P ESCOBEDO" sheetId="4" state="hidden" r:id="rId3"/>
    <sheet name="CAR. BARRETA" sheetId="22" state="hidden" r:id="rId4"/>
    <sheet name="CAR. LA LUZ" sheetId="26" state="hidden" r:id="rId5"/>
    <sheet name="CV. SN J BUENAVISTA " sheetId="30" state="hidden" r:id="rId6"/>
    <sheet name="CV. PALO ALTO " sheetId="32" state="hidden" r:id="rId7"/>
    <sheet name="UMQ" sheetId="35" state="hidden" r:id="rId8"/>
    <sheet name="SATÉLITE" sheetId="40" state="hidden" r:id="rId9"/>
    <sheet name="LOMAS" sheetId="41" state="hidden" r:id="rId10"/>
    <sheet name="P ESCOBEDO" sheetId="42" state="hidden" r:id="rId11"/>
    <sheet name="AMB 1" sheetId="23" state="hidden" r:id="rId12"/>
    <sheet name="C. CERRO. CRUZ" sheetId="38" state="hidden" r:id="rId13"/>
    <sheet name="RANCHO LARGO" sheetId="34" state="hidden" r:id="rId14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_xlnm.Print_Area" localSheetId="0">'GRAN TOTAL JURIS'!$A$1:$P$87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2" i="20" l="1"/>
  <c r="H52" i="20" s="1"/>
  <c r="F38" i="20"/>
  <c r="F42" i="20"/>
  <c r="F44" i="20"/>
  <c r="G52" i="20" l="1"/>
  <c r="H38" i="20"/>
  <c r="H42" i="20"/>
  <c r="G38" i="20" l="1"/>
  <c r="G42" i="20"/>
  <c r="M15" i="20"/>
  <c r="M17" i="20"/>
  <c r="H10" i="40" l="1"/>
  <c r="H10" i="41"/>
  <c r="H10" i="42"/>
  <c r="M19" i="42" l="1"/>
  <c r="M18" i="42"/>
  <c r="M17" i="42"/>
  <c r="M16" i="42"/>
  <c r="M15" i="42"/>
  <c r="M19" i="41"/>
  <c r="M18" i="41"/>
  <c r="M17" i="41"/>
  <c r="M16" i="41"/>
  <c r="M15" i="41"/>
  <c r="M19" i="40"/>
  <c r="M18" i="40"/>
  <c r="M17" i="40"/>
  <c r="M16" i="40"/>
  <c r="M15" i="40"/>
  <c r="K15" i="4" l="1"/>
  <c r="K15" i="8"/>
  <c r="K15" i="22"/>
  <c r="K15" i="26"/>
  <c r="K15" i="30"/>
  <c r="K15" i="32"/>
  <c r="K15" i="34"/>
  <c r="K15" i="35"/>
  <c r="K15" i="38"/>
  <c r="K19" i="38"/>
  <c r="K18" i="38"/>
  <c r="K17" i="38"/>
  <c r="K16" i="38"/>
  <c r="K19" i="35"/>
  <c r="K18" i="35"/>
  <c r="K17" i="35"/>
  <c r="K16" i="35"/>
  <c r="K19" i="34"/>
  <c r="K18" i="34"/>
  <c r="K17" i="34"/>
  <c r="K16" i="34"/>
  <c r="K19" i="32"/>
  <c r="K18" i="32"/>
  <c r="K17" i="32"/>
  <c r="K16" i="32"/>
  <c r="K19" i="30"/>
  <c r="K18" i="30"/>
  <c r="K17" i="30"/>
  <c r="K16" i="30"/>
  <c r="K19" i="26"/>
  <c r="K18" i="26"/>
  <c r="K17" i="26"/>
  <c r="K16" i="26"/>
  <c r="K19" i="23"/>
  <c r="K18" i="23"/>
  <c r="K17" i="23"/>
  <c r="K16" i="23"/>
  <c r="K15" i="23"/>
  <c r="K19" i="22"/>
  <c r="K18" i="22"/>
  <c r="K17" i="22"/>
  <c r="K16" i="22"/>
  <c r="K19" i="8"/>
  <c r="K18" i="8"/>
  <c r="K17" i="8"/>
  <c r="K16" i="8"/>
  <c r="K19" i="4"/>
  <c r="K18" i="4"/>
  <c r="K17" i="4"/>
  <c r="K16" i="4"/>
  <c r="F20" i="20" l="1"/>
  <c r="F22" i="20"/>
  <c r="F24" i="20"/>
  <c r="F28" i="20"/>
  <c r="F30" i="20"/>
  <c r="F32" i="20"/>
  <c r="F34" i="20"/>
  <c r="F46" i="20"/>
  <c r="F48" i="20"/>
  <c r="F50" i="20"/>
  <c r="F14" i="20"/>
  <c r="H50" i="20" l="1"/>
  <c r="G50" i="20"/>
  <c r="H46" i="20"/>
  <c r="G46" i="20"/>
  <c r="H24" i="20"/>
  <c r="G24" i="20"/>
  <c r="H30" i="20"/>
  <c r="G30" i="20"/>
  <c r="G48" i="20"/>
  <c r="H48" i="20"/>
  <c r="H34" i="20"/>
  <c r="G34" i="20"/>
  <c r="H14" i="20"/>
  <c r="G14" i="20"/>
  <c r="H32" i="20"/>
  <c r="G32" i="20"/>
  <c r="H22" i="20"/>
  <c r="G22" i="20"/>
  <c r="G20" i="20"/>
  <c r="H20" i="20"/>
  <c r="H28" i="20"/>
  <c r="G28" i="20"/>
  <c r="F40" i="20" l="1"/>
  <c r="H40" i="20" l="1"/>
  <c r="G40" i="20"/>
  <c r="F26" i="20" l="1"/>
  <c r="F36" i="20"/>
  <c r="H26" i="20" l="1"/>
  <c r="G26" i="20"/>
  <c r="G36" i="20"/>
  <c r="M14" i="20"/>
  <c r="H36" i="20"/>
  <c r="F18" i="20" l="1"/>
  <c r="F16" i="20"/>
  <c r="M18" i="20" l="1"/>
  <c r="G18" i="20"/>
  <c r="H18" i="20"/>
  <c r="H16" i="20"/>
  <c r="G16" i="20"/>
  <c r="M16" i="20"/>
</calcChain>
</file>

<file path=xl/sharedStrings.xml><?xml version="1.0" encoding="utf-8"?>
<sst xmlns="http://schemas.openxmlformats.org/spreadsheetml/2006/main" count="1282" uniqueCount="132">
  <si>
    <t xml:space="preserve"> </t>
  </si>
  <si>
    <t>AREA:</t>
  </si>
  <si>
    <t>FECHA:</t>
  </si>
  <si>
    <t>NÚM</t>
  </si>
  <si>
    <t>NOMBRE DEL ARTÍCULO</t>
  </si>
  <si>
    <t>CANTIDAD</t>
  </si>
  <si>
    <t>SOLICITADO</t>
  </si>
  <si>
    <t>AUTORIZADO</t>
  </si>
  <si>
    <t>SURTIDO</t>
  </si>
  <si>
    <t>LOTE</t>
  </si>
  <si>
    <t>VACUNA ANTINEUMOCOCCICA 13</t>
  </si>
  <si>
    <t>VACUNA ROTAVIRUS PENTAVALENTE</t>
  </si>
  <si>
    <t>VACUNA VPH</t>
  </si>
  <si>
    <t xml:space="preserve">OBSERVACIONES: </t>
  </si>
  <si>
    <t>25311.020-000-3800-00</t>
  </si>
  <si>
    <t>25311.020-000-3801-01</t>
  </si>
  <si>
    <t>25311.020-000-2526-00</t>
  </si>
  <si>
    <t>25311.020-000-3802-00</t>
  </si>
  <si>
    <t>25311.020-000-3805-00</t>
  </si>
  <si>
    <t>25311.020-000-3820-00</t>
  </si>
  <si>
    <t>25311.020-000-3821-00</t>
  </si>
  <si>
    <t>25311.020-000-3810-00</t>
  </si>
  <si>
    <t>25331.020-X-0002-00-E</t>
  </si>
  <si>
    <t>VACUNA HEPATITIS B MULTIDOSIS</t>
  </si>
  <si>
    <t>VACUNA HEPATITIS B UNIDOSIS</t>
  </si>
  <si>
    <t>VACUNA BCG</t>
  </si>
  <si>
    <t>VACUNA VACUNA DPT</t>
  </si>
  <si>
    <t>VACUNA TDPA</t>
  </si>
  <si>
    <t>VACUNATRIPLEVIRAL MULTI DOSIS</t>
  </si>
  <si>
    <t>VACUNA ANTINEUMOCOCCICA 23 1DS</t>
  </si>
  <si>
    <t>VACUNA ANTIAMARILICA</t>
  </si>
  <si>
    <t xml:space="preserve">VACUNA ANTIVARICELA </t>
  </si>
  <si>
    <t>25311.020-000-3832-00</t>
  </si>
  <si>
    <t>CADUCIDAD</t>
  </si>
  <si>
    <t>FIRMA DE RECEPCION</t>
  </si>
  <si>
    <t>UNIDAD:</t>
  </si>
  <si>
    <t>MES A SURTIR:</t>
  </si>
  <si>
    <t>VACUNA INMUNOGLOBULINA ANTITETANICA</t>
  </si>
  <si>
    <t>VACUNA ANTIINFLUENZA 10/D</t>
  </si>
  <si>
    <t>FOLIO ORACLE:</t>
  </si>
  <si>
    <t>25311.020-000-0152-00</t>
  </si>
  <si>
    <t>25311.020-000-0146-00</t>
  </si>
  <si>
    <t>SUFICIENCIA PRESUPUESTAL:</t>
  </si>
  <si>
    <t>CLAVE DE ARTÍCULO</t>
  </si>
  <si>
    <t>ADMINISTRADOR DE JURISDICCION  SANITARIA No.  1</t>
  </si>
  <si>
    <t>VACUNA DOBLE VIRAL  (SR)</t>
  </si>
  <si>
    <t>VACUNA TRIPLE VIRAL 1DS (SRP)</t>
  </si>
  <si>
    <t>VACUNA  ANTIPOLIOMELITICA (SABIN)</t>
  </si>
  <si>
    <t>VACUNA TD</t>
  </si>
  <si>
    <t>SERVICIOS DE SALUD DEL ESTADO DE QUERÉTARO</t>
  </si>
  <si>
    <t>COORDINACION GENERAL</t>
  </si>
  <si>
    <t>SOLICITUD A LA CÁMARA DE FRIO ESTATAL</t>
  </si>
  <si>
    <t>RECIBE: NOMBRE COMPLETO, FECHA Y FIRMA</t>
  </si>
  <si>
    <t>25311.020-000-6135-00</t>
  </si>
  <si>
    <t xml:space="preserve">VACUNACIÓN </t>
  </si>
  <si>
    <t>25311.020-000-0148-01</t>
  </si>
  <si>
    <t>VACUNA HEXAVALENTE</t>
  </si>
  <si>
    <t>25311.020-000-3808-00</t>
  </si>
  <si>
    <t>25311.020-000-3822-01</t>
  </si>
  <si>
    <t>25311.020-000-4173-01</t>
  </si>
  <si>
    <t xml:space="preserve">CV. PALO ALTO </t>
  </si>
  <si>
    <t>AMB 1</t>
  </si>
  <si>
    <t>25311.020-000-0151-00</t>
  </si>
  <si>
    <t>25311.020-000-2527-00</t>
  </si>
  <si>
    <t>25311.020-000-6056-01</t>
  </si>
  <si>
    <t>REVISO</t>
  </si>
  <si>
    <t>ENTREGA : NOMBRE COMPLETO, FECHA Y FIRMA</t>
  </si>
  <si>
    <t xml:space="preserve">JERINGA </t>
  </si>
  <si>
    <t>22X32</t>
  </si>
  <si>
    <t>23X25</t>
  </si>
  <si>
    <t>25X16</t>
  </si>
  <si>
    <t>27X13</t>
  </si>
  <si>
    <t>30GX1/2</t>
  </si>
  <si>
    <t xml:space="preserve">LE. VERONICA GONZALEZ CONTRERAS </t>
  </si>
  <si>
    <t>ING. ISRAEL RUIZ BARCENAS</t>
  </si>
  <si>
    <t xml:space="preserve">C. CARLOS BECERRA DORANTES </t>
  </si>
  <si>
    <t>CAR. LA BARRETA</t>
  </si>
  <si>
    <t>CAR. CERRO DE LA CRUZ</t>
  </si>
  <si>
    <t>RANCHO LARGO</t>
  </si>
  <si>
    <t>NOVIEMBRE</t>
  </si>
  <si>
    <t>25311.020-000-0150-02</t>
  </si>
  <si>
    <t>VACUNA ROTAVIRUS MONOVALENTE</t>
  </si>
  <si>
    <t>UMQ</t>
  </si>
  <si>
    <t>CAR. LA LUZ</t>
  </si>
  <si>
    <t>CAR. PEDRO ESCOBEDO</t>
  </si>
  <si>
    <t>FEBRERO</t>
  </si>
  <si>
    <t>MARZO</t>
  </si>
  <si>
    <t xml:space="preserve">CAR. SAN JOSE BUENAVISTA </t>
  </si>
  <si>
    <t>ABRIL</t>
  </si>
  <si>
    <t>MAYO</t>
  </si>
  <si>
    <t>SUBDIRECCION DE ADQUISICIONES</t>
  </si>
  <si>
    <t>SOLICITUD Y SURTIMIENTO DE LA CÁMARA DE FRÍO ESTATAL</t>
  </si>
  <si>
    <t>ORIGEN:</t>
  </si>
  <si>
    <t>JURISDICCIÓN # 1</t>
  </si>
  <si>
    <t>VACUNAS</t>
  </si>
  <si>
    <t>DIRECCIÓN:</t>
  </si>
  <si>
    <t>Circuito Moises Solana S/N, Col. Vista Alegre, Santiago de Querétaro. Qro.</t>
  </si>
  <si>
    <t>FECHA DE ENVIO:</t>
  </si>
  <si>
    <t>DESTINO:</t>
  </si>
  <si>
    <r>
      <t xml:space="preserve">CONDICIONES DE TRANSPORTE Y ALMACENAMIENTO: </t>
    </r>
    <r>
      <rPr>
        <sz val="22"/>
        <rFont val="Times New Roman"/>
        <family val="1"/>
      </rPr>
      <t>MANTENGASE EN TODO MOMENTO A TEMPERATURA ENTRE 2°C - 8 °C</t>
    </r>
  </si>
  <si>
    <t>TEMPERATURA A LA RECEPCIÓN:</t>
  </si>
  <si>
    <t>FECHA DE  RECEPCIÓN:</t>
  </si>
  <si>
    <t>L.E VERONICA GONZALEZ CONTRERAS</t>
  </si>
  <si>
    <t>RESPONSABLE PVU</t>
  </si>
  <si>
    <t>ENTREGA: NOMBRE COMPLETO Y FIRMA</t>
  </si>
  <si>
    <t>RECIBE: NOMBRE COMPLETO Y FIRMA</t>
  </si>
  <si>
    <t>PRESENTACIÓN</t>
  </si>
  <si>
    <t>FORMA</t>
  </si>
  <si>
    <t>FARMACÉUTICA</t>
  </si>
  <si>
    <t>UNIDOSIS</t>
  </si>
  <si>
    <t>Susp. Inyectable (Fco. Ampula)</t>
  </si>
  <si>
    <t>Susp. Inyectable (Jer. prellenada)</t>
  </si>
  <si>
    <t>MULTIDOSIS</t>
  </si>
  <si>
    <t>Fco. Amp Leofilizado+Diluy.</t>
  </si>
  <si>
    <t>Susp. (gotero de plastico)</t>
  </si>
  <si>
    <t>Fco. Amp Leofilizado +  Jer.prellenada.</t>
  </si>
  <si>
    <t xml:space="preserve">LIZBETH URIBE PANTOJA </t>
  </si>
  <si>
    <t xml:space="preserve">C.S PEDRO ESCOBEDO </t>
  </si>
  <si>
    <t>Nicolas Campa Esquina Pino Suarez S/N, Centro, Querétaro.</t>
  </si>
  <si>
    <t>C.S LOMAS DE CASABLANCA</t>
  </si>
  <si>
    <t>Abraham Castellanos S/N, Reforma Agraria, Querétaro.</t>
  </si>
  <si>
    <t>C.S SATELITE</t>
  </si>
  <si>
    <t>Cordillera Himalaya S/N, Colinas del poniente, Satélite, Querétaro</t>
  </si>
  <si>
    <t>JURISDICCIÓN SANITARIA N.1</t>
  </si>
  <si>
    <t>LIC. LESLIE LÓPEZ ENCISO</t>
  </si>
  <si>
    <t>ENF. JESÚS FERNANDO MOLINA REYES</t>
  </si>
  <si>
    <t>L.E LIZBETH URIBE PANTOJA</t>
  </si>
  <si>
    <r>
      <t xml:space="preserve">CONDICIONES DE TRANSPORTE Y ALMACENAMIENTO: </t>
    </r>
    <r>
      <rPr>
        <sz val="22"/>
        <rFont val="Arial Nova"/>
        <family val="2"/>
      </rPr>
      <t>MANTENGASE EN TODO MOMENTO A TEMPERATURA ENTRE 2°C - 8 °C</t>
    </r>
  </si>
  <si>
    <t>VACUNA COVID-19</t>
  </si>
  <si>
    <t>25311.020-000-6502-00</t>
  </si>
  <si>
    <t>FAZ00072</t>
  </si>
  <si>
    <t>FAZ00096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</si>
</sst>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dd/mm/yyyy;@"/>
    <numFmt numFmtId="166" formatCode="[$-F800]dddd\,\ mmmm\ dd\,\ yyyy"/>
  </numFmts>
  <fonts count="43" x14ac:knownFonts="1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24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color indexed="10"/>
      <name val="Times New Roman"/>
      <family val="1"/>
    </font>
    <font>
      <b/>
      <sz val="22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6"/>
      <color indexed="10"/>
      <name val="Times New Roman"/>
      <family val="1"/>
    </font>
    <font>
      <b/>
      <sz val="16"/>
      <color indexed="8"/>
      <name val="Times New Roman"/>
      <family val="1"/>
    </font>
    <font>
      <sz val="16"/>
      <name val="Arial"/>
      <family val="2"/>
    </font>
    <font>
      <sz val="22"/>
      <name val="Arial"/>
      <family val="2"/>
    </font>
    <font>
      <sz val="18"/>
      <name val="Times New Roman"/>
      <family val="1"/>
    </font>
    <font>
      <sz val="22"/>
      <name val="Times New Roman"/>
      <family val="1"/>
    </font>
    <font>
      <b/>
      <u/>
      <sz val="16"/>
      <name val="Times New Roman"/>
      <family val="1"/>
    </font>
    <font>
      <b/>
      <sz val="10"/>
      <color indexed="8"/>
      <name val="Times New Roman"/>
      <family val="1"/>
    </font>
    <font>
      <b/>
      <sz val="10"/>
      <color theme="0" tint="-0.14999847407452621"/>
      <name val="Times New Roman"/>
      <family val="1"/>
    </font>
    <font>
      <sz val="20"/>
      <color rgb="FFFF0000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b/>
      <sz val="24"/>
      <name val="Arial Nova"/>
      <family val="2"/>
    </font>
    <font>
      <b/>
      <sz val="10"/>
      <name val="Arial Nova"/>
      <family val="2"/>
    </font>
    <font>
      <sz val="10"/>
      <name val="Arial Nova"/>
      <family val="2"/>
    </font>
    <font>
      <b/>
      <sz val="20"/>
      <name val="Arial Nova"/>
      <family val="2"/>
    </font>
    <font>
      <sz val="20"/>
      <name val="Arial Nova"/>
      <family val="2"/>
    </font>
    <font>
      <b/>
      <sz val="16"/>
      <name val="Arial Nova"/>
      <family val="2"/>
    </font>
    <font>
      <sz val="16"/>
      <name val="Arial Nova"/>
      <family val="2"/>
    </font>
    <font>
      <b/>
      <sz val="18"/>
      <name val="Arial Nova"/>
      <family val="2"/>
    </font>
    <font>
      <sz val="18"/>
      <name val="Arial Nova"/>
      <family val="2"/>
    </font>
    <font>
      <b/>
      <sz val="20"/>
      <color theme="1"/>
      <name val="Arial Nova"/>
      <family val="2"/>
    </font>
    <font>
      <sz val="20"/>
      <color rgb="FFFF0000"/>
      <name val="Arial Nova"/>
      <family val="2"/>
    </font>
    <font>
      <b/>
      <sz val="22"/>
      <name val="Arial Nova"/>
      <family val="2"/>
    </font>
    <font>
      <sz val="22"/>
      <name val="Arial Nova"/>
      <family val="2"/>
    </font>
    <font>
      <b/>
      <sz val="18"/>
      <color indexed="8"/>
      <name val="Arial Nova"/>
      <family val="2"/>
    </font>
    <font>
      <b/>
      <u/>
      <sz val="16"/>
      <name val="Arial Nova"/>
      <family val="2"/>
    </font>
    <font>
      <b/>
      <sz val="16"/>
      <color indexed="8"/>
      <name val="Arial Nova"/>
      <family val="2"/>
    </font>
    <font>
      <b/>
      <sz val="10"/>
      <color theme="0" tint="-0.14999847407452621"/>
      <name val="Arial Nova"/>
      <family val="2"/>
    </font>
    <font>
      <b/>
      <sz val="10"/>
      <color indexed="8"/>
      <name val="Arial Nov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59">
    <xf numFmtId="0" fontId="0" fillId="0" borderId="0" xfId="0"/>
    <xf numFmtId="0" fontId="3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17" fontId="5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3" fontId="10" fillId="0" borderId="5" xfId="1" applyNumberFormat="1" applyFont="1" applyBorder="1" applyAlignment="1">
      <alignment horizontal="center" vertical="center" wrapText="1"/>
    </xf>
    <xf numFmtId="3" fontId="10" fillId="0" borderId="5" xfId="0" applyNumberFormat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3" fontId="10" fillId="0" borderId="3" xfId="1" applyNumberFormat="1" applyFont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3" fontId="10" fillId="0" borderId="6" xfId="1" applyNumberFormat="1" applyFont="1" applyBorder="1" applyAlignment="1">
      <alignment horizontal="center" vertical="center" wrapText="1"/>
    </xf>
    <xf numFmtId="3" fontId="10" fillId="0" borderId="6" xfId="0" applyNumberFormat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17" fontId="10" fillId="0" borderId="6" xfId="0" applyNumberFormat="1" applyFont="1" applyBorder="1" applyAlignment="1">
      <alignment horizontal="center" vertical="center"/>
    </xf>
    <xf numFmtId="17" fontId="10" fillId="0" borderId="3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3" fontId="22" fillId="0" borderId="6" xfId="1" applyNumberFormat="1" applyFont="1" applyBorder="1" applyAlignment="1">
      <alignment horizontal="center" vertical="center" wrapText="1"/>
    </xf>
    <xf numFmtId="3" fontId="22" fillId="0" borderId="3" xfId="1" applyNumberFormat="1" applyFont="1" applyBorder="1" applyAlignment="1">
      <alignment horizontal="center" vertical="center" wrapText="1"/>
    </xf>
    <xf numFmtId="17" fontId="10" fillId="0" borderId="5" xfId="1" applyNumberFormat="1" applyFont="1" applyBorder="1" applyAlignment="1">
      <alignment horizontal="center" vertical="center"/>
    </xf>
    <xf numFmtId="17" fontId="10" fillId="0" borderId="6" xfId="1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3" fontId="15" fillId="0" borderId="10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7" fontId="10" fillId="0" borderId="3" xfId="1" applyNumberFormat="1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3" fontId="16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 vertical="center"/>
    </xf>
    <xf numFmtId="3" fontId="23" fillId="0" borderId="6" xfId="1" applyNumberFormat="1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10" fillId="0" borderId="0" xfId="0" applyFont="1" applyAlignment="1" applyProtection="1">
      <alignment horizontal="center"/>
      <protection locked="0"/>
    </xf>
    <xf numFmtId="0" fontId="11" fillId="0" borderId="0" xfId="0" applyFont="1"/>
    <xf numFmtId="0" fontId="11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wrapText="1"/>
      <protection locked="0"/>
    </xf>
    <xf numFmtId="0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1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" fontId="9" fillId="0" borderId="0" xfId="0" applyNumberFormat="1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3" fontId="10" fillId="0" borderId="0" xfId="0" applyNumberFormat="1" applyFont="1" applyAlignment="1" applyProtection="1">
      <alignment horizontal="center" vertical="center"/>
      <protection locked="0"/>
    </xf>
    <xf numFmtId="3" fontId="10" fillId="0" borderId="0" xfId="1" applyNumberFormat="1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7" fontId="10" fillId="0" borderId="0" xfId="0" applyNumberFormat="1" applyFont="1" applyAlignment="1" applyProtection="1">
      <alignment horizontal="center" vertical="center"/>
      <protection locked="0"/>
    </xf>
    <xf numFmtId="165" fontId="9" fillId="0" borderId="0" xfId="0" applyNumberFormat="1" applyFont="1" applyAlignment="1" applyProtection="1">
      <alignment horizontal="center" vertical="center"/>
      <protection locked="0"/>
    </xf>
    <xf numFmtId="1" fontId="9" fillId="0" borderId="0" xfId="0" applyNumberFormat="1" applyFont="1" applyAlignment="1">
      <alignment horizontal="center" vertical="center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17" fontId="12" fillId="0" borderId="0" xfId="0" applyNumberFormat="1" applyFont="1" applyAlignment="1" applyProtection="1">
      <alignment horizontal="center" vertical="center"/>
      <protection locked="0"/>
    </xf>
    <xf numFmtId="164" fontId="12" fillId="0" borderId="0" xfId="0" applyNumberFormat="1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64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9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11" fillId="2" borderId="13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 applyProtection="1">
      <alignment vertical="center"/>
      <protection locked="0"/>
    </xf>
    <xf numFmtId="0" fontId="27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 wrapText="1"/>
      <protection locked="0"/>
    </xf>
    <xf numFmtId="0" fontId="26" fillId="0" borderId="0" xfId="0" applyFont="1" applyAlignment="1">
      <alignment vertical="center"/>
    </xf>
    <xf numFmtId="0" fontId="25" fillId="0" borderId="0" xfId="0" applyFont="1" applyAlignment="1" applyProtection="1">
      <alignment horizontal="center" vertical="center"/>
      <protection locked="0"/>
    </xf>
    <xf numFmtId="0" fontId="28" fillId="0" borderId="0" xfId="0" applyFont="1" applyAlignment="1">
      <alignment horizontal="right"/>
    </xf>
    <xf numFmtId="0" fontId="29" fillId="0" borderId="0" xfId="0" applyFont="1" applyAlignment="1" applyProtection="1">
      <alignment horizontal="center"/>
      <protection locked="0"/>
    </xf>
    <xf numFmtId="0" fontId="30" fillId="0" borderId="0" xfId="0" applyFont="1"/>
    <xf numFmtId="0" fontId="30" fillId="0" borderId="0" xfId="0" applyFont="1" applyAlignment="1" applyProtection="1">
      <alignment vertical="center"/>
      <protection locked="0"/>
    </xf>
    <xf numFmtId="0" fontId="31" fillId="0" borderId="0" xfId="0" applyFont="1" applyAlignment="1" applyProtection="1">
      <alignment vertical="center"/>
      <protection locked="0"/>
    </xf>
    <xf numFmtId="0" fontId="29" fillId="0" borderId="0" xfId="0" applyFont="1" applyAlignment="1" applyProtection="1">
      <alignment horizontal="center" wrapText="1"/>
      <protection locked="0"/>
    </xf>
    <xf numFmtId="0" fontId="28" fillId="0" borderId="4" xfId="0" applyFont="1" applyBorder="1" applyAlignment="1">
      <alignment vertical="center"/>
    </xf>
    <xf numFmtId="0" fontId="27" fillId="0" borderId="0" xfId="0" applyFont="1"/>
    <xf numFmtId="0" fontId="30" fillId="2" borderId="13" xfId="0" applyFont="1" applyFill="1" applyBorder="1" applyAlignment="1">
      <alignment horizontal="center" vertical="center" wrapText="1"/>
    </xf>
    <xf numFmtId="0" fontId="31" fillId="0" borderId="0" xfId="0" applyFont="1"/>
    <xf numFmtId="0" fontId="30" fillId="2" borderId="3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/>
    </xf>
    <xf numFmtId="3" fontId="29" fillId="0" borderId="5" xfId="1" applyNumberFormat="1" applyFont="1" applyBorder="1" applyAlignment="1">
      <alignment horizontal="center" vertical="center" wrapText="1"/>
    </xf>
    <xf numFmtId="3" fontId="29" fillId="0" borderId="5" xfId="0" applyNumberFormat="1" applyFont="1" applyBorder="1" applyAlignment="1">
      <alignment horizontal="center" vertical="center"/>
    </xf>
    <xf numFmtId="0" fontId="29" fillId="0" borderId="5" xfId="1" applyFont="1" applyBorder="1" applyAlignment="1">
      <alignment horizontal="center" vertical="center"/>
    </xf>
    <xf numFmtId="17" fontId="29" fillId="0" borderId="5" xfId="1" applyNumberFormat="1" applyFont="1" applyBorder="1" applyAlignment="1">
      <alignment horizontal="center" vertical="center"/>
    </xf>
    <xf numFmtId="3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3" fontId="29" fillId="0" borderId="3" xfId="1" applyNumberFormat="1" applyFont="1" applyBorder="1" applyAlignment="1">
      <alignment horizontal="center" vertical="center" wrapText="1"/>
    </xf>
    <xf numFmtId="3" fontId="29" fillId="0" borderId="3" xfId="0" applyNumberFormat="1" applyFont="1" applyBorder="1" applyAlignment="1">
      <alignment horizontal="center" vertical="center"/>
    </xf>
    <xf numFmtId="0" fontId="29" fillId="0" borderId="3" xfId="1" applyFont="1" applyBorder="1" applyAlignment="1">
      <alignment horizontal="center" vertical="center"/>
    </xf>
    <xf numFmtId="3" fontId="29" fillId="0" borderId="6" xfId="1" applyNumberFormat="1" applyFont="1" applyBorder="1" applyAlignment="1">
      <alignment horizontal="center" vertical="center" wrapText="1"/>
    </xf>
    <xf numFmtId="3" fontId="29" fillId="0" borderId="6" xfId="0" applyNumberFormat="1" applyFont="1" applyBorder="1" applyAlignment="1">
      <alignment horizontal="center" vertical="center"/>
    </xf>
    <xf numFmtId="0" fontId="29" fillId="0" borderId="6" xfId="1" applyFont="1" applyBorder="1" applyAlignment="1">
      <alignment horizontal="center" vertical="center"/>
    </xf>
    <xf numFmtId="17" fontId="29" fillId="0" borderId="6" xfId="1" applyNumberFormat="1" applyFont="1" applyBorder="1" applyAlignment="1">
      <alignment horizontal="center" vertical="center"/>
    </xf>
    <xf numFmtId="17" fontId="29" fillId="0" borderId="6" xfId="0" applyNumberFormat="1" applyFont="1" applyBorder="1" applyAlignment="1">
      <alignment horizontal="center" vertical="center"/>
    </xf>
    <xf numFmtId="17" fontId="29" fillId="0" borderId="3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14" fontId="29" fillId="0" borderId="6" xfId="0" applyNumberFormat="1" applyFont="1" applyBorder="1" applyAlignment="1">
      <alignment horizontal="center" vertical="center"/>
    </xf>
    <xf numFmtId="3" fontId="35" fillId="0" borderId="6" xfId="1" applyNumberFormat="1" applyFont="1" applyBorder="1" applyAlignment="1">
      <alignment horizontal="center" vertical="center" wrapText="1"/>
    </xf>
    <xf numFmtId="3" fontId="35" fillId="0" borderId="3" xfId="1" applyNumberFormat="1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165" fontId="36" fillId="0" borderId="0" xfId="0" applyNumberFormat="1" applyFont="1" applyAlignment="1">
      <alignment horizontal="center" vertical="center"/>
    </xf>
    <xf numFmtId="0" fontId="37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1" fontId="28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3" fontId="29" fillId="0" borderId="0" xfId="0" applyNumberFormat="1" applyFont="1" applyAlignment="1" applyProtection="1">
      <alignment horizontal="center" vertical="center"/>
      <protection locked="0"/>
    </xf>
    <xf numFmtId="3" fontId="29" fillId="0" borderId="0" xfId="1" applyNumberFormat="1" applyFont="1" applyAlignment="1" applyProtection="1">
      <alignment horizontal="center" vertical="center" wrapText="1"/>
      <protection locked="0"/>
    </xf>
    <xf numFmtId="0" fontId="29" fillId="0" borderId="0" xfId="0" applyFont="1" applyAlignment="1" applyProtection="1">
      <alignment horizontal="center" vertical="center"/>
      <protection locked="0"/>
    </xf>
    <xf numFmtId="17" fontId="29" fillId="0" borderId="0" xfId="0" applyNumberFormat="1" applyFont="1" applyAlignment="1" applyProtection="1">
      <alignment horizontal="center" vertical="center"/>
      <protection locked="0"/>
    </xf>
    <xf numFmtId="165" fontId="28" fillId="0" borderId="0" xfId="0" applyNumberFormat="1" applyFont="1" applyAlignment="1" applyProtection="1">
      <alignment horizontal="center" vertical="center"/>
      <protection locked="0"/>
    </xf>
    <xf numFmtId="1" fontId="28" fillId="0" borderId="0" xfId="0" applyNumberFormat="1" applyFont="1" applyAlignment="1">
      <alignment horizontal="center" vertical="center"/>
    </xf>
    <xf numFmtId="0" fontId="29" fillId="0" borderId="4" xfId="0" applyFont="1" applyBorder="1" applyAlignment="1" applyProtection="1">
      <alignment horizontal="center" vertical="center"/>
      <protection locked="0"/>
    </xf>
    <xf numFmtId="0" fontId="29" fillId="0" borderId="4" xfId="0" applyFont="1" applyBorder="1" applyAlignment="1" applyProtection="1">
      <alignment vertical="center"/>
      <protection locked="0"/>
    </xf>
    <xf numFmtId="0" fontId="30" fillId="0" borderId="0" xfId="0" applyFont="1" applyAlignment="1" applyProtection="1">
      <alignment vertical="center" wrapText="1"/>
      <protection locked="0"/>
    </xf>
    <xf numFmtId="17" fontId="31" fillId="0" borderId="0" xfId="0" applyNumberFormat="1" applyFont="1" applyAlignment="1" applyProtection="1">
      <alignment horizontal="center" vertical="center"/>
      <protection locked="0"/>
    </xf>
    <xf numFmtId="164" fontId="31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164" fontId="3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9" fillId="0" borderId="0" xfId="0" applyFont="1" applyAlignment="1" applyProtection="1">
      <alignment vertical="center"/>
      <protection locked="0"/>
    </xf>
    <xf numFmtId="0" fontId="31" fillId="0" borderId="1" xfId="0" applyFont="1" applyBorder="1" applyAlignment="1" applyProtection="1">
      <alignment vertical="center"/>
      <protection locked="0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40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>
      <alignment horizontal="center" vertical="center"/>
    </xf>
    <xf numFmtId="0" fontId="41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42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vertical="center"/>
      <protection locked="0"/>
    </xf>
    <xf numFmtId="0" fontId="27" fillId="0" borderId="0" xfId="0" applyFont="1" applyAlignment="1" applyProtection="1">
      <alignment horizontal="right" vertical="center"/>
      <protection locked="0"/>
    </xf>
    <xf numFmtId="0" fontId="32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6" fillId="0" borderId="0" xfId="0" applyFont="1" applyAlignment="1" applyProtection="1">
      <alignment horizontal="center" vertical="center"/>
      <protection locked="0"/>
    </xf>
    <xf numFmtId="0" fontId="30" fillId="2" borderId="14" xfId="0" applyFont="1" applyFill="1" applyBorder="1" applyAlignment="1">
      <alignment horizontal="center" vertical="center" wrapText="1"/>
    </xf>
    <xf numFmtId="0" fontId="30" fillId="2" borderId="15" xfId="0" applyFont="1" applyFill="1" applyBorder="1" applyAlignment="1">
      <alignment horizontal="center" vertical="center" wrapText="1"/>
    </xf>
    <xf numFmtId="3" fontId="33" fillId="0" borderId="14" xfId="0" applyNumberFormat="1" applyFont="1" applyBorder="1" applyAlignment="1">
      <alignment horizontal="center" vertical="center"/>
    </xf>
    <xf numFmtId="3" fontId="33" fillId="0" borderId="15" xfId="0" applyNumberFormat="1" applyFont="1" applyBorder="1" applyAlignment="1">
      <alignment horizontal="center" vertical="center"/>
    </xf>
    <xf numFmtId="3" fontId="31" fillId="0" borderId="13" xfId="0" applyNumberFormat="1" applyFont="1" applyBorder="1" applyAlignment="1">
      <alignment horizontal="center" vertical="center" wrapText="1"/>
    </xf>
    <xf numFmtId="3" fontId="31" fillId="0" borderId="16" xfId="0" applyNumberFormat="1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/>
    </xf>
    <xf numFmtId="0" fontId="32" fillId="4" borderId="17" xfId="0" applyFont="1" applyFill="1" applyBorder="1" applyAlignment="1">
      <alignment horizontal="center" vertical="center"/>
    </xf>
    <xf numFmtId="1" fontId="36" fillId="0" borderId="18" xfId="0" applyNumberFormat="1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30" fillId="0" borderId="1" xfId="0" applyFont="1" applyBorder="1" applyAlignment="1" applyProtection="1">
      <alignment horizontal="center" vertical="center"/>
      <protection locked="0"/>
    </xf>
    <xf numFmtId="0" fontId="32" fillId="0" borderId="19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3" fontId="34" fillId="0" borderId="14" xfId="0" applyNumberFormat="1" applyFont="1" applyBorder="1" applyAlignment="1">
      <alignment horizontal="center" vertical="center"/>
    </xf>
    <xf numFmtId="3" fontId="34" fillId="0" borderId="15" xfId="0" applyNumberFormat="1" applyFont="1" applyBorder="1" applyAlignment="1">
      <alignment horizontal="center" vertical="center"/>
    </xf>
    <xf numFmtId="17" fontId="29" fillId="0" borderId="21" xfId="0" applyNumberFormat="1" applyFont="1" applyBorder="1" applyAlignment="1">
      <alignment horizontal="center" vertical="center"/>
    </xf>
    <xf numFmtId="17" fontId="29" fillId="0" borderId="22" xfId="0" applyNumberFormat="1" applyFont="1" applyBorder="1" applyAlignment="1">
      <alignment horizontal="center" vertical="center"/>
    </xf>
    <xf numFmtId="1" fontId="32" fillId="0" borderId="14" xfId="0" applyNumberFormat="1" applyFont="1" applyBorder="1" applyAlignment="1">
      <alignment horizontal="center" vertical="center"/>
    </xf>
    <xf numFmtId="1" fontId="32" fillId="0" borderId="15" xfId="0" applyNumberFormat="1" applyFont="1" applyBorder="1" applyAlignment="1">
      <alignment horizontal="center" vertical="center"/>
    </xf>
    <xf numFmtId="165" fontId="29" fillId="0" borderId="21" xfId="0" applyNumberFormat="1" applyFont="1" applyBorder="1" applyAlignment="1">
      <alignment horizontal="center" vertical="center"/>
    </xf>
    <xf numFmtId="165" fontId="29" fillId="0" borderId="22" xfId="0" applyNumberFormat="1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14" fontId="29" fillId="0" borderId="24" xfId="1" applyNumberFormat="1" applyFont="1" applyBorder="1" applyAlignment="1">
      <alignment horizontal="center" vertical="center" wrapText="1"/>
    </xf>
    <xf numFmtId="14" fontId="29" fillId="0" borderId="12" xfId="1" applyNumberFormat="1" applyFont="1" applyBorder="1" applyAlignment="1">
      <alignment horizontal="center" vertical="center" wrapText="1"/>
    </xf>
    <xf numFmtId="14" fontId="29" fillId="0" borderId="21" xfId="1" applyNumberFormat="1" applyFont="1" applyBorder="1" applyAlignment="1">
      <alignment horizontal="center" vertical="center" wrapText="1"/>
    </xf>
    <xf numFmtId="14" fontId="29" fillId="0" borderId="22" xfId="1" applyNumberFormat="1" applyFont="1" applyBorder="1" applyAlignment="1">
      <alignment horizontal="center" vertical="center" wrapText="1"/>
    </xf>
    <xf numFmtId="14" fontId="29" fillId="0" borderId="21" xfId="0" applyNumberFormat="1" applyFont="1" applyBorder="1" applyAlignment="1">
      <alignment horizontal="center" vertical="center"/>
    </xf>
    <xf numFmtId="14" fontId="29" fillId="0" borderId="22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166" fontId="29" fillId="0" borderId="1" xfId="0" applyNumberFormat="1" applyFont="1" applyBorder="1" applyAlignment="1" applyProtection="1">
      <alignment horizontal="center"/>
      <protection locked="0"/>
    </xf>
    <xf numFmtId="0" fontId="29" fillId="0" borderId="1" xfId="0" applyFont="1" applyBorder="1" applyAlignment="1" applyProtection="1">
      <alignment horizontal="center"/>
      <protection locked="0"/>
    </xf>
    <xf numFmtId="0" fontId="32" fillId="0" borderId="32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wrapText="1"/>
    </xf>
    <xf numFmtId="0" fontId="32" fillId="0" borderId="7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 wrapText="1"/>
    </xf>
    <xf numFmtId="14" fontId="29" fillId="0" borderId="11" xfId="1" applyNumberFormat="1" applyFont="1" applyBorder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 wrapText="1"/>
    </xf>
    <xf numFmtId="0" fontId="30" fillId="2" borderId="28" xfId="0" applyFont="1" applyFill="1" applyBorder="1" applyAlignment="1">
      <alignment horizontal="center" vertical="center" wrapText="1"/>
    </xf>
    <xf numFmtId="0" fontId="30" fillId="2" borderId="29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horizontal="center" vertical="center"/>
    </xf>
    <xf numFmtId="0" fontId="30" fillId="3" borderId="22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center" wrapText="1"/>
    </xf>
    <xf numFmtId="0" fontId="30" fillId="2" borderId="25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3" fontId="9" fillId="0" borderId="14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14" fontId="10" fillId="0" borderId="24" xfId="1" applyNumberFormat="1" applyFont="1" applyBorder="1" applyAlignment="1">
      <alignment horizontal="center" vertical="center" wrapText="1"/>
    </xf>
    <xf numFmtId="14" fontId="10" fillId="0" borderId="12" xfId="1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14" fontId="10" fillId="0" borderId="11" xfId="1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4" fontId="10" fillId="0" borderId="21" xfId="1" applyNumberFormat="1" applyFont="1" applyBorder="1" applyAlignment="1">
      <alignment horizontal="center" vertical="center" wrapText="1"/>
    </xf>
    <xf numFmtId="14" fontId="10" fillId="0" borderId="22" xfId="1" applyNumberFormat="1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7" fontId="10" fillId="0" borderId="21" xfId="0" applyNumberFormat="1" applyFont="1" applyBorder="1" applyAlignment="1">
      <alignment horizontal="center" vertical="center"/>
    </xf>
    <xf numFmtId="17" fontId="10" fillId="0" borderId="22" xfId="0" applyNumberFormat="1" applyFont="1" applyBorder="1" applyAlignment="1">
      <alignment horizontal="center" vertical="center"/>
    </xf>
    <xf numFmtId="14" fontId="10" fillId="0" borderId="21" xfId="0" applyNumberFormat="1" applyFont="1" applyBorder="1" applyAlignment="1">
      <alignment horizontal="center" vertical="center"/>
    </xf>
    <xf numFmtId="14" fontId="10" fillId="0" borderId="22" xfId="0" applyNumberFormat="1" applyFont="1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 vertical="center"/>
    </xf>
    <xf numFmtId="165" fontId="10" fillId="0" borderId="22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1" fontId="9" fillId="0" borderId="14" xfId="0" applyNumberFormat="1" applyFont="1" applyBorder="1" applyAlignment="1">
      <alignment horizontal="center" vertical="center"/>
    </xf>
    <xf numFmtId="1" fontId="9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3" fontId="24" fillId="0" borderId="14" xfId="0" applyNumberFormat="1" applyFont="1" applyBorder="1" applyAlignment="1">
      <alignment horizontal="center" vertical="center"/>
    </xf>
    <xf numFmtId="3" fontId="24" fillId="0" borderId="15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3" fontId="10" fillId="0" borderId="14" xfId="0" applyNumberFormat="1" applyFont="1" applyBorder="1" applyAlignment="1">
      <alignment horizontal="center" vertical="center"/>
    </xf>
    <xf numFmtId="3" fontId="10" fillId="0" borderId="15" xfId="0" applyNumberFormat="1" applyFont="1" applyBorder="1" applyAlignment="1">
      <alignment horizontal="center" vertical="center"/>
    </xf>
    <xf numFmtId="3" fontId="12" fillId="0" borderId="13" xfId="0" applyNumberFormat="1" applyFont="1" applyBorder="1" applyAlignment="1">
      <alignment horizontal="center" vertical="center" wrapText="1"/>
    </xf>
    <xf numFmtId="3" fontId="12" fillId="0" borderId="16" xfId="0" applyNumberFormat="1" applyFont="1" applyBorder="1" applyAlignment="1">
      <alignment horizontal="center" vertical="center" wrapText="1"/>
    </xf>
    <xf numFmtId="3" fontId="10" fillId="0" borderId="13" xfId="0" applyNumberFormat="1" applyFont="1" applyBorder="1" applyAlignment="1">
      <alignment horizontal="center" vertical="center" wrapText="1"/>
    </xf>
    <xf numFmtId="3" fontId="10" fillId="0" borderId="16" xfId="0" applyNumberFormat="1" applyFont="1" applyBorder="1" applyAlignment="1">
      <alignment horizontal="center" vertical="center" wrapText="1"/>
    </xf>
    <xf numFmtId="3" fontId="17" fillId="0" borderId="13" xfId="0" applyNumberFormat="1" applyFont="1" applyBorder="1" applyAlignment="1">
      <alignment horizontal="center" vertical="center" wrapText="1"/>
    </xf>
    <xf numFmtId="3" fontId="17" fillId="0" borderId="16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1" fillId="2" borderId="19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166" fontId="10" fillId="0" borderId="1" xfId="0" applyNumberFormat="1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3" fontId="34" fillId="5" borderId="14" xfId="0" applyNumberFormat="1" applyFont="1" applyFill="1" applyBorder="1" applyAlignment="1">
      <alignment horizontal="center" vertical="center"/>
    </xf>
    <xf numFmtId="3" fontId="34" fillId="5" borderId="1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62102" name="Line 31">
          <a:extLst>
            <a:ext uri="{FF2B5EF4-FFF2-40B4-BE49-F238E27FC236}">
              <a16:creationId xmlns:a16="http://schemas.microsoft.com/office/drawing/2014/main" id="{5105B88D-BDCD-46AF-9464-09E6639B0F26}"/>
            </a:ext>
          </a:extLst>
        </xdr:cNvPr>
        <xdr:cNvSpPr>
          <a:spLocks noChangeShapeType="1"/>
        </xdr:cNvSpPr>
      </xdr:nvSpPr>
      <xdr:spPr bwMode="auto">
        <a:xfrm>
          <a:off x="15163800" y="1343977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CADDBBB4-7144-48C7-A6D0-641150CA4B69}"/>
            </a:ext>
          </a:extLst>
        </xdr:cNvPr>
        <xdr:cNvSpPr txBox="1"/>
      </xdr:nvSpPr>
      <xdr:spPr>
        <a:xfrm>
          <a:off x="34924" y="25576440"/>
          <a:ext cx="8565211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DA22C670-2F78-458A-9E3E-874F09625023}"/>
            </a:ext>
          </a:extLst>
        </xdr:cNvPr>
        <xdr:cNvSpPr txBox="1"/>
      </xdr:nvSpPr>
      <xdr:spPr>
        <a:xfrm>
          <a:off x="16099960" y="25459899"/>
          <a:ext cx="7975321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95250</xdr:colOff>
      <xdr:row>0</xdr:row>
      <xdr:rowOff>76200</xdr:rowOff>
    </xdr:from>
    <xdr:to>
      <xdr:col>2</xdr:col>
      <xdr:colOff>1045680</xdr:colOff>
      <xdr:row>5</xdr:row>
      <xdr:rowOff>7276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1917F1-8DD9-4FE9-8CA5-F989F1FAA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76200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7</xdr:col>
      <xdr:colOff>1527827</xdr:colOff>
      <xdr:row>0</xdr:row>
      <xdr:rowOff>76548</xdr:rowOff>
    </xdr:from>
    <xdr:to>
      <xdr:col>10</xdr:col>
      <xdr:colOff>2627525</xdr:colOff>
      <xdr:row>5</xdr:row>
      <xdr:rowOff>7275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E4C245-AA96-4D16-9A7D-9F2979CAC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01277" y="76548"/>
          <a:ext cx="6376548" cy="18357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40</xdr:row>
      <xdr:rowOff>0</xdr:rowOff>
    </xdr:from>
    <xdr:to>
      <xdr:col>4</xdr:col>
      <xdr:colOff>933450</xdr:colOff>
      <xdr:row>40</xdr:row>
      <xdr:rowOff>0</xdr:rowOff>
    </xdr:to>
    <xdr:sp macro="" textlink="">
      <xdr:nvSpPr>
        <xdr:cNvPr id="272113" name="Line 29">
          <a:extLst>
            <a:ext uri="{FF2B5EF4-FFF2-40B4-BE49-F238E27FC236}">
              <a16:creationId xmlns:a16="http://schemas.microsoft.com/office/drawing/2014/main" id="{7FC1C7F4-909F-45CE-8930-4A38EC4DC319}"/>
            </a:ext>
          </a:extLst>
        </xdr:cNvPr>
        <xdr:cNvSpPr>
          <a:spLocks noChangeShapeType="1"/>
        </xdr:cNvSpPr>
      </xdr:nvSpPr>
      <xdr:spPr bwMode="auto">
        <a:xfrm>
          <a:off x="11182350" y="119443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571500</xdr:colOff>
      <xdr:row>38</xdr:row>
      <xdr:rowOff>0</xdr:rowOff>
    </xdr:from>
    <xdr:to>
      <xdr:col>4</xdr:col>
      <xdr:colOff>933450</xdr:colOff>
      <xdr:row>38</xdr:row>
      <xdr:rowOff>0</xdr:rowOff>
    </xdr:to>
    <xdr:sp macro="" textlink="">
      <xdr:nvSpPr>
        <xdr:cNvPr id="272114" name="Line 31">
          <a:extLst>
            <a:ext uri="{FF2B5EF4-FFF2-40B4-BE49-F238E27FC236}">
              <a16:creationId xmlns:a16="http://schemas.microsoft.com/office/drawing/2014/main" id="{D4F43734-A538-4BFE-B8C4-190972ED25D9}"/>
            </a:ext>
          </a:extLst>
        </xdr:cNvPr>
        <xdr:cNvSpPr>
          <a:spLocks noChangeShapeType="1"/>
        </xdr:cNvSpPr>
      </xdr:nvSpPr>
      <xdr:spPr bwMode="auto">
        <a:xfrm>
          <a:off x="11182350" y="112680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40</xdr:row>
      <xdr:rowOff>0</xdr:rowOff>
    </xdr:from>
    <xdr:to>
      <xdr:col>4</xdr:col>
      <xdr:colOff>952500</xdr:colOff>
      <xdr:row>40</xdr:row>
      <xdr:rowOff>0</xdr:rowOff>
    </xdr:to>
    <xdr:sp macro="" textlink="">
      <xdr:nvSpPr>
        <xdr:cNvPr id="283327" name="Line 29">
          <a:extLst>
            <a:ext uri="{FF2B5EF4-FFF2-40B4-BE49-F238E27FC236}">
              <a16:creationId xmlns:a16="http://schemas.microsoft.com/office/drawing/2014/main" id="{CB0121E7-D30F-46A8-A97E-9E97B2581720}"/>
            </a:ext>
          </a:extLst>
        </xdr:cNvPr>
        <xdr:cNvSpPr>
          <a:spLocks noChangeShapeType="1"/>
        </xdr:cNvSpPr>
      </xdr:nvSpPr>
      <xdr:spPr bwMode="auto">
        <a:xfrm>
          <a:off x="10715625" y="131445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581025</xdr:colOff>
      <xdr:row>38</xdr:row>
      <xdr:rowOff>0</xdr:rowOff>
    </xdr:from>
    <xdr:to>
      <xdr:col>4</xdr:col>
      <xdr:colOff>952500</xdr:colOff>
      <xdr:row>38</xdr:row>
      <xdr:rowOff>0</xdr:rowOff>
    </xdr:to>
    <xdr:sp macro="" textlink="">
      <xdr:nvSpPr>
        <xdr:cNvPr id="283328" name="Line 31">
          <a:extLst>
            <a:ext uri="{FF2B5EF4-FFF2-40B4-BE49-F238E27FC236}">
              <a16:creationId xmlns:a16="http://schemas.microsoft.com/office/drawing/2014/main" id="{B1878330-BA93-4A01-BCD7-8C9DDB3A5B20}"/>
            </a:ext>
          </a:extLst>
        </xdr:cNvPr>
        <xdr:cNvSpPr>
          <a:spLocks noChangeShapeType="1"/>
        </xdr:cNvSpPr>
      </xdr:nvSpPr>
      <xdr:spPr bwMode="auto">
        <a:xfrm>
          <a:off x="10715625" y="12468225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684234</xdr:colOff>
      <xdr:row>0</xdr:row>
      <xdr:rowOff>179366</xdr:rowOff>
    </xdr:from>
    <xdr:to>
      <xdr:col>1</xdr:col>
      <xdr:colOff>978206</xdr:colOff>
      <xdr:row>6</xdr:row>
      <xdr:rowOff>71436</xdr:rowOff>
    </xdr:to>
    <xdr:pic>
      <xdr:nvPicPr>
        <xdr:cNvPr id="10" name="3 Imagen">
          <a:extLst>
            <a:ext uri="{FF2B5EF4-FFF2-40B4-BE49-F238E27FC236}">
              <a16:creationId xmlns:a16="http://schemas.microsoft.com/office/drawing/2014/main" id="{3D46FE93-E27C-43B9-884C-A9276EA29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bg1">
              <a:lumMod val="95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87409" y="179366"/>
          <a:ext cx="3342171" cy="1535133"/>
        </a:xfrm>
        <a:prstGeom prst="rect">
          <a:avLst/>
        </a:prstGeom>
      </xdr:spPr>
    </xdr:pic>
    <xdr:clientData/>
  </xdr:twoCellAnchor>
  <xdr:twoCellAnchor>
    <xdr:from>
      <xdr:col>0</xdr:col>
      <xdr:colOff>2711902</xdr:colOff>
      <xdr:row>67</xdr:row>
      <xdr:rowOff>8165</xdr:rowOff>
    </xdr:from>
    <xdr:to>
      <xdr:col>2</xdr:col>
      <xdr:colOff>4254462</xdr:colOff>
      <xdr:row>74</xdr:row>
      <xdr:rowOff>13610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0D5F8661-6E74-47EC-B446-B516CA811325}"/>
            </a:ext>
          </a:extLst>
        </xdr:cNvPr>
        <xdr:cNvSpPr txBox="1"/>
      </xdr:nvSpPr>
      <xdr:spPr>
        <a:xfrm>
          <a:off x="2711902" y="24335015"/>
          <a:ext cx="5955848" cy="2672445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>
    <xdr:from>
      <xdr:col>5</xdr:col>
      <xdr:colOff>116114</xdr:colOff>
      <xdr:row>66</xdr:row>
      <xdr:rowOff>251279</xdr:rowOff>
    </xdr:from>
    <xdr:to>
      <xdr:col>8</xdr:col>
      <xdr:colOff>146503</xdr:colOff>
      <xdr:row>74</xdr:row>
      <xdr:rowOff>2724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4F7F93E5-9C4F-4F47-9542-6C5E56764E50}"/>
            </a:ext>
          </a:extLst>
        </xdr:cNvPr>
        <xdr:cNvSpPr txBox="1"/>
      </xdr:nvSpPr>
      <xdr:spPr>
        <a:xfrm>
          <a:off x="11447689" y="24324129"/>
          <a:ext cx="5265964" cy="2672445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>
    <xdr:from>
      <xdr:col>0</xdr:col>
      <xdr:colOff>309562</xdr:colOff>
      <xdr:row>67</xdr:row>
      <xdr:rowOff>8165</xdr:rowOff>
    </xdr:from>
    <xdr:to>
      <xdr:col>2</xdr:col>
      <xdr:colOff>4253827</xdr:colOff>
      <xdr:row>86</xdr:row>
      <xdr:rowOff>119062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102C25E7-37FD-4313-A32C-D50884504AA2}"/>
            </a:ext>
          </a:extLst>
        </xdr:cNvPr>
        <xdr:cNvSpPr txBox="1"/>
      </xdr:nvSpPr>
      <xdr:spPr>
        <a:xfrm>
          <a:off x="309562" y="20486915"/>
          <a:ext cx="8358188" cy="3282722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>
    <xdr:from>
      <xdr:col>5</xdr:col>
      <xdr:colOff>116114</xdr:colOff>
      <xdr:row>67</xdr:row>
      <xdr:rowOff>454</xdr:rowOff>
    </xdr:from>
    <xdr:to>
      <xdr:col>8</xdr:col>
      <xdr:colOff>2241427</xdr:colOff>
      <xdr:row>86</xdr:row>
      <xdr:rowOff>47624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FF5653E1-18BD-4A1E-A2C6-A2E098A31538}"/>
            </a:ext>
          </a:extLst>
        </xdr:cNvPr>
        <xdr:cNvSpPr txBox="1"/>
      </xdr:nvSpPr>
      <xdr:spPr>
        <a:xfrm>
          <a:off x="11733439" y="20476029"/>
          <a:ext cx="7697560" cy="3222170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 editAs="oneCell">
    <xdr:from>
      <xdr:col>7</xdr:col>
      <xdr:colOff>1562100</xdr:colOff>
      <xdr:row>0</xdr:row>
      <xdr:rowOff>0</xdr:rowOff>
    </xdr:from>
    <xdr:to>
      <xdr:col>8</xdr:col>
      <xdr:colOff>2466975</xdr:colOff>
      <xdr:row>6</xdr:row>
      <xdr:rowOff>104775</xdr:rowOff>
    </xdr:to>
    <xdr:pic>
      <xdr:nvPicPr>
        <xdr:cNvPr id="283334" name="49 Imagen">
          <a:extLst>
            <a:ext uri="{FF2B5EF4-FFF2-40B4-BE49-F238E27FC236}">
              <a16:creationId xmlns:a16="http://schemas.microsoft.com/office/drawing/2014/main" id="{840588CE-99FB-4C1B-AC48-DF537B98A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6825" y="0"/>
          <a:ext cx="37338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40</xdr:row>
      <xdr:rowOff>0</xdr:rowOff>
    </xdr:from>
    <xdr:to>
      <xdr:col>4</xdr:col>
      <xdr:colOff>952500</xdr:colOff>
      <xdr:row>40</xdr:row>
      <xdr:rowOff>0</xdr:rowOff>
    </xdr:to>
    <xdr:sp macro="" textlink="">
      <xdr:nvSpPr>
        <xdr:cNvPr id="287192" name="Line 29">
          <a:extLst>
            <a:ext uri="{FF2B5EF4-FFF2-40B4-BE49-F238E27FC236}">
              <a16:creationId xmlns:a16="http://schemas.microsoft.com/office/drawing/2014/main" id="{4B25B836-6255-40FB-98B2-4A3E8B0D4A2D}"/>
            </a:ext>
          </a:extLst>
        </xdr:cNvPr>
        <xdr:cNvSpPr>
          <a:spLocks noChangeShapeType="1"/>
        </xdr:cNvSpPr>
      </xdr:nvSpPr>
      <xdr:spPr bwMode="auto">
        <a:xfrm>
          <a:off x="9525000" y="13649325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581025</xdr:colOff>
      <xdr:row>38</xdr:row>
      <xdr:rowOff>0</xdr:rowOff>
    </xdr:from>
    <xdr:to>
      <xdr:col>4</xdr:col>
      <xdr:colOff>952500</xdr:colOff>
      <xdr:row>38</xdr:row>
      <xdr:rowOff>0</xdr:rowOff>
    </xdr:to>
    <xdr:sp macro="" textlink="">
      <xdr:nvSpPr>
        <xdr:cNvPr id="287193" name="Line 31">
          <a:extLst>
            <a:ext uri="{FF2B5EF4-FFF2-40B4-BE49-F238E27FC236}">
              <a16:creationId xmlns:a16="http://schemas.microsoft.com/office/drawing/2014/main" id="{1A7BCBB2-9DF5-4D01-A0E6-E522503C7668}"/>
            </a:ext>
          </a:extLst>
        </xdr:cNvPr>
        <xdr:cNvSpPr>
          <a:spLocks noChangeShapeType="1"/>
        </xdr:cNvSpPr>
      </xdr:nvSpPr>
      <xdr:spPr bwMode="auto">
        <a:xfrm>
          <a:off x="9525000" y="1297305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684234</xdr:colOff>
      <xdr:row>0</xdr:row>
      <xdr:rowOff>179366</xdr:rowOff>
    </xdr:from>
    <xdr:to>
      <xdr:col>2</xdr:col>
      <xdr:colOff>150163</xdr:colOff>
      <xdr:row>5</xdr:row>
      <xdr:rowOff>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28536B90-27CC-4E33-BFF3-049B2574B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bg1">
              <a:lumMod val="95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87409" y="179366"/>
          <a:ext cx="3351696" cy="1506559"/>
        </a:xfrm>
        <a:prstGeom prst="rect">
          <a:avLst/>
        </a:prstGeom>
      </xdr:spPr>
    </xdr:pic>
    <xdr:clientData/>
  </xdr:twoCellAnchor>
  <xdr:twoCellAnchor>
    <xdr:from>
      <xdr:col>0</xdr:col>
      <xdr:colOff>309562</xdr:colOff>
      <xdr:row>67</xdr:row>
      <xdr:rowOff>8165</xdr:rowOff>
    </xdr:from>
    <xdr:to>
      <xdr:col>2</xdr:col>
      <xdr:colOff>3822627</xdr:colOff>
      <xdr:row>86</xdr:row>
      <xdr:rowOff>119062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B0291873-B5DC-4BF2-A31B-097490ADC49D}"/>
            </a:ext>
          </a:extLst>
        </xdr:cNvPr>
        <xdr:cNvSpPr txBox="1"/>
      </xdr:nvSpPr>
      <xdr:spPr>
        <a:xfrm>
          <a:off x="309562" y="20486915"/>
          <a:ext cx="8358188" cy="3282722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>
    <xdr:from>
      <xdr:col>5</xdr:col>
      <xdr:colOff>116114</xdr:colOff>
      <xdr:row>67</xdr:row>
      <xdr:rowOff>454</xdr:rowOff>
    </xdr:from>
    <xdr:to>
      <xdr:col>8</xdr:col>
      <xdr:colOff>2244436</xdr:colOff>
      <xdr:row>86</xdr:row>
      <xdr:rowOff>47624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6203B908-09D0-4A1A-92DC-86F6ADDA2A1E}"/>
            </a:ext>
          </a:extLst>
        </xdr:cNvPr>
        <xdr:cNvSpPr txBox="1"/>
      </xdr:nvSpPr>
      <xdr:spPr>
        <a:xfrm>
          <a:off x="11733439" y="20476029"/>
          <a:ext cx="7697560" cy="3222170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 editAs="oneCell">
    <xdr:from>
      <xdr:col>7</xdr:col>
      <xdr:colOff>400050</xdr:colOff>
      <xdr:row>0</xdr:row>
      <xdr:rowOff>95250</xdr:rowOff>
    </xdr:from>
    <xdr:to>
      <xdr:col>8</xdr:col>
      <xdr:colOff>2924175</xdr:colOff>
      <xdr:row>5</xdr:row>
      <xdr:rowOff>161925</xdr:rowOff>
    </xdr:to>
    <xdr:pic>
      <xdr:nvPicPr>
        <xdr:cNvPr id="287197" name="49 Imagen">
          <a:extLst>
            <a:ext uri="{FF2B5EF4-FFF2-40B4-BE49-F238E27FC236}">
              <a16:creationId xmlns:a16="http://schemas.microsoft.com/office/drawing/2014/main" id="{B97D1178-A899-41F7-B5F1-4BE6C59D3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5550" y="95250"/>
          <a:ext cx="3733800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40</xdr:row>
      <xdr:rowOff>0</xdr:rowOff>
    </xdr:from>
    <xdr:to>
      <xdr:col>4</xdr:col>
      <xdr:colOff>942975</xdr:colOff>
      <xdr:row>40</xdr:row>
      <xdr:rowOff>0</xdr:rowOff>
    </xdr:to>
    <xdr:sp macro="" textlink="">
      <xdr:nvSpPr>
        <xdr:cNvPr id="288218" name="Line 29">
          <a:extLst>
            <a:ext uri="{FF2B5EF4-FFF2-40B4-BE49-F238E27FC236}">
              <a16:creationId xmlns:a16="http://schemas.microsoft.com/office/drawing/2014/main" id="{DCE6CEE2-A1AE-4E47-BB15-45A1AFFCDE0D}"/>
            </a:ext>
          </a:extLst>
        </xdr:cNvPr>
        <xdr:cNvSpPr>
          <a:spLocks noChangeShapeType="1"/>
        </xdr:cNvSpPr>
      </xdr:nvSpPr>
      <xdr:spPr bwMode="auto">
        <a:xfrm>
          <a:off x="9372600" y="13020675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571500</xdr:colOff>
      <xdr:row>38</xdr:row>
      <xdr:rowOff>0</xdr:rowOff>
    </xdr:from>
    <xdr:to>
      <xdr:col>4</xdr:col>
      <xdr:colOff>942975</xdr:colOff>
      <xdr:row>38</xdr:row>
      <xdr:rowOff>0</xdr:rowOff>
    </xdr:to>
    <xdr:sp macro="" textlink="">
      <xdr:nvSpPr>
        <xdr:cNvPr id="288219" name="Line 31">
          <a:extLst>
            <a:ext uri="{FF2B5EF4-FFF2-40B4-BE49-F238E27FC236}">
              <a16:creationId xmlns:a16="http://schemas.microsoft.com/office/drawing/2014/main" id="{BEE78D90-4E0B-4510-BF5F-C03FD1501A42}"/>
            </a:ext>
          </a:extLst>
        </xdr:cNvPr>
        <xdr:cNvSpPr>
          <a:spLocks noChangeShapeType="1"/>
        </xdr:cNvSpPr>
      </xdr:nvSpPr>
      <xdr:spPr bwMode="auto">
        <a:xfrm>
          <a:off x="9372600" y="123444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684234</xdr:colOff>
      <xdr:row>0</xdr:row>
      <xdr:rowOff>179367</xdr:rowOff>
    </xdr:from>
    <xdr:to>
      <xdr:col>2</xdr:col>
      <xdr:colOff>337287</xdr:colOff>
      <xdr:row>4</xdr:row>
      <xdr:rowOff>371476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FA2730D1-137E-4E2C-98CF-6BE33C1E2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bg1">
              <a:lumMod val="95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87409" y="179367"/>
          <a:ext cx="3351696" cy="1497034"/>
        </a:xfrm>
        <a:prstGeom prst="rect">
          <a:avLst/>
        </a:prstGeom>
      </xdr:spPr>
    </xdr:pic>
    <xdr:clientData/>
  </xdr:twoCellAnchor>
  <xdr:twoCellAnchor>
    <xdr:from>
      <xdr:col>0</xdr:col>
      <xdr:colOff>300037</xdr:colOff>
      <xdr:row>67</xdr:row>
      <xdr:rowOff>8165</xdr:rowOff>
    </xdr:from>
    <xdr:to>
      <xdr:col>2</xdr:col>
      <xdr:colOff>3901844</xdr:colOff>
      <xdr:row>86</xdr:row>
      <xdr:rowOff>119062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7C8AC79D-C227-4F73-8EEA-C1669A93DD4E}"/>
            </a:ext>
          </a:extLst>
        </xdr:cNvPr>
        <xdr:cNvSpPr txBox="1"/>
      </xdr:nvSpPr>
      <xdr:spPr>
        <a:xfrm>
          <a:off x="309562" y="20486915"/>
          <a:ext cx="8358188" cy="3282722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>
    <xdr:from>
      <xdr:col>5</xdr:col>
      <xdr:colOff>116114</xdr:colOff>
      <xdr:row>67</xdr:row>
      <xdr:rowOff>454</xdr:rowOff>
    </xdr:from>
    <xdr:to>
      <xdr:col>8</xdr:col>
      <xdr:colOff>2241407</xdr:colOff>
      <xdr:row>86</xdr:row>
      <xdr:rowOff>47624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AC495D90-7F3B-47AE-A4A1-C9EBB45C5CC7}"/>
            </a:ext>
          </a:extLst>
        </xdr:cNvPr>
        <xdr:cNvSpPr txBox="1"/>
      </xdr:nvSpPr>
      <xdr:spPr>
        <a:xfrm>
          <a:off x="11733439" y="20476029"/>
          <a:ext cx="7697560" cy="3222170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 editAs="oneCell">
    <xdr:from>
      <xdr:col>7</xdr:col>
      <xdr:colOff>457200</xdr:colOff>
      <xdr:row>0</xdr:row>
      <xdr:rowOff>152400</xdr:rowOff>
    </xdr:from>
    <xdr:to>
      <xdr:col>8</xdr:col>
      <xdr:colOff>2752725</xdr:colOff>
      <xdr:row>6</xdr:row>
      <xdr:rowOff>47625</xdr:rowOff>
    </xdr:to>
    <xdr:pic>
      <xdr:nvPicPr>
        <xdr:cNvPr id="288223" name="49 Imagen">
          <a:extLst>
            <a:ext uri="{FF2B5EF4-FFF2-40B4-BE49-F238E27FC236}">
              <a16:creationId xmlns:a16="http://schemas.microsoft.com/office/drawing/2014/main" id="{55D6F497-80F9-4602-8B83-2EB42E912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7450" y="152400"/>
          <a:ext cx="37433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38</xdr:row>
      <xdr:rowOff>0</xdr:rowOff>
    </xdr:from>
    <xdr:to>
      <xdr:col>4</xdr:col>
      <xdr:colOff>933450</xdr:colOff>
      <xdr:row>38</xdr:row>
      <xdr:rowOff>0</xdr:rowOff>
    </xdr:to>
    <xdr:sp macro="" textlink="">
      <xdr:nvSpPr>
        <xdr:cNvPr id="308366" name="Line 31">
          <a:extLst>
            <a:ext uri="{FF2B5EF4-FFF2-40B4-BE49-F238E27FC236}">
              <a16:creationId xmlns:a16="http://schemas.microsoft.com/office/drawing/2014/main" id="{8C36B527-091D-4BC2-8749-73BEBA09CE3E}"/>
            </a:ext>
          </a:extLst>
        </xdr:cNvPr>
        <xdr:cNvSpPr>
          <a:spLocks noChangeShapeType="1"/>
        </xdr:cNvSpPr>
      </xdr:nvSpPr>
      <xdr:spPr bwMode="auto">
        <a:xfrm>
          <a:off x="9610725" y="129730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684234</xdr:colOff>
      <xdr:row>0</xdr:row>
      <xdr:rowOff>179367</xdr:rowOff>
    </xdr:from>
    <xdr:to>
      <xdr:col>2</xdr:col>
      <xdr:colOff>77216</xdr:colOff>
      <xdr:row>4</xdr:row>
      <xdr:rowOff>371476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D1FE1F0F-6C82-4A58-8E58-12DBB7209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bg1">
              <a:lumMod val="95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87409" y="179367"/>
          <a:ext cx="3351696" cy="1497034"/>
        </a:xfrm>
        <a:prstGeom prst="rect">
          <a:avLst/>
        </a:prstGeom>
      </xdr:spPr>
    </xdr:pic>
    <xdr:clientData/>
  </xdr:twoCellAnchor>
  <xdr:twoCellAnchor>
    <xdr:from>
      <xdr:col>0</xdr:col>
      <xdr:colOff>309562</xdr:colOff>
      <xdr:row>67</xdr:row>
      <xdr:rowOff>8165</xdr:rowOff>
    </xdr:from>
    <xdr:to>
      <xdr:col>2</xdr:col>
      <xdr:colOff>3847981</xdr:colOff>
      <xdr:row>86</xdr:row>
      <xdr:rowOff>119062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A916368-59F7-4C5F-AA06-16663249E50B}"/>
            </a:ext>
          </a:extLst>
        </xdr:cNvPr>
        <xdr:cNvSpPr txBox="1"/>
      </xdr:nvSpPr>
      <xdr:spPr>
        <a:xfrm>
          <a:off x="309562" y="20486915"/>
          <a:ext cx="8358188" cy="3282722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>
    <xdr:from>
      <xdr:col>5</xdr:col>
      <xdr:colOff>116114</xdr:colOff>
      <xdr:row>67</xdr:row>
      <xdr:rowOff>454</xdr:rowOff>
    </xdr:from>
    <xdr:to>
      <xdr:col>8</xdr:col>
      <xdr:colOff>2244451</xdr:colOff>
      <xdr:row>86</xdr:row>
      <xdr:rowOff>47624</xdr:rowOff>
    </xdr:to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359605B1-9864-4CC7-92FC-C919DDFDBBFE}"/>
            </a:ext>
          </a:extLst>
        </xdr:cNvPr>
        <xdr:cNvSpPr txBox="1"/>
      </xdr:nvSpPr>
      <xdr:spPr>
        <a:xfrm>
          <a:off x="11733439" y="20476029"/>
          <a:ext cx="7697560" cy="3222170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 editAs="oneCell">
    <xdr:from>
      <xdr:col>7</xdr:col>
      <xdr:colOff>438150</xdr:colOff>
      <xdr:row>0</xdr:row>
      <xdr:rowOff>114300</xdr:rowOff>
    </xdr:from>
    <xdr:to>
      <xdr:col>8</xdr:col>
      <xdr:colOff>2657475</xdr:colOff>
      <xdr:row>6</xdr:row>
      <xdr:rowOff>9525</xdr:rowOff>
    </xdr:to>
    <xdr:pic>
      <xdr:nvPicPr>
        <xdr:cNvPr id="308370" name="49 Imagen">
          <a:extLst>
            <a:ext uri="{FF2B5EF4-FFF2-40B4-BE49-F238E27FC236}">
              <a16:creationId xmlns:a16="http://schemas.microsoft.com/office/drawing/2014/main" id="{CC273C94-BDD9-4D5B-8DD8-3FB138B50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0" y="114300"/>
          <a:ext cx="37433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40</xdr:row>
      <xdr:rowOff>0</xdr:rowOff>
    </xdr:from>
    <xdr:to>
      <xdr:col>4</xdr:col>
      <xdr:colOff>933450</xdr:colOff>
      <xdr:row>40</xdr:row>
      <xdr:rowOff>0</xdr:rowOff>
    </xdr:to>
    <xdr:sp macro="" textlink="">
      <xdr:nvSpPr>
        <xdr:cNvPr id="285151" name="Line 29">
          <a:extLst>
            <a:ext uri="{FF2B5EF4-FFF2-40B4-BE49-F238E27FC236}">
              <a16:creationId xmlns:a16="http://schemas.microsoft.com/office/drawing/2014/main" id="{84C429F8-EDB8-4D29-AC84-695EBFDD69E0}"/>
            </a:ext>
          </a:extLst>
        </xdr:cNvPr>
        <xdr:cNvSpPr>
          <a:spLocks noChangeShapeType="1"/>
        </xdr:cNvSpPr>
      </xdr:nvSpPr>
      <xdr:spPr bwMode="auto">
        <a:xfrm>
          <a:off x="9525000" y="1364932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571500</xdr:colOff>
      <xdr:row>38</xdr:row>
      <xdr:rowOff>0</xdr:rowOff>
    </xdr:from>
    <xdr:to>
      <xdr:col>4</xdr:col>
      <xdr:colOff>933450</xdr:colOff>
      <xdr:row>38</xdr:row>
      <xdr:rowOff>0</xdr:rowOff>
    </xdr:to>
    <xdr:sp macro="" textlink="">
      <xdr:nvSpPr>
        <xdr:cNvPr id="285152" name="Line 31">
          <a:extLst>
            <a:ext uri="{FF2B5EF4-FFF2-40B4-BE49-F238E27FC236}">
              <a16:creationId xmlns:a16="http://schemas.microsoft.com/office/drawing/2014/main" id="{62DC5E9E-0373-4CA4-A8F5-4FABC7699E90}"/>
            </a:ext>
          </a:extLst>
        </xdr:cNvPr>
        <xdr:cNvSpPr>
          <a:spLocks noChangeShapeType="1"/>
        </xdr:cNvSpPr>
      </xdr:nvSpPr>
      <xdr:spPr bwMode="auto">
        <a:xfrm>
          <a:off x="9525000" y="129730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684234</xdr:colOff>
      <xdr:row>0</xdr:row>
      <xdr:rowOff>207942</xdr:rowOff>
    </xdr:from>
    <xdr:to>
      <xdr:col>2</xdr:col>
      <xdr:colOff>219469</xdr:colOff>
      <xdr:row>5</xdr:row>
      <xdr:rowOff>19051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1E1EB963-8B2B-4CB2-99C0-91BF6B29B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bg1">
              <a:lumMod val="95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77884" y="207942"/>
          <a:ext cx="3351696" cy="1497034"/>
        </a:xfrm>
        <a:prstGeom prst="rect">
          <a:avLst/>
        </a:prstGeom>
      </xdr:spPr>
    </xdr:pic>
    <xdr:clientData/>
  </xdr:twoCellAnchor>
  <xdr:twoCellAnchor>
    <xdr:from>
      <xdr:col>0</xdr:col>
      <xdr:colOff>322262</xdr:colOff>
      <xdr:row>67</xdr:row>
      <xdr:rowOff>8165</xdr:rowOff>
    </xdr:from>
    <xdr:to>
      <xdr:col>2</xdr:col>
      <xdr:colOff>3927253</xdr:colOff>
      <xdr:row>86</xdr:row>
      <xdr:rowOff>119062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48DB4E5-B91A-4081-B015-213222883804}"/>
            </a:ext>
          </a:extLst>
        </xdr:cNvPr>
        <xdr:cNvSpPr txBox="1"/>
      </xdr:nvSpPr>
      <xdr:spPr>
        <a:xfrm>
          <a:off x="309562" y="20486915"/>
          <a:ext cx="8358188" cy="3282722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>
    <xdr:from>
      <xdr:col>5</xdr:col>
      <xdr:colOff>116114</xdr:colOff>
      <xdr:row>67</xdr:row>
      <xdr:rowOff>454</xdr:rowOff>
    </xdr:from>
    <xdr:to>
      <xdr:col>8</xdr:col>
      <xdr:colOff>2231879</xdr:colOff>
      <xdr:row>86</xdr:row>
      <xdr:rowOff>47624</xdr:rowOff>
    </xdr:to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0D175638-2970-4364-8C5D-FDBE7A1FA171}"/>
            </a:ext>
          </a:extLst>
        </xdr:cNvPr>
        <xdr:cNvSpPr txBox="1"/>
      </xdr:nvSpPr>
      <xdr:spPr>
        <a:xfrm>
          <a:off x="11733439" y="20476029"/>
          <a:ext cx="7697560" cy="3222170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 editAs="oneCell">
    <xdr:from>
      <xdr:col>7</xdr:col>
      <xdr:colOff>933450</xdr:colOff>
      <xdr:row>0</xdr:row>
      <xdr:rowOff>133350</xdr:rowOff>
    </xdr:from>
    <xdr:to>
      <xdr:col>8</xdr:col>
      <xdr:colOff>2619375</xdr:colOff>
      <xdr:row>6</xdr:row>
      <xdr:rowOff>28575</xdr:rowOff>
    </xdr:to>
    <xdr:pic>
      <xdr:nvPicPr>
        <xdr:cNvPr id="285156" name="49 Imagen">
          <a:extLst>
            <a:ext uri="{FF2B5EF4-FFF2-40B4-BE49-F238E27FC236}">
              <a16:creationId xmlns:a16="http://schemas.microsoft.com/office/drawing/2014/main" id="{EF3767F8-5AA2-4C29-A02B-AEA4830FE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0" y="133350"/>
          <a:ext cx="3733800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40</xdr:row>
      <xdr:rowOff>0</xdr:rowOff>
    </xdr:from>
    <xdr:to>
      <xdr:col>4</xdr:col>
      <xdr:colOff>952500</xdr:colOff>
      <xdr:row>40</xdr:row>
      <xdr:rowOff>0</xdr:rowOff>
    </xdr:to>
    <xdr:sp macro="" textlink="">
      <xdr:nvSpPr>
        <xdr:cNvPr id="291248" name="Line 29">
          <a:extLst>
            <a:ext uri="{FF2B5EF4-FFF2-40B4-BE49-F238E27FC236}">
              <a16:creationId xmlns:a16="http://schemas.microsoft.com/office/drawing/2014/main" id="{D6DC3633-1526-40F9-98CB-90583DA13EB0}"/>
            </a:ext>
          </a:extLst>
        </xdr:cNvPr>
        <xdr:cNvSpPr>
          <a:spLocks noChangeShapeType="1"/>
        </xdr:cNvSpPr>
      </xdr:nvSpPr>
      <xdr:spPr bwMode="auto">
        <a:xfrm>
          <a:off x="10172700" y="13630275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581025</xdr:colOff>
      <xdr:row>38</xdr:row>
      <xdr:rowOff>0</xdr:rowOff>
    </xdr:from>
    <xdr:to>
      <xdr:col>4</xdr:col>
      <xdr:colOff>952500</xdr:colOff>
      <xdr:row>38</xdr:row>
      <xdr:rowOff>0</xdr:rowOff>
    </xdr:to>
    <xdr:sp macro="" textlink="">
      <xdr:nvSpPr>
        <xdr:cNvPr id="291249" name="Line 31">
          <a:extLst>
            <a:ext uri="{FF2B5EF4-FFF2-40B4-BE49-F238E27FC236}">
              <a16:creationId xmlns:a16="http://schemas.microsoft.com/office/drawing/2014/main" id="{34481108-F85A-4A8F-8F6C-130F61688E49}"/>
            </a:ext>
          </a:extLst>
        </xdr:cNvPr>
        <xdr:cNvSpPr>
          <a:spLocks noChangeShapeType="1"/>
        </xdr:cNvSpPr>
      </xdr:nvSpPr>
      <xdr:spPr bwMode="auto">
        <a:xfrm>
          <a:off x="10172700" y="129540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684234</xdr:colOff>
      <xdr:row>0</xdr:row>
      <xdr:rowOff>179367</xdr:rowOff>
    </xdr:from>
    <xdr:to>
      <xdr:col>2</xdr:col>
      <xdr:colOff>86769</xdr:colOff>
      <xdr:row>4</xdr:row>
      <xdr:rowOff>361950</xdr:rowOff>
    </xdr:to>
    <xdr:pic>
      <xdr:nvPicPr>
        <xdr:cNvPr id="8" name="3 Imagen">
          <a:extLst>
            <a:ext uri="{FF2B5EF4-FFF2-40B4-BE49-F238E27FC236}">
              <a16:creationId xmlns:a16="http://schemas.microsoft.com/office/drawing/2014/main" id="{29BC4895-48BE-432A-AF91-322AD5675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bg1">
              <a:lumMod val="95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87409" y="179367"/>
          <a:ext cx="3351696" cy="1487508"/>
        </a:xfrm>
        <a:prstGeom prst="rect">
          <a:avLst/>
        </a:prstGeom>
      </xdr:spPr>
    </xdr:pic>
    <xdr:clientData/>
  </xdr:twoCellAnchor>
  <xdr:twoCellAnchor>
    <xdr:from>
      <xdr:col>0</xdr:col>
      <xdr:colOff>322262</xdr:colOff>
      <xdr:row>67</xdr:row>
      <xdr:rowOff>8165</xdr:rowOff>
    </xdr:from>
    <xdr:to>
      <xdr:col>2</xdr:col>
      <xdr:colOff>4180864</xdr:colOff>
      <xdr:row>86</xdr:row>
      <xdr:rowOff>119062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6E90C2F8-1416-407C-A655-D311FCB1EDC6}"/>
            </a:ext>
          </a:extLst>
        </xdr:cNvPr>
        <xdr:cNvSpPr txBox="1"/>
      </xdr:nvSpPr>
      <xdr:spPr>
        <a:xfrm>
          <a:off x="309562" y="20486915"/>
          <a:ext cx="8358188" cy="3282722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>
    <xdr:from>
      <xdr:col>5</xdr:col>
      <xdr:colOff>116114</xdr:colOff>
      <xdr:row>67</xdr:row>
      <xdr:rowOff>454</xdr:rowOff>
    </xdr:from>
    <xdr:to>
      <xdr:col>8</xdr:col>
      <xdr:colOff>2244439</xdr:colOff>
      <xdr:row>86</xdr:row>
      <xdr:rowOff>47624</xdr:rowOff>
    </xdr:to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6CF4F018-559A-4C67-8D8F-9C7564D8E4CF}"/>
            </a:ext>
          </a:extLst>
        </xdr:cNvPr>
        <xdr:cNvSpPr txBox="1"/>
      </xdr:nvSpPr>
      <xdr:spPr>
        <a:xfrm>
          <a:off x="11733439" y="20476029"/>
          <a:ext cx="7697560" cy="3222170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 editAs="oneCell">
    <xdr:from>
      <xdr:col>7</xdr:col>
      <xdr:colOff>342900</xdr:colOff>
      <xdr:row>0</xdr:row>
      <xdr:rowOff>152400</xdr:rowOff>
    </xdr:from>
    <xdr:to>
      <xdr:col>8</xdr:col>
      <xdr:colOff>2581275</xdr:colOff>
      <xdr:row>6</xdr:row>
      <xdr:rowOff>47625</xdr:rowOff>
    </xdr:to>
    <xdr:pic>
      <xdr:nvPicPr>
        <xdr:cNvPr id="291253" name="49 Imagen">
          <a:extLst>
            <a:ext uri="{FF2B5EF4-FFF2-40B4-BE49-F238E27FC236}">
              <a16:creationId xmlns:a16="http://schemas.microsoft.com/office/drawing/2014/main" id="{939ACF4E-11C4-4318-BF24-B165F459B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73225" y="152400"/>
          <a:ext cx="3733800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40</xdr:row>
      <xdr:rowOff>0</xdr:rowOff>
    </xdr:from>
    <xdr:to>
      <xdr:col>6</xdr:col>
      <xdr:colOff>942975</xdr:colOff>
      <xdr:row>40</xdr:row>
      <xdr:rowOff>0</xdr:rowOff>
    </xdr:to>
    <xdr:sp macro="" textlink="">
      <xdr:nvSpPr>
        <xdr:cNvPr id="2" name="Line 29">
          <a:extLst>
            <a:ext uri="{FF2B5EF4-FFF2-40B4-BE49-F238E27FC236}">
              <a16:creationId xmlns:a16="http://schemas.microsoft.com/office/drawing/2014/main" id="{4AF8511F-0EFB-4883-89F7-E0BC372AE195}"/>
            </a:ext>
          </a:extLst>
        </xdr:cNvPr>
        <xdr:cNvSpPr>
          <a:spLocks noChangeShapeType="1"/>
        </xdr:cNvSpPr>
      </xdr:nvSpPr>
      <xdr:spPr bwMode="auto">
        <a:xfrm>
          <a:off x="15087600" y="1418272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38</xdr:row>
      <xdr:rowOff>0</xdr:rowOff>
    </xdr:from>
    <xdr:to>
      <xdr:col>6</xdr:col>
      <xdr:colOff>942975</xdr:colOff>
      <xdr:row>38</xdr:row>
      <xdr:rowOff>0</xdr:rowOff>
    </xdr:to>
    <xdr:sp macro="" textlink="">
      <xdr:nvSpPr>
        <xdr:cNvPr id="3" name="Line 31">
          <a:extLst>
            <a:ext uri="{FF2B5EF4-FFF2-40B4-BE49-F238E27FC236}">
              <a16:creationId xmlns:a16="http://schemas.microsoft.com/office/drawing/2014/main" id="{824869B4-8B64-4F8E-83B4-1D0E4B1A6BF3}"/>
            </a:ext>
          </a:extLst>
        </xdr:cNvPr>
        <xdr:cNvSpPr>
          <a:spLocks noChangeShapeType="1"/>
        </xdr:cNvSpPr>
      </xdr:nvSpPr>
      <xdr:spPr bwMode="auto">
        <a:xfrm>
          <a:off x="15087600" y="135064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19050</xdr:rowOff>
    </xdr:from>
    <xdr:to>
      <xdr:col>1</xdr:col>
      <xdr:colOff>981075</xdr:colOff>
      <xdr:row>5</xdr:row>
      <xdr:rowOff>19050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E71D0EFF-ABD4-4133-A238-8EE86F8ED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397192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514350</xdr:colOff>
      <xdr:row>0</xdr:row>
      <xdr:rowOff>0</xdr:rowOff>
    </xdr:from>
    <xdr:to>
      <xdr:col>10</xdr:col>
      <xdr:colOff>2781300</xdr:colOff>
      <xdr:row>5</xdr:row>
      <xdr:rowOff>9525</xdr:rowOff>
    </xdr:to>
    <xdr:pic>
      <xdr:nvPicPr>
        <xdr:cNvPr id="5" name="49 Imagen">
          <a:extLst>
            <a:ext uri="{FF2B5EF4-FFF2-40B4-BE49-F238E27FC236}">
              <a16:creationId xmlns:a16="http://schemas.microsoft.com/office/drawing/2014/main" id="{618723BA-17FF-49E5-9915-B9804458F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45425" y="0"/>
          <a:ext cx="3733800" cy="191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34924</xdr:colOff>
      <xdr:row>72</xdr:row>
      <xdr:rowOff>30391</xdr:rowOff>
    </xdr:from>
    <xdr:to>
      <xdr:col>2</xdr:col>
      <xdr:colOff>4675835</xdr:colOff>
      <xdr:row>84</xdr:row>
      <xdr:rowOff>247651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7E88C192-A378-4B66-88E2-FB3E14F7BF77}"/>
            </a:ext>
          </a:extLst>
        </xdr:cNvPr>
        <xdr:cNvSpPr txBox="1"/>
      </xdr:nvSpPr>
      <xdr:spPr>
        <a:xfrm>
          <a:off x="34924" y="25395466"/>
          <a:ext cx="8736661" cy="4789260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4000">
              <a:solidFill>
                <a:schemeClr val="bg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>
    <xdr:from>
      <xdr:col>7</xdr:col>
      <xdr:colOff>19050</xdr:colOff>
      <xdr:row>71</xdr:row>
      <xdr:rowOff>378281</xdr:rowOff>
    </xdr:from>
    <xdr:to>
      <xdr:col>10</xdr:col>
      <xdr:colOff>3042701</xdr:colOff>
      <xdr:row>84</xdr:row>
      <xdr:rowOff>304801</xdr:rowOff>
    </xdr:to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EA137477-0298-4DB3-9F92-2C4CC22A419D}"/>
            </a:ext>
          </a:extLst>
        </xdr:cNvPr>
        <xdr:cNvSpPr txBox="1"/>
      </xdr:nvSpPr>
      <xdr:spPr>
        <a:xfrm>
          <a:off x="16249650" y="25362356"/>
          <a:ext cx="8043326" cy="4879520"/>
        </a:xfrm>
        <a:prstGeom prst="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4000">
              <a:solidFill>
                <a:schemeClr val="bg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40</xdr:row>
      <xdr:rowOff>0</xdr:rowOff>
    </xdr:from>
    <xdr:to>
      <xdr:col>6</xdr:col>
      <xdr:colOff>942975</xdr:colOff>
      <xdr:row>40</xdr:row>
      <xdr:rowOff>0</xdr:rowOff>
    </xdr:to>
    <xdr:sp macro="" textlink="">
      <xdr:nvSpPr>
        <xdr:cNvPr id="2" name="Line 29">
          <a:extLst>
            <a:ext uri="{FF2B5EF4-FFF2-40B4-BE49-F238E27FC236}">
              <a16:creationId xmlns:a16="http://schemas.microsoft.com/office/drawing/2014/main" id="{45FF7BF2-DC7D-4923-87D5-E233217756FD}"/>
            </a:ext>
          </a:extLst>
        </xdr:cNvPr>
        <xdr:cNvSpPr>
          <a:spLocks noChangeShapeType="1"/>
        </xdr:cNvSpPr>
      </xdr:nvSpPr>
      <xdr:spPr bwMode="auto">
        <a:xfrm>
          <a:off x="15087600" y="1418272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38</xdr:row>
      <xdr:rowOff>0</xdr:rowOff>
    </xdr:from>
    <xdr:to>
      <xdr:col>6</xdr:col>
      <xdr:colOff>942975</xdr:colOff>
      <xdr:row>38</xdr:row>
      <xdr:rowOff>0</xdr:rowOff>
    </xdr:to>
    <xdr:sp macro="" textlink="">
      <xdr:nvSpPr>
        <xdr:cNvPr id="3" name="Line 31">
          <a:extLst>
            <a:ext uri="{FF2B5EF4-FFF2-40B4-BE49-F238E27FC236}">
              <a16:creationId xmlns:a16="http://schemas.microsoft.com/office/drawing/2014/main" id="{2EBC3E2C-C1F1-4A71-92A9-A3D1231435E1}"/>
            </a:ext>
          </a:extLst>
        </xdr:cNvPr>
        <xdr:cNvSpPr>
          <a:spLocks noChangeShapeType="1"/>
        </xdr:cNvSpPr>
      </xdr:nvSpPr>
      <xdr:spPr bwMode="auto">
        <a:xfrm>
          <a:off x="15087600" y="135064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19050</xdr:rowOff>
    </xdr:from>
    <xdr:to>
      <xdr:col>1</xdr:col>
      <xdr:colOff>981075</xdr:colOff>
      <xdr:row>5</xdr:row>
      <xdr:rowOff>19050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37EAB4BD-4AD1-42E3-B802-8EF39D997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397192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514350</xdr:colOff>
      <xdr:row>0</xdr:row>
      <xdr:rowOff>0</xdr:rowOff>
    </xdr:from>
    <xdr:to>
      <xdr:col>10</xdr:col>
      <xdr:colOff>2781300</xdr:colOff>
      <xdr:row>5</xdr:row>
      <xdr:rowOff>9525</xdr:rowOff>
    </xdr:to>
    <xdr:pic>
      <xdr:nvPicPr>
        <xdr:cNvPr id="5" name="49 Imagen">
          <a:extLst>
            <a:ext uri="{FF2B5EF4-FFF2-40B4-BE49-F238E27FC236}">
              <a16:creationId xmlns:a16="http://schemas.microsoft.com/office/drawing/2014/main" id="{768F301B-072D-4AE5-B8C6-E733BA0F1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45425" y="0"/>
          <a:ext cx="3733800" cy="191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34924</xdr:colOff>
      <xdr:row>72</xdr:row>
      <xdr:rowOff>30391</xdr:rowOff>
    </xdr:from>
    <xdr:to>
      <xdr:col>2</xdr:col>
      <xdr:colOff>4675835</xdr:colOff>
      <xdr:row>84</xdr:row>
      <xdr:rowOff>247651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F7362998-FF36-4537-BC1F-811BBF214DE8}"/>
            </a:ext>
          </a:extLst>
        </xdr:cNvPr>
        <xdr:cNvSpPr txBox="1"/>
      </xdr:nvSpPr>
      <xdr:spPr>
        <a:xfrm>
          <a:off x="34924" y="25395466"/>
          <a:ext cx="8736661" cy="4789260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4000">
              <a:solidFill>
                <a:schemeClr val="bg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>
    <xdr:from>
      <xdr:col>7</xdr:col>
      <xdr:colOff>19050</xdr:colOff>
      <xdr:row>71</xdr:row>
      <xdr:rowOff>378281</xdr:rowOff>
    </xdr:from>
    <xdr:to>
      <xdr:col>10</xdr:col>
      <xdr:colOff>3042701</xdr:colOff>
      <xdr:row>84</xdr:row>
      <xdr:rowOff>304801</xdr:rowOff>
    </xdr:to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A3569320-1E1E-46A5-919C-DF217AC1FB8D}"/>
            </a:ext>
          </a:extLst>
        </xdr:cNvPr>
        <xdr:cNvSpPr txBox="1"/>
      </xdr:nvSpPr>
      <xdr:spPr>
        <a:xfrm>
          <a:off x="16249650" y="25362356"/>
          <a:ext cx="8043326" cy="4879520"/>
        </a:xfrm>
        <a:prstGeom prst="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4000">
              <a:solidFill>
                <a:schemeClr val="bg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40</xdr:row>
      <xdr:rowOff>0</xdr:rowOff>
    </xdr:from>
    <xdr:to>
      <xdr:col>6</xdr:col>
      <xdr:colOff>942975</xdr:colOff>
      <xdr:row>40</xdr:row>
      <xdr:rowOff>0</xdr:rowOff>
    </xdr:to>
    <xdr:sp macro="" textlink="">
      <xdr:nvSpPr>
        <xdr:cNvPr id="2" name="Line 29">
          <a:extLst>
            <a:ext uri="{FF2B5EF4-FFF2-40B4-BE49-F238E27FC236}">
              <a16:creationId xmlns:a16="http://schemas.microsoft.com/office/drawing/2014/main" id="{265D56A5-4E80-4441-802F-779A5DB35EC6}"/>
            </a:ext>
          </a:extLst>
        </xdr:cNvPr>
        <xdr:cNvSpPr>
          <a:spLocks noChangeShapeType="1"/>
        </xdr:cNvSpPr>
      </xdr:nvSpPr>
      <xdr:spPr bwMode="auto">
        <a:xfrm>
          <a:off x="15087600" y="1418272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38</xdr:row>
      <xdr:rowOff>0</xdr:rowOff>
    </xdr:from>
    <xdr:to>
      <xdr:col>6</xdr:col>
      <xdr:colOff>942975</xdr:colOff>
      <xdr:row>38</xdr:row>
      <xdr:rowOff>0</xdr:rowOff>
    </xdr:to>
    <xdr:sp macro="" textlink="">
      <xdr:nvSpPr>
        <xdr:cNvPr id="3" name="Line 31">
          <a:extLst>
            <a:ext uri="{FF2B5EF4-FFF2-40B4-BE49-F238E27FC236}">
              <a16:creationId xmlns:a16="http://schemas.microsoft.com/office/drawing/2014/main" id="{8ACC9B0B-92CD-445F-85F9-B3D8006C40C3}"/>
            </a:ext>
          </a:extLst>
        </xdr:cNvPr>
        <xdr:cNvSpPr>
          <a:spLocks noChangeShapeType="1"/>
        </xdr:cNvSpPr>
      </xdr:nvSpPr>
      <xdr:spPr bwMode="auto">
        <a:xfrm>
          <a:off x="15087600" y="135064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19050</xdr:rowOff>
    </xdr:from>
    <xdr:to>
      <xdr:col>1</xdr:col>
      <xdr:colOff>981075</xdr:colOff>
      <xdr:row>5</xdr:row>
      <xdr:rowOff>19050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5E5FF7BA-62ED-487F-B0E0-B55103372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397192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514350</xdr:colOff>
      <xdr:row>0</xdr:row>
      <xdr:rowOff>0</xdr:rowOff>
    </xdr:from>
    <xdr:to>
      <xdr:col>10</xdr:col>
      <xdr:colOff>2781300</xdr:colOff>
      <xdr:row>5</xdr:row>
      <xdr:rowOff>9525</xdr:rowOff>
    </xdr:to>
    <xdr:pic>
      <xdr:nvPicPr>
        <xdr:cNvPr id="5" name="49 Imagen">
          <a:extLst>
            <a:ext uri="{FF2B5EF4-FFF2-40B4-BE49-F238E27FC236}">
              <a16:creationId xmlns:a16="http://schemas.microsoft.com/office/drawing/2014/main" id="{A49D73B5-04F0-46BF-B95C-A0680CA40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45425" y="0"/>
          <a:ext cx="3733800" cy="191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34924</xdr:colOff>
      <xdr:row>72</xdr:row>
      <xdr:rowOff>30391</xdr:rowOff>
    </xdr:from>
    <xdr:to>
      <xdr:col>2</xdr:col>
      <xdr:colOff>4675835</xdr:colOff>
      <xdr:row>84</xdr:row>
      <xdr:rowOff>247651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800B1C18-0A13-43DC-A62A-E9B702EED548}"/>
            </a:ext>
          </a:extLst>
        </xdr:cNvPr>
        <xdr:cNvSpPr txBox="1"/>
      </xdr:nvSpPr>
      <xdr:spPr>
        <a:xfrm>
          <a:off x="34924" y="25395466"/>
          <a:ext cx="8736661" cy="4789260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4000">
              <a:solidFill>
                <a:schemeClr val="bg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>
    <xdr:from>
      <xdr:col>7</xdr:col>
      <xdr:colOff>19050</xdr:colOff>
      <xdr:row>71</xdr:row>
      <xdr:rowOff>378281</xdr:rowOff>
    </xdr:from>
    <xdr:to>
      <xdr:col>10</xdr:col>
      <xdr:colOff>3042701</xdr:colOff>
      <xdr:row>84</xdr:row>
      <xdr:rowOff>304801</xdr:rowOff>
    </xdr:to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8A6E8DC7-CD3F-469E-AD00-336DD1BD284D}"/>
            </a:ext>
          </a:extLst>
        </xdr:cNvPr>
        <xdr:cNvSpPr txBox="1"/>
      </xdr:nvSpPr>
      <xdr:spPr>
        <a:xfrm>
          <a:off x="16249650" y="25362356"/>
          <a:ext cx="8043326" cy="4879520"/>
        </a:xfrm>
        <a:prstGeom prst="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4000">
              <a:solidFill>
                <a:schemeClr val="bg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40</xdr:row>
      <xdr:rowOff>0</xdr:rowOff>
    </xdr:from>
    <xdr:to>
      <xdr:col>4</xdr:col>
      <xdr:colOff>942975</xdr:colOff>
      <xdr:row>40</xdr:row>
      <xdr:rowOff>0</xdr:rowOff>
    </xdr:to>
    <xdr:sp macro="" textlink="">
      <xdr:nvSpPr>
        <xdr:cNvPr id="289241" name="Line 29">
          <a:extLst>
            <a:ext uri="{FF2B5EF4-FFF2-40B4-BE49-F238E27FC236}">
              <a16:creationId xmlns:a16="http://schemas.microsoft.com/office/drawing/2014/main" id="{466B54DD-C0F6-4833-A8B6-4C1A53BA509F}"/>
            </a:ext>
          </a:extLst>
        </xdr:cNvPr>
        <xdr:cNvSpPr>
          <a:spLocks noChangeShapeType="1"/>
        </xdr:cNvSpPr>
      </xdr:nvSpPr>
      <xdr:spPr bwMode="auto">
        <a:xfrm>
          <a:off x="9963150" y="1364932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581025</xdr:colOff>
      <xdr:row>38</xdr:row>
      <xdr:rowOff>0</xdr:rowOff>
    </xdr:from>
    <xdr:to>
      <xdr:col>4</xdr:col>
      <xdr:colOff>942975</xdr:colOff>
      <xdr:row>38</xdr:row>
      <xdr:rowOff>0</xdr:rowOff>
    </xdr:to>
    <xdr:sp macro="" textlink="">
      <xdr:nvSpPr>
        <xdr:cNvPr id="289242" name="Line 31">
          <a:extLst>
            <a:ext uri="{FF2B5EF4-FFF2-40B4-BE49-F238E27FC236}">
              <a16:creationId xmlns:a16="http://schemas.microsoft.com/office/drawing/2014/main" id="{02C95341-DA8F-4726-9FD3-5D06DECF50A4}"/>
            </a:ext>
          </a:extLst>
        </xdr:cNvPr>
        <xdr:cNvSpPr>
          <a:spLocks noChangeShapeType="1"/>
        </xdr:cNvSpPr>
      </xdr:nvSpPr>
      <xdr:spPr bwMode="auto">
        <a:xfrm>
          <a:off x="9963150" y="129730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684234</xdr:colOff>
      <xdr:row>0</xdr:row>
      <xdr:rowOff>179366</xdr:rowOff>
    </xdr:from>
    <xdr:to>
      <xdr:col>1</xdr:col>
      <xdr:colOff>1038763</xdr:colOff>
      <xdr:row>4</xdr:row>
      <xdr:rowOff>361950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8208C424-9BED-4367-9E22-8ECBBC7BB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bg1">
              <a:lumMod val="95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87409" y="179366"/>
          <a:ext cx="3351696" cy="1487509"/>
        </a:xfrm>
        <a:prstGeom prst="rect">
          <a:avLst/>
        </a:prstGeom>
      </xdr:spPr>
    </xdr:pic>
    <xdr:clientData/>
  </xdr:twoCellAnchor>
  <xdr:twoCellAnchor>
    <xdr:from>
      <xdr:col>0</xdr:col>
      <xdr:colOff>322262</xdr:colOff>
      <xdr:row>67</xdr:row>
      <xdr:rowOff>8165</xdr:rowOff>
    </xdr:from>
    <xdr:to>
      <xdr:col>2</xdr:col>
      <xdr:colOff>4009669</xdr:colOff>
      <xdr:row>86</xdr:row>
      <xdr:rowOff>119062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30398BE7-1E2B-41CC-803C-319A09E8401A}"/>
            </a:ext>
          </a:extLst>
        </xdr:cNvPr>
        <xdr:cNvSpPr txBox="1"/>
      </xdr:nvSpPr>
      <xdr:spPr>
        <a:xfrm>
          <a:off x="309562" y="20486915"/>
          <a:ext cx="8358188" cy="3282722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>
    <xdr:from>
      <xdr:col>5</xdr:col>
      <xdr:colOff>116114</xdr:colOff>
      <xdr:row>67</xdr:row>
      <xdr:rowOff>454</xdr:rowOff>
    </xdr:from>
    <xdr:to>
      <xdr:col>8</xdr:col>
      <xdr:colOff>2241405</xdr:colOff>
      <xdr:row>86</xdr:row>
      <xdr:rowOff>47624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B538993E-0E42-4C18-BECC-DE1AD8871924}"/>
            </a:ext>
          </a:extLst>
        </xdr:cNvPr>
        <xdr:cNvSpPr txBox="1"/>
      </xdr:nvSpPr>
      <xdr:spPr>
        <a:xfrm>
          <a:off x="11733439" y="20476029"/>
          <a:ext cx="7697560" cy="3222170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 editAs="oneCell">
    <xdr:from>
      <xdr:col>7</xdr:col>
      <xdr:colOff>504825</xdr:colOff>
      <xdr:row>0</xdr:row>
      <xdr:rowOff>0</xdr:rowOff>
    </xdr:from>
    <xdr:to>
      <xdr:col>9</xdr:col>
      <xdr:colOff>114300</xdr:colOff>
      <xdr:row>6</xdr:row>
      <xdr:rowOff>76200</xdr:rowOff>
    </xdr:to>
    <xdr:pic>
      <xdr:nvPicPr>
        <xdr:cNvPr id="289246" name="Imagen 9">
          <a:extLst>
            <a:ext uri="{FF2B5EF4-FFF2-40B4-BE49-F238E27FC236}">
              <a16:creationId xmlns:a16="http://schemas.microsoft.com/office/drawing/2014/main" id="{E5E32E09-51FE-4B35-A9A9-79B1C5F50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9925" y="0"/>
          <a:ext cx="3914775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40</xdr:row>
      <xdr:rowOff>0</xdr:rowOff>
    </xdr:from>
    <xdr:to>
      <xdr:col>4</xdr:col>
      <xdr:colOff>942975</xdr:colOff>
      <xdr:row>40</xdr:row>
      <xdr:rowOff>0</xdr:rowOff>
    </xdr:to>
    <xdr:sp macro="" textlink="">
      <xdr:nvSpPr>
        <xdr:cNvPr id="309654" name="Line 29">
          <a:extLst>
            <a:ext uri="{FF2B5EF4-FFF2-40B4-BE49-F238E27FC236}">
              <a16:creationId xmlns:a16="http://schemas.microsoft.com/office/drawing/2014/main" id="{19B35E0D-A04F-4382-BE27-864F6291E467}"/>
            </a:ext>
          </a:extLst>
        </xdr:cNvPr>
        <xdr:cNvSpPr>
          <a:spLocks noChangeShapeType="1"/>
        </xdr:cNvSpPr>
      </xdr:nvSpPr>
      <xdr:spPr bwMode="auto">
        <a:xfrm>
          <a:off x="11001375" y="137541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581025</xdr:colOff>
      <xdr:row>38</xdr:row>
      <xdr:rowOff>0</xdr:rowOff>
    </xdr:from>
    <xdr:to>
      <xdr:col>4</xdr:col>
      <xdr:colOff>942975</xdr:colOff>
      <xdr:row>38</xdr:row>
      <xdr:rowOff>0</xdr:rowOff>
    </xdr:to>
    <xdr:sp macro="" textlink="">
      <xdr:nvSpPr>
        <xdr:cNvPr id="309655" name="Line 31">
          <a:extLst>
            <a:ext uri="{FF2B5EF4-FFF2-40B4-BE49-F238E27FC236}">
              <a16:creationId xmlns:a16="http://schemas.microsoft.com/office/drawing/2014/main" id="{F84F02A2-258E-42A2-926B-E0D8686A2BBA}"/>
            </a:ext>
          </a:extLst>
        </xdr:cNvPr>
        <xdr:cNvSpPr>
          <a:spLocks noChangeShapeType="1"/>
        </xdr:cNvSpPr>
      </xdr:nvSpPr>
      <xdr:spPr bwMode="auto">
        <a:xfrm>
          <a:off x="11001375" y="1307782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684234</xdr:colOff>
      <xdr:row>0</xdr:row>
      <xdr:rowOff>179368</xdr:rowOff>
    </xdr:from>
    <xdr:to>
      <xdr:col>1</xdr:col>
      <xdr:colOff>959197</xdr:colOff>
      <xdr:row>5</xdr:row>
      <xdr:rowOff>23813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DDA7CE91-237E-42A5-8FD4-20FD04A72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bg1">
              <a:lumMod val="95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87409" y="179368"/>
          <a:ext cx="3346934" cy="1487508"/>
        </a:xfrm>
        <a:prstGeom prst="rect">
          <a:avLst/>
        </a:prstGeom>
      </xdr:spPr>
    </xdr:pic>
    <xdr:clientData/>
  </xdr:twoCellAnchor>
  <xdr:twoCellAnchor>
    <xdr:from>
      <xdr:col>0</xdr:col>
      <xdr:colOff>309562</xdr:colOff>
      <xdr:row>67</xdr:row>
      <xdr:rowOff>8165</xdr:rowOff>
    </xdr:from>
    <xdr:to>
      <xdr:col>2</xdr:col>
      <xdr:colOff>4263601</xdr:colOff>
      <xdr:row>86</xdr:row>
      <xdr:rowOff>119062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70ADEBD9-FFC8-4307-B6AD-FE6D3D535FD5}"/>
            </a:ext>
          </a:extLst>
        </xdr:cNvPr>
        <xdr:cNvSpPr txBox="1"/>
      </xdr:nvSpPr>
      <xdr:spPr>
        <a:xfrm>
          <a:off x="309562" y="20486915"/>
          <a:ext cx="8358188" cy="3282722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>
    <xdr:from>
      <xdr:col>5</xdr:col>
      <xdr:colOff>116114</xdr:colOff>
      <xdr:row>67</xdr:row>
      <xdr:rowOff>454</xdr:rowOff>
    </xdr:from>
    <xdr:to>
      <xdr:col>8</xdr:col>
      <xdr:colOff>2231879</xdr:colOff>
      <xdr:row>86</xdr:row>
      <xdr:rowOff>47624</xdr:rowOff>
    </xdr:to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BAFEF088-7351-4EBB-823C-13B075973358}"/>
            </a:ext>
          </a:extLst>
        </xdr:cNvPr>
        <xdr:cNvSpPr txBox="1"/>
      </xdr:nvSpPr>
      <xdr:spPr>
        <a:xfrm>
          <a:off x="11733439" y="20476029"/>
          <a:ext cx="7697560" cy="3222170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 editAs="oneCell">
    <xdr:from>
      <xdr:col>7</xdr:col>
      <xdr:colOff>476250</xdr:colOff>
      <xdr:row>0</xdr:row>
      <xdr:rowOff>152400</xdr:rowOff>
    </xdr:from>
    <xdr:to>
      <xdr:col>8</xdr:col>
      <xdr:colOff>2790825</xdr:colOff>
      <xdr:row>5</xdr:row>
      <xdr:rowOff>276225</xdr:rowOff>
    </xdr:to>
    <xdr:pic>
      <xdr:nvPicPr>
        <xdr:cNvPr id="309659" name="49 Imagen">
          <a:extLst>
            <a:ext uri="{FF2B5EF4-FFF2-40B4-BE49-F238E27FC236}">
              <a16:creationId xmlns:a16="http://schemas.microsoft.com/office/drawing/2014/main" id="{F7F7616B-8681-430D-ABE1-45198B280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50" y="152400"/>
          <a:ext cx="374332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40</xdr:row>
      <xdr:rowOff>0</xdr:rowOff>
    </xdr:from>
    <xdr:to>
      <xdr:col>4</xdr:col>
      <xdr:colOff>952500</xdr:colOff>
      <xdr:row>40</xdr:row>
      <xdr:rowOff>0</xdr:rowOff>
    </xdr:to>
    <xdr:sp macro="" textlink="">
      <xdr:nvSpPr>
        <xdr:cNvPr id="284130" name="Line 29">
          <a:extLst>
            <a:ext uri="{FF2B5EF4-FFF2-40B4-BE49-F238E27FC236}">
              <a16:creationId xmlns:a16="http://schemas.microsoft.com/office/drawing/2014/main" id="{DBF83AC2-B7EE-4E04-A690-3B311A741054}"/>
            </a:ext>
          </a:extLst>
        </xdr:cNvPr>
        <xdr:cNvSpPr>
          <a:spLocks noChangeShapeType="1"/>
        </xdr:cNvSpPr>
      </xdr:nvSpPr>
      <xdr:spPr bwMode="auto">
        <a:xfrm>
          <a:off x="9877425" y="1364932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571500</xdr:colOff>
      <xdr:row>38</xdr:row>
      <xdr:rowOff>0</xdr:rowOff>
    </xdr:from>
    <xdr:to>
      <xdr:col>4</xdr:col>
      <xdr:colOff>952500</xdr:colOff>
      <xdr:row>38</xdr:row>
      <xdr:rowOff>0</xdr:rowOff>
    </xdr:to>
    <xdr:sp macro="" textlink="">
      <xdr:nvSpPr>
        <xdr:cNvPr id="284131" name="Line 31">
          <a:extLst>
            <a:ext uri="{FF2B5EF4-FFF2-40B4-BE49-F238E27FC236}">
              <a16:creationId xmlns:a16="http://schemas.microsoft.com/office/drawing/2014/main" id="{DDB5F343-F568-4646-932D-4A580533AC82}"/>
            </a:ext>
          </a:extLst>
        </xdr:cNvPr>
        <xdr:cNvSpPr>
          <a:spLocks noChangeShapeType="1"/>
        </xdr:cNvSpPr>
      </xdr:nvSpPr>
      <xdr:spPr bwMode="auto">
        <a:xfrm>
          <a:off x="9877425" y="1297305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684234</xdr:colOff>
      <xdr:row>0</xdr:row>
      <xdr:rowOff>179367</xdr:rowOff>
    </xdr:from>
    <xdr:to>
      <xdr:col>2</xdr:col>
      <xdr:colOff>80648</xdr:colOff>
      <xdr:row>5</xdr:row>
      <xdr:rowOff>28576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147BFA6F-0592-4D8E-9439-CCBC27A2B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bg1">
              <a:lumMod val="95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87409" y="179367"/>
          <a:ext cx="3351696" cy="1535134"/>
        </a:xfrm>
        <a:prstGeom prst="rect">
          <a:avLst/>
        </a:prstGeom>
      </xdr:spPr>
    </xdr:pic>
    <xdr:clientData/>
  </xdr:twoCellAnchor>
  <xdr:twoCellAnchor>
    <xdr:from>
      <xdr:col>0</xdr:col>
      <xdr:colOff>300037</xdr:colOff>
      <xdr:row>67</xdr:row>
      <xdr:rowOff>8165</xdr:rowOff>
    </xdr:from>
    <xdr:to>
      <xdr:col>2</xdr:col>
      <xdr:colOff>4047701</xdr:colOff>
      <xdr:row>86</xdr:row>
      <xdr:rowOff>119062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3D2D81CC-850A-4CAB-A425-01065371A6BC}"/>
            </a:ext>
          </a:extLst>
        </xdr:cNvPr>
        <xdr:cNvSpPr txBox="1"/>
      </xdr:nvSpPr>
      <xdr:spPr>
        <a:xfrm>
          <a:off x="309562" y="20486915"/>
          <a:ext cx="8358188" cy="3282722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>
    <xdr:from>
      <xdr:col>5</xdr:col>
      <xdr:colOff>116114</xdr:colOff>
      <xdr:row>67</xdr:row>
      <xdr:rowOff>454</xdr:rowOff>
    </xdr:from>
    <xdr:to>
      <xdr:col>8</xdr:col>
      <xdr:colOff>2241414</xdr:colOff>
      <xdr:row>86</xdr:row>
      <xdr:rowOff>47624</xdr:rowOff>
    </xdr:to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7E3D308B-4A2C-47AB-9357-96A9ABB07372}"/>
            </a:ext>
          </a:extLst>
        </xdr:cNvPr>
        <xdr:cNvSpPr txBox="1"/>
      </xdr:nvSpPr>
      <xdr:spPr>
        <a:xfrm>
          <a:off x="11733439" y="20476029"/>
          <a:ext cx="7697560" cy="3222170"/>
        </a:xfrm>
        <a:prstGeom prst="rect">
          <a:avLst/>
        </a:prstGeom>
        <a:solidFill>
          <a:schemeClr val="bg1"/>
        </a:solidFill>
        <a:ln w="1270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0">
              <a:solidFill>
                <a:schemeClr val="bg1">
                  <a:lumMod val="85000"/>
                </a:schemeClr>
              </a:solidFill>
              <a:latin typeface="Arial" pitchFamily="34" charset="0"/>
              <a:cs typeface="Arial" pitchFamily="34" charset="0"/>
            </a:rPr>
            <a:t>SELLO</a:t>
          </a:r>
        </a:p>
      </xdr:txBody>
    </xdr:sp>
    <xdr:clientData/>
  </xdr:twoCellAnchor>
  <xdr:twoCellAnchor editAs="oneCell">
    <xdr:from>
      <xdr:col>7</xdr:col>
      <xdr:colOff>1143000</xdr:colOff>
      <xdr:row>0</xdr:row>
      <xdr:rowOff>0</xdr:rowOff>
    </xdr:from>
    <xdr:to>
      <xdr:col>9</xdr:col>
      <xdr:colOff>161925</xdr:colOff>
      <xdr:row>6</xdr:row>
      <xdr:rowOff>76200</xdr:rowOff>
    </xdr:to>
    <xdr:pic>
      <xdr:nvPicPr>
        <xdr:cNvPr id="284135" name="Imagen 9">
          <a:extLst>
            <a:ext uri="{FF2B5EF4-FFF2-40B4-BE49-F238E27FC236}">
              <a16:creationId xmlns:a16="http://schemas.microsoft.com/office/drawing/2014/main" id="{7FFF0F46-AB09-4995-97A4-21C897FF5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0" y="0"/>
          <a:ext cx="3914775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SLIE%20ENCISO\Desktop\ORACLE\REQUISICION%20MENSUAL\REQUISICIONES%202026\SEPTIEMBRE\Hospitales.xlsx" TargetMode="External"/><Relationship Id="rId1" Type="http://schemas.openxmlformats.org/officeDocument/2006/relationships/externalLinkPath" Target="Hospital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SLIE%20ENCISO\Desktop\ORACLE\REQUISICION%20MENSUAL\REQUISICIONES%202026\SEPTIEMBRE\Municipio%20Corregidora.xlsx" TargetMode="External"/><Relationship Id="rId1" Type="http://schemas.openxmlformats.org/officeDocument/2006/relationships/externalLinkPath" Target="Municipio%20Corregidor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SLIE%20ENCISO\Desktop\ORACLE\REQUISICION%20MENSUAL\REQUISICIONES%202026\SEPTIEMBRE\Municipio%20Huimilpan.xlsx" TargetMode="External"/><Relationship Id="rId1" Type="http://schemas.openxmlformats.org/officeDocument/2006/relationships/externalLinkPath" Target="Municipio%20Huimilpa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SLIE%20ENCISO\Desktop\ORACLE\REQUISICION%20MENSUAL\REQUISICIONES%202026\SEPTIEMBRE\Municipio%20Marqu&#233;s.xlsx" TargetMode="External"/><Relationship Id="rId1" Type="http://schemas.openxmlformats.org/officeDocument/2006/relationships/externalLinkPath" Target="Municipio%20Marqu&#233;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SLIE%20ENCISO\Desktop\ORACLE\REQUISICION%20MENSUAL\REQUISICIONES%202026\SEPTIEMBRE\Municipio%20Quer&#233;taro.xlsx" TargetMode="External"/><Relationship Id="rId1" Type="http://schemas.openxmlformats.org/officeDocument/2006/relationships/externalLinkPath" Target="Municipio%20Quer&#233;ta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.G."/>
      <sheetName val="N.H.G"/>
      <sheetName val="HENM"/>
    </sheetNames>
    <sheetDataSet>
      <sheetData sheetId="0"/>
      <sheetData sheetId="1">
        <row r="16">
          <cell r="F16">
            <v>60</v>
          </cell>
        </row>
        <row r="18">
          <cell r="F18">
            <v>60</v>
          </cell>
        </row>
        <row r="20">
          <cell r="F20">
            <v>60</v>
          </cell>
        </row>
        <row r="22">
          <cell r="F22">
            <v>30</v>
          </cell>
        </row>
        <row r="24">
          <cell r="F24">
            <v>35</v>
          </cell>
        </row>
        <row r="28">
          <cell r="F28">
            <v>60</v>
          </cell>
        </row>
        <row r="34">
          <cell r="F34">
            <v>25</v>
          </cell>
        </row>
        <row r="52">
          <cell r="F52">
            <v>25</v>
          </cell>
        </row>
      </sheetData>
      <sheetData sheetId="2">
        <row r="16">
          <cell r="F16">
            <v>5</v>
          </cell>
        </row>
        <row r="36">
          <cell r="F36">
            <v>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NTA BÁRBARA"/>
      <sheetName val="LOS ÁNGELES"/>
      <sheetName val="JOAQUÍN H."/>
      <sheetName val="LOS OLVERA"/>
      <sheetName val="SAN JOSÉ DE LOS OLVERA"/>
      <sheetName val="PRESA DE BRAVO"/>
      <sheetName val="LA NEGRETA"/>
      <sheetName val="FAM CORREGIDORA"/>
      <sheetName val="EMILIANO ZAPATA"/>
      <sheetName val="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4">
          <cell r="F14" t="str">
            <v xml:space="preserve"> </v>
          </cell>
        </row>
        <row r="16">
          <cell r="F16">
            <v>280</v>
          </cell>
        </row>
        <row r="18">
          <cell r="F18">
            <v>220</v>
          </cell>
        </row>
        <row r="20">
          <cell r="F20">
            <v>420</v>
          </cell>
        </row>
        <row r="22">
          <cell r="F22">
            <v>9</v>
          </cell>
        </row>
        <row r="24">
          <cell r="F24">
            <v>95</v>
          </cell>
        </row>
        <row r="26">
          <cell r="F26">
            <v>11</v>
          </cell>
        </row>
        <row r="28">
          <cell r="F28">
            <v>34</v>
          </cell>
        </row>
        <row r="30">
          <cell r="F30" t="str">
            <v xml:space="preserve"> </v>
          </cell>
        </row>
        <row r="32">
          <cell r="F32">
            <v>13</v>
          </cell>
        </row>
        <row r="34">
          <cell r="F34">
            <v>70</v>
          </cell>
        </row>
        <row r="36">
          <cell r="F36">
            <v>16</v>
          </cell>
        </row>
        <row r="38">
          <cell r="F38" t="str">
            <v xml:space="preserve"> </v>
          </cell>
        </row>
        <row r="40">
          <cell r="F40">
            <v>210</v>
          </cell>
        </row>
        <row r="42">
          <cell r="F42" t="str">
            <v xml:space="preserve"> </v>
          </cell>
        </row>
        <row r="44">
          <cell r="F44" t="str">
            <v xml:space="preserve"> </v>
          </cell>
        </row>
        <row r="46">
          <cell r="F46" t="str">
            <v xml:space="preserve"> </v>
          </cell>
        </row>
        <row r="48">
          <cell r="F48" t="str">
            <v xml:space="preserve"> </v>
          </cell>
        </row>
        <row r="50">
          <cell r="F50" t="str">
            <v xml:space="preserve"> </v>
          </cell>
        </row>
        <row r="52">
          <cell r="F52">
            <v>80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APÁTARO"/>
      <sheetName val="HUIMILPAN"/>
      <sheetName val="CEJA DE BRAVO"/>
      <sheetName val="LOS CUES"/>
      <sheetName val="LAGUNILLAS"/>
      <sheetName val="EL MILAGRO"/>
      <sheetName val="LA NORIA"/>
      <sheetName val="SAN PEDRO H"/>
      <sheetName val="UMME EL VEGIL"/>
      <sheetName val="BUENAVISTA"/>
      <sheetName val="UMME MF2"/>
      <sheetName val="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4">
          <cell r="F14" t="str">
            <v xml:space="preserve"> </v>
          </cell>
        </row>
        <row r="16">
          <cell r="F16">
            <v>80</v>
          </cell>
        </row>
        <row r="18">
          <cell r="F18">
            <v>60</v>
          </cell>
        </row>
        <row r="20">
          <cell r="F20">
            <v>140</v>
          </cell>
        </row>
        <row r="22">
          <cell r="F22">
            <v>7</v>
          </cell>
        </row>
        <row r="24">
          <cell r="F24">
            <v>65</v>
          </cell>
        </row>
        <row r="26">
          <cell r="F26">
            <v>1</v>
          </cell>
        </row>
        <row r="28">
          <cell r="F28">
            <v>20</v>
          </cell>
        </row>
        <row r="30">
          <cell r="F30" t="str">
            <v xml:space="preserve"> </v>
          </cell>
        </row>
        <row r="32">
          <cell r="F32">
            <v>7</v>
          </cell>
        </row>
        <row r="34">
          <cell r="F34">
            <v>45</v>
          </cell>
        </row>
        <row r="36">
          <cell r="F36">
            <v>9</v>
          </cell>
        </row>
        <row r="38">
          <cell r="F38" t="str">
            <v xml:space="preserve"> </v>
          </cell>
        </row>
        <row r="40">
          <cell r="F40">
            <v>30</v>
          </cell>
        </row>
        <row r="42">
          <cell r="F42" t="str">
            <v xml:space="preserve"> </v>
          </cell>
        </row>
        <row r="44">
          <cell r="F44" t="str">
            <v xml:space="preserve"> </v>
          </cell>
        </row>
        <row r="46">
          <cell r="F46" t="str">
            <v xml:space="preserve"> </v>
          </cell>
        </row>
        <row r="48">
          <cell r="F48" t="str">
            <v xml:space="preserve"> </v>
          </cell>
        </row>
        <row r="50">
          <cell r="F50" t="str">
            <v xml:space="preserve"> </v>
          </cell>
        </row>
        <row r="52">
          <cell r="F52">
            <v>50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 CAÑADA"/>
      <sheetName val="AMAZCALA"/>
      <sheetName val="ATONGO"/>
      <sheetName val="COLORADO"/>
      <sheetName val="LA GRIEGA"/>
      <sheetName val="JESÚS MARÍA"/>
      <sheetName val="PALO ALTO"/>
      <sheetName val="EL PARAÍSO"/>
      <sheetName val="MIRANDA"/>
      <sheetName val="CHICHIMEQUILLAS"/>
      <sheetName val="NAVAJAS"/>
      <sheetName val="C. CHEME"/>
      <sheetName val="ALFAJAYUCAN"/>
      <sheetName val="LA PIEDAD"/>
      <sheetName val="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F14" t="str">
            <v xml:space="preserve"> </v>
          </cell>
        </row>
        <row r="16">
          <cell r="F16">
            <v>385</v>
          </cell>
        </row>
        <row r="18">
          <cell r="F18">
            <v>290</v>
          </cell>
        </row>
        <row r="20">
          <cell r="F20">
            <v>530</v>
          </cell>
        </row>
        <row r="22">
          <cell r="F22">
            <v>11</v>
          </cell>
        </row>
        <row r="24">
          <cell r="F24">
            <v>75</v>
          </cell>
        </row>
        <row r="26">
          <cell r="F26">
            <v>4</v>
          </cell>
        </row>
        <row r="28">
          <cell r="F28">
            <v>31</v>
          </cell>
        </row>
        <row r="30">
          <cell r="F30" t="str">
            <v xml:space="preserve"> </v>
          </cell>
        </row>
        <row r="32">
          <cell r="F32">
            <v>18</v>
          </cell>
        </row>
        <row r="34">
          <cell r="F34">
            <v>79</v>
          </cell>
        </row>
        <row r="36">
          <cell r="F36">
            <v>12</v>
          </cell>
        </row>
        <row r="40">
          <cell r="F40">
            <v>100</v>
          </cell>
        </row>
        <row r="42">
          <cell r="F42" t="str">
            <v xml:space="preserve"> </v>
          </cell>
        </row>
        <row r="44">
          <cell r="F44" t="str">
            <v xml:space="preserve"> </v>
          </cell>
        </row>
        <row r="46">
          <cell r="F46" t="str">
            <v xml:space="preserve"> </v>
          </cell>
        </row>
        <row r="48">
          <cell r="F48" t="str">
            <v xml:space="preserve"> </v>
          </cell>
        </row>
        <row r="50">
          <cell r="F50" t="str">
            <v xml:space="preserve"> </v>
          </cell>
        </row>
        <row r="52">
          <cell r="F52">
            <v>60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MME QUERÉTARO"/>
      <sheetName val="JURICA"/>
      <sheetName val="MENCHACA"/>
      <sheetName val="SAN ANTONIO DE LA PUNTA"/>
      <sheetName val="SAN PABLO"/>
      <sheetName val="CARRILLO"/>
      <sheetName val="LOMA BONITA"/>
      <sheetName val="PEDRO ESCOBEDO"/>
      <sheetName val="JOFRITO"/>
      <sheetName val="MONTENEGRO"/>
      <sheetName val="PIE DE GALLO"/>
      <sheetName val="SAN JOSÉ BUENAVISTA"/>
      <sheetName val="SAN MIGUELITO"/>
      <sheetName val="SANTA MARÍA MAGDALENA"/>
      <sheetName val="LA SOLANA"/>
      <sheetName val="TINAJA"/>
      <sheetName val="TLACOTE "/>
      <sheetName val="LÁZARO C."/>
      <sheetName val="PEÑUELAS"/>
      <sheetName val="MENCHACA NORTE"/>
      <sheetName val="C. LA BARRETA"/>
      <sheetName val="UMME CERRO DE LA CRUZ"/>
      <sheetName val="UMME LA LUZ"/>
      <sheetName val="UMME SAN PEDRITO"/>
      <sheetName val="UMME RANCHO LARGO"/>
      <sheetName val="LA GOTERA"/>
      <sheetName val="SAN JOSÉ EL ALTO"/>
      <sheetName val="FAM BUENAVISTA"/>
      <sheetName val="FAM PEDRO E."/>
      <sheetName val="FAM PALO ALTO"/>
      <sheetName val="C. MF1"/>
      <sheetName val="C. AMB1"/>
      <sheetName val="C. UMD"/>
      <sheetName val="SANTA ROSA"/>
      <sheetName val="SATÉLITE"/>
      <sheetName val="LOMAS DE CASABLANCA"/>
      <sheetName val="SAN PEDRO MÁRTIR"/>
      <sheetName val="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4">
          <cell r="F14" t="str">
            <v xml:space="preserve"> </v>
          </cell>
        </row>
        <row r="16">
          <cell r="F16">
            <v>980</v>
          </cell>
        </row>
        <row r="18">
          <cell r="F18">
            <v>1020</v>
          </cell>
        </row>
        <row r="20">
          <cell r="F20">
            <v>1820</v>
          </cell>
        </row>
        <row r="22">
          <cell r="F22">
            <v>34</v>
          </cell>
        </row>
        <row r="24">
          <cell r="F24">
            <v>64</v>
          </cell>
        </row>
        <row r="26">
          <cell r="F26">
            <v>57</v>
          </cell>
        </row>
        <row r="28">
          <cell r="F28">
            <v>96</v>
          </cell>
        </row>
        <row r="30">
          <cell r="F30" t="str">
            <v xml:space="preserve"> </v>
          </cell>
        </row>
        <row r="32">
          <cell r="F32">
            <v>38</v>
          </cell>
        </row>
        <row r="34">
          <cell r="F34">
            <v>337</v>
          </cell>
        </row>
        <row r="36">
          <cell r="F36">
            <v>59</v>
          </cell>
        </row>
        <row r="38">
          <cell r="F38">
            <v>50</v>
          </cell>
        </row>
        <row r="40">
          <cell r="F40">
            <v>755</v>
          </cell>
        </row>
        <row r="42">
          <cell r="F42" t="str">
            <v xml:space="preserve"> </v>
          </cell>
        </row>
        <row r="44">
          <cell r="F44" t="str">
            <v xml:space="preserve"> </v>
          </cell>
        </row>
        <row r="46">
          <cell r="F46" t="str">
            <v xml:space="preserve"> </v>
          </cell>
        </row>
        <row r="48">
          <cell r="F48" t="str">
            <v xml:space="preserve"> </v>
          </cell>
        </row>
        <row r="50">
          <cell r="F50" t="str">
            <v xml:space="preserve"> </v>
          </cell>
        </row>
        <row r="52">
          <cell r="F52">
            <v>195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tabSelected="1" view="pageBreakPreview" topLeftCell="A23" zoomScale="60" zoomScaleNormal="50" workbookViewId="0">
      <selection activeCell="H36" sqref="H36"/>
    </sheetView>
  </sheetViews>
  <sheetFormatPr baseColWidth="10" defaultRowHeight="12.75" x14ac:dyDescent="0.2"/>
  <cols>
    <col min="1" max="1" width="43.7109375" style="121" customWidth="1"/>
    <col min="2" max="2" width="22.140625" style="121" customWidth="1"/>
    <col min="3" max="3" width="63" style="121" customWidth="1"/>
    <col min="4" max="4" width="34.85546875" style="121" customWidth="1"/>
    <col min="5" max="5" width="30.42578125" style="121" customWidth="1"/>
    <col min="6" max="6" width="24.5703125" style="121" customWidth="1"/>
    <col min="7" max="7" width="23.42578125" style="121" customWidth="1"/>
    <col min="8" max="8" width="23.140625" style="121" customWidth="1"/>
    <col min="9" max="9" width="33.42578125" style="121" customWidth="1"/>
    <col min="10" max="10" width="22.42578125" style="121" customWidth="1"/>
    <col min="11" max="11" width="40.28515625" style="121" customWidth="1"/>
    <col min="12" max="12" width="11.42578125" style="121"/>
    <col min="13" max="13" width="11.42578125" style="121" customWidth="1"/>
    <col min="14" max="14" width="22.140625" style="121" customWidth="1"/>
    <col min="15" max="15" width="11.42578125" style="121"/>
    <col min="16" max="16" width="28.28515625" style="121" customWidth="1"/>
    <col min="17" max="16384" width="11.42578125" style="121"/>
  </cols>
  <sheetData>
    <row r="1" spans="1:16" s="110" customFormat="1" ht="30" x14ac:dyDescent="0.2">
      <c r="A1" s="227" t="s">
        <v>49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109"/>
    </row>
    <row r="2" spans="1:16" s="110" customFormat="1" ht="30" x14ac:dyDescent="0.2">
      <c r="A2" s="227" t="s">
        <v>50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111"/>
    </row>
    <row r="3" spans="1:16" s="110" customFormat="1" ht="30" customHeight="1" x14ac:dyDescent="0.2">
      <c r="A3" s="227" t="s">
        <v>90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111"/>
    </row>
    <row r="4" spans="1:16" s="110" customFormat="1" ht="30" customHeight="1" x14ac:dyDescent="0.2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1"/>
    </row>
    <row r="5" spans="1:16" s="110" customFormat="1" ht="30" customHeight="1" x14ac:dyDescent="0.2">
      <c r="A5" s="227" t="s">
        <v>91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</row>
    <row r="6" spans="1:16" s="110" customFormat="1" ht="30" customHeight="1" x14ac:dyDescent="0.2">
      <c r="A6" s="108"/>
      <c r="B6" s="108"/>
      <c r="C6" s="108"/>
      <c r="D6" s="108"/>
      <c r="E6" s="113"/>
      <c r="F6" s="108"/>
      <c r="G6" s="108"/>
      <c r="H6" s="108"/>
      <c r="I6" s="108"/>
      <c r="J6" s="108"/>
      <c r="K6" s="113"/>
    </row>
    <row r="7" spans="1:16" s="118" customFormat="1" ht="39.950000000000003" customHeight="1" x14ac:dyDescent="0.35">
      <c r="A7" s="114" t="s">
        <v>92</v>
      </c>
      <c r="B7" s="228" t="s">
        <v>123</v>
      </c>
      <c r="C7" s="228"/>
      <c r="D7" s="228"/>
      <c r="E7" s="115"/>
      <c r="F7" s="116"/>
      <c r="G7" s="114" t="s">
        <v>1</v>
      </c>
      <c r="H7" s="228" t="s">
        <v>94</v>
      </c>
      <c r="I7" s="228"/>
      <c r="J7" s="228"/>
      <c r="K7" s="117"/>
    </row>
    <row r="8" spans="1:16" s="118" customFormat="1" ht="39.950000000000003" customHeight="1" x14ac:dyDescent="0.35">
      <c r="A8" s="114" t="s">
        <v>95</v>
      </c>
      <c r="B8" s="229" t="s">
        <v>96</v>
      </c>
      <c r="C8" s="229"/>
      <c r="D8" s="229"/>
      <c r="E8" s="119"/>
      <c r="F8" s="116"/>
      <c r="G8" s="114" t="s">
        <v>97</v>
      </c>
      <c r="H8" s="230"/>
      <c r="I8" s="230"/>
      <c r="J8" s="230"/>
      <c r="K8" s="117"/>
    </row>
    <row r="9" spans="1:16" s="118" customFormat="1" ht="39.950000000000003" customHeight="1" x14ac:dyDescent="0.35">
      <c r="A9" s="114" t="s">
        <v>98</v>
      </c>
      <c r="B9" s="228" t="s">
        <v>123</v>
      </c>
      <c r="C9" s="228"/>
      <c r="D9" s="228"/>
      <c r="E9" s="115"/>
      <c r="F9" s="116"/>
      <c r="G9" s="114" t="s">
        <v>39</v>
      </c>
      <c r="H9" s="231"/>
      <c r="I9" s="231"/>
      <c r="J9" s="231"/>
      <c r="K9" s="117"/>
    </row>
    <row r="10" spans="1:16" s="118" customFormat="1" ht="39.75" customHeight="1" x14ac:dyDescent="0.35">
      <c r="A10" s="114" t="s">
        <v>95</v>
      </c>
      <c r="B10" s="234" t="s">
        <v>96</v>
      </c>
      <c r="C10" s="234"/>
      <c r="D10" s="234"/>
      <c r="E10" s="119"/>
      <c r="F10" s="116"/>
      <c r="G10" s="114" t="s">
        <v>36</v>
      </c>
      <c r="H10" s="231" t="s">
        <v>79</v>
      </c>
      <c r="I10" s="231"/>
      <c r="J10" s="231"/>
      <c r="K10" s="117"/>
    </row>
    <row r="11" spans="1:16" ht="39.75" customHeight="1" thickBot="1" x14ac:dyDescent="0.25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0"/>
    </row>
    <row r="12" spans="1:16" s="123" customFormat="1" ht="20.25" x14ac:dyDescent="0.3">
      <c r="A12" s="247" t="s">
        <v>3</v>
      </c>
      <c r="B12" s="249" t="s">
        <v>43</v>
      </c>
      <c r="C12" s="249" t="s">
        <v>4</v>
      </c>
      <c r="D12" s="190" t="s">
        <v>106</v>
      </c>
      <c r="E12" s="122" t="s">
        <v>107</v>
      </c>
      <c r="F12" s="242" t="s">
        <v>5</v>
      </c>
      <c r="G12" s="243"/>
      <c r="H12" s="243"/>
      <c r="I12" s="243"/>
      <c r="J12" s="244"/>
      <c r="K12" s="245" t="s">
        <v>34</v>
      </c>
    </row>
    <row r="13" spans="1:16" s="123" customFormat="1" ht="21" thickBot="1" x14ac:dyDescent="0.35">
      <c r="A13" s="248"/>
      <c r="B13" s="250"/>
      <c r="C13" s="250"/>
      <c r="D13" s="191"/>
      <c r="E13" s="125" t="s">
        <v>108</v>
      </c>
      <c r="F13" s="124" t="s">
        <v>6</v>
      </c>
      <c r="G13" s="124" t="s">
        <v>7</v>
      </c>
      <c r="H13" s="124" t="s">
        <v>8</v>
      </c>
      <c r="I13" s="126" t="s">
        <v>9</v>
      </c>
      <c r="J13" s="126" t="s">
        <v>33</v>
      </c>
      <c r="K13" s="246"/>
    </row>
    <row r="14" spans="1:16" ht="26.25" customHeight="1" x14ac:dyDescent="0.2">
      <c r="A14" s="251" t="s">
        <v>41</v>
      </c>
      <c r="B14" s="252">
        <v>146</v>
      </c>
      <c r="C14" s="219" t="s">
        <v>29</v>
      </c>
      <c r="D14" s="192" t="s">
        <v>109</v>
      </c>
      <c r="E14" s="194" t="s">
        <v>110</v>
      </c>
      <c r="F14" s="208" t="str">
        <f>IF(SUM('[1]N.H.G'!$F14,[1]HENM!$F14,[2]GENERAL!$F14:$F15,[3]GENERAL!$F14:$F15,[4]GENERAL!$F14:$F15,[5]GENERAL!$F14:$F15)=0," ",SUM('[1]N.H.G'!$F14,[1]HENM!$F14,[2]GENERAL!$F14:$F15,[3]GENERAL!$F14:$F15,[4]GENERAL!$F14:$F15,[5]GENERAL!$F14:$F15))</f>
        <v xml:space="preserve"> </v>
      </c>
      <c r="G14" s="127" t="str">
        <f>IF(F14=0," ",F14)</f>
        <v xml:space="preserve"> </v>
      </c>
      <c r="H14" s="128" t="str">
        <f>IF(F14=0," ",F14)</f>
        <v xml:space="preserve"> </v>
      </c>
      <c r="I14" s="129"/>
      <c r="J14" s="130"/>
      <c r="K14" s="221"/>
      <c r="M14" s="131" t="str">
        <f>IFERROR(SUM(F14+(F44*10)+(F32*10)+F22+F34+(F36*10)+F48),"0")</f>
        <v>0</v>
      </c>
      <c r="N14" s="132" t="s">
        <v>67</v>
      </c>
      <c r="O14" s="132">
        <v>2715</v>
      </c>
      <c r="P14" s="132" t="s">
        <v>68</v>
      </c>
    </row>
    <row r="15" spans="1:16" ht="26.25" thickBot="1" x14ac:dyDescent="0.25">
      <c r="A15" s="236"/>
      <c r="B15" s="238"/>
      <c r="C15" s="220"/>
      <c r="D15" s="193"/>
      <c r="E15" s="195"/>
      <c r="F15" s="209"/>
      <c r="G15" s="133"/>
      <c r="H15" s="134"/>
      <c r="I15" s="135"/>
      <c r="J15" s="135"/>
      <c r="K15" s="222"/>
      <c r="M15" s="131">
        <f t="shared" ref="M15:M16" si="0">IFERROR(SUM(F15+(F45*10)+(F33*10)+F23+F35+(F37*10)+F49),"0")</f>
        <v>0</v>
      </c>
      <c r="N15" s="132" t="s">
        <v>67</v>
      </c>
      <c r="O15" s="132">
        <v>2707</v>
      </c>
      <c r="P15" s="132" t="s">
        <v>69</v>
      </c>
    </row>
    <row r="16" spans="1:16" ht="25.5" x14ac:dyDescent="0.2">
      <c r="A16" s="235" t="s">
        <v>55</v>
      </c>
      <c r="B16" s="237">
        <v>148</v>
      </c>
      <c r="C16" s="239" t="s">
        <v>10</v>
      </c>
      <c r="D16" s="192" t="s">
        <v>109</v>
      </c>
      <c r="E16" s="194" t="s">
        <v>111</v>
      </c>
      <c r="F16" s="357">
        <f>IF(SUM('[1]N.H.G'!$F16,[1]HENM!$F16,[2]GENERAL!$F16:$F17,[3]GENERAL!$F16:$F17,[4]GENERAL!$F16:$F17,[5]GENERAL!$F16:$F17)=0," ",SUM('[1]N.H.G'!$F16,[1]HENM!$F16,[2]GENERAL!$F16:$F17,[3]GENERAL!$F16:$F17,[4]GENERAL!$F16:$F17,[5]GENERAL!$F16:$F17))</f>
        <v>1790</v>
      </c>
      <c r="G16" s="136">
        <f>IF(F16=0," ",F16)</f>
        <v>1790</v>
      </c>
      <c r="H16" s="137">
        <f>IF(F16=0," ",F16)</f>
        <v>1790</v>
      </c>
      <c r="I16" s="138"/>
      <c r="J16" s="139"/>
      <c r="K16" s="241"/>
      <c r="M16" s="131" t="str">
        <f t="shared" si="0"/>
        <v>0</v>
      </c>
      <c r="N16" s="132" t="s">
        <v>67</v>
      </c>
      <c r="O16" s="132">
        <v>2699</v>
      </c>
      <c r="P16" s="132" t="s">
        <v>70</v>
      </c>
    </row>
    <row r="17" spans="1:16" ht="26.25" thickBot="1" x14ac:dyDescent="0.25">
      <c r="A17" s="236"/>
      <c r="B17" s="238"/>
      <c r="C17" s="240"/>
      <c r="D17" s="193"/>
      <c r="E17" s="195"/>
      <c r="F17" s="358"/>
      <c r="G17" s="133"/>
      <c r="H17" s="134"/>
      <c r="I17" s="135"/>
      <c r="J17" s="135"/>
      <c r="K17" s="222"/>
      <c r="M17" s="131">
        <f>IFERROR(SUM(F17+(F47*10)+(F35*10)+F25+F37+(F39*10)+F51),"0")</f>
        <v>0</v>
      </c>
      <c r="N17" s="132" t="s">
        <v>67</v>
      </c>
      <c r="O17" s="132">
        <v>2657</v>
      </c>
      <c r="P17" s="132" t="s">
        <v>71</v>
      </c>
    </row>
    <row r="18" spans="1:16" ht="26.25" customHeight="1" x14ac:dyDescent="0.2">
      <c r="A18" s="202" t="s">
        <v>80</v>
      </c>
      <c r="B18" s="204">
        <v>150</v>
      </c>
      <c r="C18" s="206" t="s">
        <v>81</v>
      </c>
      <c r="D18" s="192" t="s">
        <v>109</v>
      </c>
      <c r="E18" s="194" t="s">
        <v>111</v>
      </c>
      <c r="F18" s="357">
        <f>IF(SUM('[1]N.H.G'!$F18,[1]HENM!$F18,[2]GENERAL!$F18:$F19,[3]GENERAL!$F18:$F19,[4]GENERAL!$F18:$F19,[5]GENERAL!$F18:$F19)=0," ",SUM('[1]N.H.G'!$F18,[1]HENM!$F18,[2]GENERAL!$F18:$F19,[3]GENERAL!$F18:$F19,[4]GENERAL!$F18:$F19,[5]GENERAL!$F18:$F19))</f>
        <v>1650</v>
      </c>
      <c r="G18" s="136">
        <f>IF(F18=0," ",F18)</f>
        <v>1650</v>
      </c>
      <c r="H18" s="137">
        <f>IF(F18=0," ",F18)</f>
        <v>1650</v>
      </c>
      <c r="I18" s="138"/>
      <c r="J18" s="139"/>
      <c r="K18" s="223"/>
      <c r="M18" s="131" t="str">
        <f>IFERROR(SUM(F18+(F48*10)+(F36*10)+F26+F38+(F40*10)+F54),"0")</f>
        <v>0</v>
      </c>
      <c r="N18" s="132" t="s">
        <v>67</v>
      </c>
      <c r="O18" s="132">
        <v>59</v>
      </c>
      <c r="P18" s="132" t="s">
        <v>72</v>
      </c>
    </row>
    <row r="19" spans="1:16" ht="26.25" thickBot="1" x14ac:dyDescent="0.25">
      <c r="A19" s="203"/>
      <c r="B19" s="205"/>
      <c r="C19" s="207"/>
      <c r="D19" s="193"/>
      <c r="E19" s="195"/>
      <c r="F19" s="358"/>
      <c r="G19" s="133"/>
      <c r="H19" s="134"/>
      <c r="I19" s="135"/>
      <c r="J19" s="135"/>
      <c r="K19" s="224"/>
    </row>
    <row r="20" spans="1:16" ht="25.5" x14ac:dyDescent="0.2">
      <c r="A20" s="202" t="s">
        <v>53</v>
      </c>
      <c r="B20" s="204">
        <v>6135</v>
      </c>
      <c r="C20" s="206" t="s">
        <v>56</v>
      </c>
      <c r="D20" s="192" t="s">
        <v>109</v>
      </c>
      <c r="E20" s="194" t="s">
        <v>110</v>
      </c>
      <c r="F20" s="357">
        <f>IF(SUM('[1]N.H.G'!$F20,[1]HENM!$F20,[2]GENERAL!$F20:$F21,[3]GENERAL!$F20:$F21,[4]GENERAL!$F20:$F21,[5]GENERAL!$F20:$F21)=0," ",SUM('[1]N.H.G'!$F20,[1]HENM!$F20,[2]GENERAL!$F20:$F21,[3]GENERAL!$F20:$F21,[4]GENERAL!$F20:$F21,[5]GENERAL!$F20:$F21))</f>
        <v>2970</v>
      </c>
      <c r="G20" s="136">
        <f>IF(F20=0," ",F20)</f>
        <v>2970</v>
      </c>
      <c r="H20" s="137">
        <f>IF(F20=0," ",F20)</f>
        <v>2970</v>
      </c>
      <c r="I20" s="138"/>
      <c r="J20" s="139"/>
      <c r="K20" s="223"/>
    </row>
    <row r="21" spans="1:16" ht="26.25" thickBot="1" x14ac:dyDescent="0.25">
      <c r="A21" s="203"/>
      <c r="B21" s="205"/>
      <c r="C21" s="207"/>
      <c r="D21" s="193"/>
      <c r="E21" s="195"/>
      <c r="F21" s="358"/>
      <c r="G21" s="133"/>
      <c r="H21" s="134"/>
      <c r="I21" s="135"/>
      <c r="J21" s="135"/>
      <c r="K21" s="224"/>
    </row>
    <row r="22" spans="1:16" ht="25.5" x14ac:dyDescent="0.2">
      <c r="A22" s="202" t="s">
        <v>16</v>
      </c>
      <c r="B22" s="204">
        <v>2526</v>
      </c>
      <c r="C22" s="206" t="s">
        <v>23</v>
      </c>
      <c r="D22" s="192" t="s">
        <v>112</v>
      </c>
      <c r="E22" s="194" t="s">
        <v>110</v>
      </c>
      <c r="F22" s="357">
        <f>IF(SUM('[1]N.H.G'!$F22,[1]HENM!$F22,[2]GENERAL!$F22:$F23,[3]GENERAL!$F22:$F23,[4]GENERAL!$F22:$F23,[5]GENERAL!$F22:$F23)=0," ",SUM('[1]N.H.G'!$F22,[1]HENM!$F22,[2]GENERAL!$F22:$F23,[3]GENERAL!$F22:$F23,[4]GENERAL!$F22:$F23,[5]GENERAL!$F22:$F23))</f>
        <v>91</v>
      </c>
      <c r="G22" s="136">
        <f>IF(F22=0," ",F22)</f>
        <v>91</v>
      </c>
      <c r="H22" s="137">
        <f>IF(F22=0," ",F22)</f>
        <v>91</v>
      </c>
      <c r="I22" s="138"/>
      <c r="J22" s="140"/>
      <c r="K22" s="210"/>
    </row>
    <row r="23" spans="1:16" ht="26.25" thickBot="1" x14ac:dyDescent="0.25">
      <c r="A23" s="203"/>
      <c r="B23" s="205"/>
      <c r="C23" s="207"/>
      <c r="D23" s="193"/>
      <c r="E23" s="195"/>
      <c r="F23" s="358"/>
      <c r="G23" s="133"/>
      <c r="H23" s="134"/>
      <c r="I23" s="135"/>
      <c r="J23" s="141"/>
      <c r="K23" s="211"/>
    </row>
    <row r="24" spans="1:16" ht="25.5" x14ac:dyDescent="0.2">
      <c r="A24" s="202" t="s">
        <v>63</v>
      </c>
      <c r="B24" s="204">
        <v>2527</v>
      </c>
      <c r="C24" s="206" t="s">
        <v>24</v>
      </c>
      <c r="D24" s="192" t="s">
        <v>109</v>
      </c>
      <c r="E24" s="194" t="s">
        <v>110</v>
      </c>
      <c r="F24" s="357">
        <f>IF(SUM('[1]N.H.G'!$F24,[1]HENM!$F24,[2]GENERAL!$F24:$F25,[3]GENERAL!$F24:$F25,[4]GENERAL!$F24:$F25,[5]GENERAL!$F24:$F25)=0," ",SUM('[1]N.H.G'!$F24,[1]HENM!$F24,[2]GENERAL!$F24:$F25,[3]GENERAL!$F24:$F25,[4]GENERAL!$F24:$F25,[5]GENERAL!$F24:$F25))</f>
        <v>334</v>
      </c>
      <c r="G24" s="136">
        <f>IF(F24=0," ",F24)</f>
        <v>334</v>
      </c>
      <c r="H24" s="137">
        <f>IF(F24=0," ",F24)</f>
        <v>334</v>
      </c>
      <c r="I24" s="138"/>
      <c r="J24" s="140"/>
      <c r="K24" s="225"/>
    </row>
    <row r="25" spans="1:16" ht="26.25" thickBot="1" x14ac:dyDescent="0.25">
      <c r="A25" s="203"/>
      <c r="B25" s="205"/>
      <c r="C25" s="207"/>
      <c r="D25" s="193"/>
      <c r="E25" s="195"/>
      <c r="F25" s="358"/>
      <c r="G25" s="133"/>
      <c r="H25" s="134"/>
      <c r="I25" s="135"/>
      <c r="J25" s="141"/>
      <c r="K25" s="226"/>
    </row>
    <row r="26" spans="1:16" ht="25.5" x14ac:dyDescent="0.2">
      <c r="A26" s="202" t="s">
        <v>14</v>
      </c>
      <c r="B26" s="204">
        <v>3800</v>
      </c>
      <c r="C26" s="206" t="s">
        <v>45</v>
      </c>
      <c r="D26" s="192" t="s">
        <v>112</v>
      </c>
      <c r="E26" s="194" t="s">
        <v>113</v>
      </c>
      <c r="F26" s="357">
        <f>IF(SUM('[1]N.H.G'!$F26,[1]HENM!$F26,[2]GENERAL!$F26:$F27,[3]GENERAL!$F26:$F27,[4]GENERAL!$F26:$F27,[5]GENERAL!$F26:$F27)=0," ",SUM('[1]N.H.G'!$F26,[1]HENM!$F26,[2]GENERAL!$F26:$F27,[3]GENERAL!$F26:$F27,[4]GENERAL!$F26:$F27,[5]GENERAL!$F26:$F27))</f>
        <v>73</v>
      </c>
      <c r="G26" s="136">
        <f>IF(F26=0," ",F26)</f>
        <v>73</v>
      </c>
      <c r="H26" s="137">
        <f>IF(F26=0," ",F26)</f>
        <v>73</v>
      </c>
      <c r="I26" s="136"/>
      <c r="J26" s="140"/>
      <c r="K26" s="210"/>
    </row>
    <row r="27" spans="1:16" ht="26.25" thickBot="1" x14ac:dyDescent="0.25">
      <c r="A27" s="203"/>
      <c r="B27" s="205"/>
      <c r="C27" s="207"/>
      <c r="D27" s="193"/>
      <c r="E27" s="195"/>
      <c r="F27" s="358"/>
      <c r="G27" s="133"/>
      <c r="H27" s="134"/>
      <c r="I27" s="135"/>
      <c r="J27" s="142"/>
      <c r="K27" s="211"/>
    </row>
    <row r="28" spans="1:16" ht="25.5" x14ac:dyDescent="0.2">
      <c r="A28" s="202" t="s">
        <v>15</v>
      </c>
      <c r="B28" s="204">
        <v>3801</v>
      </c>
      <c r="C28" s="206" t="s">
        <v>25</v>
      </c>
      <c r="D28" s="192" t="s">
        <v>112</v>
      </c>
      <c r="E28" s="194" t="s">
        <v>113</v>
      </c>
      <c r="F28" s="357">
        <f>IF(SUM('[1]N.H.G'!$F28,[1]HENM!$F28,[2]GENERAL!$F28:$F29,[3]GENERAL!$F28:$F29,[4]GENERAL!$F28:$F29,[5]GENERAL!$F28:$F29)=0," ",SUM('[1]N.H.G'!$F28,[1]HENM!$F28,[2]GENERAL!$F28:$F29,[3]GENERAL!$F28:$F29,[4]GENERAL!$F28:$F29,[5]GENERAL!$F28:$F29))</f>
        <v>241</v>
      </c>
      <c r="G28" s="136">
        <f>IF(F28=0," ",F28)</f>
        <v>241</v>
      </c>
      <c r="H28" s="137">
        <f>IF(F28=0," ",F28)</f>
        <v>241</v>
      </c>
      <c r="I28" s="138"/>
      <c r="J28" s="140"/>
      <c r="K28" s="210"/>
    </row>
    <row r="29" spans="1:16" ht="26.25" thickBot="1" x14ac:dyDescent="0.25">
      <c r="A29" s="203"/>
      <c r="B29" s="205"/>
      <c r="C29" s="207"/>
      <c r="D29" s="193"/>
      <c r="E29" s="195"/>
      <c r="F29" s="358"/>
      <c r="G29" s="133"/>
      <c r="H29" s="134"/>
      <c r="I29" s="135"/>
      <c r="J29" s="141"/>
      <c r="K29" s="211"/>
    </row>
    <row r="30" spans="1:16" ht="26.25" customHeight="1" x14ac:dyDescent="0.2">
      <c r="A30" s="202" t="s">
        <v>17</v>
      </c>
      <c r="B30" s="204">
        <v>3802</v>
      </c>
      <c r="C30" s="206" t="s">
        <v>47</v>
      </c>
      <c r="D30" s="192" t="s">
        <v>112</v>
      </c>
      <c r="E30" s="194" t="s">
        <v>114</v>
      </c>
      <c r="F30" s="208" t="str">
        <f>IF(SUM('[1]N.H.G'!$F30,[1]HENM!$F30,[2]GENERAL!$F30:$F31,[3]GENERAL!$F30:$F31,[4]GENERAL!$F30:$F31,[5]GENERAL!$F30:$F31)=0," ",SUM('[1]N.H.G'!$F30,[1]HENM!$F30,[2]GENERAL!$F30:$F31,[3]GENERAL!$F30:$F31,[4]GENERAL!$F30:$F31,[5]GENERAL!$F30:$F31))</f>
        <v xml:space="preserve"> </v>
      </c>
      <c r="G30" s="136" t="str">
        <f>IF(F30=0," ",F30)</f>
        <v xml:space="preserve"> </v>
      </c>
      <c r="H30" s="137" t="str">
        <f>IF(F30=0," ",F30)</f>
        <v xml:space="preserve"> </v>
      </c>
      <c r="I30" s="138"/>
      <c r="J30" s="143"/>
      <c r="K30" s="210"/>
    </row>
    <row r="31" spans="1:16" ht="26.25" thickBot="1" x14ac:dyDescent="0.25">
      <c r="A31" s="203"/>
      <c r="B31" s="205"/>
      <c r="C31" s="207"/>
      <c r="D31" s="193"/>
      <c r="E31" s="195"/>
      <c r="F31" s="209"/>
      <c r="G31" s="133"/>
      <c r="H31" s="134"/>
      <c r="I31" s="135"/>
      <c r="J31" s="141"/>
      <c r="K31" s="211"/>
    </row>
    <row r="32" spans="1:16" ht="25.5" x14ac:dyDescent="0.2">
      <c r="A32" s="202" t="s">
        <v>18</v>
      </c>
      <c r="B32" s="204">
        <v>3805</v>
      </c>
      <c r="C32" s="206" t="s">
        <v>26</v>
      </c>
      <c r="D32" s="192" t="s">
        <v>112</v>
      </c>
      <c r="E32" s="194" t="s">
        <v>110</v>
      </c>
      <c r="F32" s="357">
        <f>IF(SUM('[1]N.H.G'!$F32,[1]HENM!$F32,[2]GENERAL!$F32:$F33,[3]GENERAL!$F32:$F33,[4]GENERAL!$F32:$F33,[5]GENERAL!$F32:$F33)=0," ",SUM('[1]N.H.G'!$F32,[1]HENM!$F32,[2]GENERAL!$F32:$F33,[3]GENERAL!$F32:$F33,[4]GENERAL!$F32:$F33,[5]GENERAL!$F32:$F33))</f>
        <v>76</v>
      </c>
      <c r="G32" s="136">
        <f>IF(F32=0," ",F32)</f>
        <v>76</v>
      </c>
      <c r="H32" s="137">
        <f>IF(F32=0," ",F32)</f>
        <v>76</v>
      </c>
      <c r="I32" s="138"/>
      <c r="J32" s="140"/>
      <c r="K32" s="210"/>
    </row>
    <row r="33" spans="1:11" ht="26.25" thickBot="1" x14ac:dyDescent="0.25">
      <c r="A33" s="203"/>
      <c r="B33" s="205"/>
      <c r="C33" s="207"/>
      <c r="D33" s="193"/>
      <c r="E33" s="195"/>
      <c r="F33" s="358"/>
      <c r="G33" s="133"/>
      <c r="H33" s="134"/>
      <c r="I33" s="142"/>
      <c r="K33" s="211"/>
    </row>
    <row r="34" spans="1:11" ht="25.5" x14ac:dyDescent="0.2">
      <c r="A34" s="202" t="s">
        <v>57</v>
      </c>
      <c r="B34" s="204">
        <v>3808</v>
      </c>
      <c r="C34" s="206" t="s">
        <v>27</v>
      </c>
      <c r="D34" s="192" t="s">
        <v>109</v>
      </c>
      <c r="E34" s="194" t="s">
        <v>110</v>
      </c>
      <c r="F34" s="357">
        <f>IF(SUM('[1]N.H.G'!$F34,[1]HENM!$F34,[2]GENERAL!$F34:$F35,[3]GENERAL!$F34:$F35,[4]GENERAL!$F34:$F35,[5]GENERAL!$F34:$F35)=0," ",SUM('[1]N.H.G'!$F34,[1]HENM!$F34,[2]GENERAL!$F34:$F35,[3]GENERAL!$F34:$F35,[4]GENERAL!$F34:$F35,[5]GENERAL!$F34:$F35))</f>
        <v>556</v>
      </c>
      <c r="G34" s="136">
        <f>IF(F34=0," ",F34)</f>
        <v>556</v>
      </c>
      <c r="H34" s="137">
        <f>IF(F34=0," ",F34)</f>
        <v>556</v>
      </c>
      <c r="I34" s="138"/>
      <c r="J34" s="140"/>
      <c r="K34" s="210"/>
    </row>
    <row r="35" spans="1:11" ht="26.25" thickBot="1" x14ac:dyDescent="0.25">
      <c r="A35" s="203"/>
      <c r="B35" s="205"/>
      <c r="C35" s="207"/>
      <c r="D35" s="193"/>
      <c r="E35" s="195"/>
      <c r="F35" s="358"/>
      <c r="G35" s="133"/>
      <c r="H35" s="134"/>
      <c r="I35" s="135"/>
      <c r="J35" s="142"/>
      <c r="K35" s="211"/>
    </row>
    <row r="36" spans="1:11" ht="25.5" x14ac:dyDescent="0.2">
      <c r="A36" s="202" t="s">
        <v>21</v>
      </c>
      <c r="B36" s="204">
        <v>3810</v>
      </c>
      <c r="C36" s="206" t="s">
        <v>48</v>
      </c>
      <c r="D36" s="192" t="s">
        <v>112</v>
      </c>
      <c r="E36" s="194" t="s">
        <v>110</v>
      </c>
      <c r="F36" s="357">
        <f>IF(SUM('[1]N.H.G'!$F36,[1]HENM!$F36,[2]GENERAL!$F36:$F37,[3]GENERAL!$F36:$F37,[4]GENERAL!$F36:$F37,[5]GENERAL!$F36:$F37)=0," ",SUM('[1]N.H.G'!$F36,[1]HENM!$F36,[2]GENERAL!$F36:$F37,[3]GENERAL!$F36:$F37,[4]GENERAL!$F36:$F37,[5]GENERAL!$F36:$F37))</f>
        <v>98</v>
      </c>
      <c r="G36" s="136">
        <f>IF(F36=0," ",F36)</f>
        <v>98</v>
      </c>
      <c r="H36" s="137">
        <f>IF(F36=0," ",F36)</f>
        <v>98</v>
      </c>
      <c r="I36" s="138"/>
      <c r="J36" s="140"/>
      <c r="K36" s="214"/>
    </row>
    <row r="37" spans="1:11" ht="26.25" thickBot="1" x14ac:dyDescent="0.25">
      <c r="A37" s="203"/>
      <c r="B37" s="205"/>
      <c r="C37" s="207"/>
      <c r="D37" s="193"/>
      <c r="E37" s="195"/>
      <c r="F37" s="358"/>
      <c r="G37" s="133"/>
      <c r="H37" s="134"/>
      <c r="I37" s="135"/>
      <c r="J37" s="142"/>
      <c r="K37" s="215"/>
    </row>
    <row r="38" spans="1:11" ht="25.5" x14ac:dyDescent="0.2">
      <c r="A38" s="202" t="s">
        <v>64</v>
      </c>
      <c r="B38" s="204">
        <v>6056</v>
      </c>
      <c r="C38" s="206" t="s">
        <v>31</v>
      </c>
      <c r="D38" s="192" t="s">
        <v>109</v>
      </c>
      <c r="E38" s="194" t="s">
        <v>113</v>
      </c>
      <c r="F38" s="208">
        <f>IF(SUM('[1]N.H.G'!$F38,[1]HENM!$F38,[2]GENERAL!$F38:$F39,[3]GENERAL!$F38:$F39,[4]GENERAL!$F38:$F39,[5]GENERAL!$F38:$F39)=0," ",SUM('[1]N.H.G'!$F38,[1]HENM!$F38,[2]GENERAL!$F38:$F39,[3]GENERAL!$F38:$F39,[4]GENERAL!$F38:$F39,[5]GENERAL!$F38:$F39))</f>
        <v>50</v>
      </c>
      <c r="G38" s="144">
        <f>IF(F38=0," ",F38)</f>
        <v>50</v>
      </c>
      <c r="H38" s="137">
        <f>IF(F38=0," ",F38)</f>
        <v>50</v>
      </c>
      <c r="I38" s="138"/>
      <c r="J38" s="140"/>
      <c r="K38" s="214"/>
    </row>
    <row r="39" spans="1:11" ht="26.25" thickBot="1" x14ac:dyDescent="0.25">
      <c r="A39" s="203"/>
      <c r="B39" s="205"/>
      <c r="C39" s="207"/>
      <c r="D39" s="193"/>
      <c r="E39" s="195"/>
      <c r="F39" s="209"/>
      <c r="G39" s="145"/>
      <c r="H39" s="134"/>
      <c r="I39" s="135"/>
      <c r="J39" s="141"/>
      <c r="K39" s="215"/>
    </row>
    <row r="40" spans="1:11" ht="25.5" x14ac:dyDescent="0.2">
      <c r="A40" s="202" t="s">
        <v>19</v>
      </c>
      <c r="B40" s="204">
        <v>3820</v>
      </c>
      <c r="C40" s="206" t="s">
        <v>46</v>
      </c>
      <c r="D40" s="192" t="s">
        <v>109</v>
      </c>
      <c r="E40" s="194" t="s">
        <v>113</v>
      </c>
      <c r="F40" s="357">
        <f>IF(SUM('[1]N.H.G'!$F40,[1]HENM!$F40,[2]GENERAL!$F40:$F41,[3]GENERAL!$F40:$F41,[4]GENERAL!$F40:$F41,[5]GENERAL!$F40:$F41)=0," ",SUM('[1]N.H.G'!$F40,[1]HENM!$F40,[2]GENERAL!$F40:$F41,[3]GENERAL!$F40:$F41,[4]GENERAL!$F40:$F41,[5]GENERAL!$F40:$F41))</f>
        <v>1095</v>
      </c>
      <c r="G40" s="136">
        <f>IF(F40=0," ",F40)</f>
        <v>1095</v>
      </c>
      <c r="H40" s="137">
        <f>IF(F40=0," ",F40)</f>
        <v>1095</v>
      </c>
      <c r="I40" s="138"/>
      <c r="J40" s="140"/>
      <c r="K40" s="214"/>
    </row>
    <row r="41" spans="1:11" ht="26.25" thickBot="1" x14ac:dyDescent="0.25">
      <c r="A41" s="216"/>
      <c r="B41" s="217"/>
      <c r="C41" s="218"/>
      <c r="D41" s="193"/>
      <c r="E41" s="195"/>
      <c r="F41" s="358"/>
      <c r="G41" s="133"/>
      <c r="H41" s="134"/>
      <c r="I41" s="135"/>
      <c r="J41" s="142"/>
      <c r="K41" s="215"/>
    </row>
    <row r="42" spans="1:11" ht="26.25" customHeight="1" x14ac:dyDescent="0.2">
      <c r="A42" s="202" t="s">
        <v>20</v>
      </c>
      <c r="B42" s="204">
        <v>3821</v>
      </c>
      <c r="C42" s="206" t="s">
        <v>28</v>
      </c>
      <c r="D42" s="192" t="s">
        <v>112</v>
      </c>
      <c r="E42" s="194" t="s">
        <v>113</v>
      </c>
      <c r="F42" s="208" t="str">
        <f>IF(SUM('[1]N.H.G'!$F42,[1]HENM!$F42,[2]GENERAL!$F42:$F43,[3]GENERAL!$F42:$F43,[4]GENERAL!$F42:$F43,[5]GENERAL!$F42:$F43)=0," ",SUM('[1]N.H.G'!$F42,[1]HENM!$F42,[2]GENERAL!$F42:$F43,[3]GENERAL!$F42:$F43,[4]GENERAL!$F42:$F43,[5]GENERAL!$F42:$F43))</f>
        <v xml:space="preserve"> </v>
      </c>
      <c r="G42" s="136" t="str">
        <f>IF(F42=0," ",F42)</f>
        <v xml:space="preserve"> </v>
      </c>
      <c r="H42" s="137" t="str">
        <f>IF(F42=0," ",F42)</f>
        <v xml:space="preserve"> </v>
      </c>
      <c r="I42" s="138"/>
      <c r="J42" s="146"/>
      <c r="K42" s="214"/>
    </row>
    <row r="43" spans="1:11" ht="26.25" thickBot="1" x14ac:dyDescent="0.25">
      <c r="A43" s="203"/>
      <c r="B43" s="205"/>
      <c r="C43" s="207"/>
      <c r="D43" s="193"/>
      <c r="E43" s="195"/>
      <c r="F43" s="209"/>
      <c r="G43" s="133"/>
      <c r="H43" s="134"/>
      <c r="I43" s="135"/>
      <c r="J43" s="142"/>
      <c r="K43" s="215"/>
    </row>
    <row r="44" spans="1:11" ht="25.5" x14ac:dyDescent="0.2">
      <c r="A44" s="202" t="s">
        <v>58</v>
      </c>
      <c r="B44" s="204">
        <v>3822</v>
      </c>
      <c r="C44" s="206" t="s">
        <v>38</v>
      </c>
      <c r="D44" s="192" t="s">
        <v>112</v>
      </c>
      <c r="E44" s="194" t="s">
        <v>110</v>
      </c>
      <c r="F44" s="208" t="str">
        <f>IF(SUM('[1]N.H.G'!$F44,[1]HENM!$F44,[2]GENERAL!$F44:$F45,[3]GENERAL!$F44:$F45,[4]GENERAL!$F44:$F45,[5]GENERAL!$F44:$F45)=0," ",SUM('[1]N.H.G'!$F44,[1]HENM!$F44,[2]GENERAL!$F44:$F45,[3]GENERAL!$F44:$F45,[4]GENERAL!$F44:$F45,[5]GENERAL!$F44:$F45))</f>
        <v xml:space="preserve"> </v>
      </c>
      <c r="G44" s="136">
        <v>2820</v>
      </c>
      <c r="H44" s="137">
        <v>2820</v>
      </c>
      <c r="I44" s="138" t="s">
        <v>130</v>
      </c>
      <c r="J44" s="140">
        <v>46204</v>
      </c>
      <c r="K44" s="210"/>
    </row>
    <row r="45" spans="1:11" ht="26.25" thickBot="1" x14ac:dyDescent="0.25">
      <c r="A45" s="203"/>
      <c r="B45" s="205"/>
      <c r="C45" s="207"/>
      <c r="D45" s="193"/>
      <c r="E45" s="195"/>
      <c r="F45" s="209"/>
      <c r="G45" s="133">
        <v>1000</v>
      </c>
      <c r="H45" s="134">
        <v>1000</v>
      </c>
      <c r="I45" s="135" t="s">
        <v>131</v>
      </c>
      <c r="J45" s="141">
        <v>46235</v>
      </c>
      <c r="K45" s="211"/>
    </row>
    <row r="46" spans="1:11" ht="26.25" customHeight="1" x14ac:dyDescent="0.2">
      <c r="A46" s="202" t="s">
        <v>32</v>
      </c>
      <c r="B46" s="204">
        <v>3832</v>
      </c>
      <c r="C46" s="206" t="s">
        <v>37</v>
      </c>
      <c r="D46" s="192" t="s">
        <v>109</v>
      </c>
      <c r="E46" s="194" t="s">
        <v>110</v>
      </c>
      <c r="F46" s="208" t="str">
        <f>IF(SUM('[1]N.H.G'!$F46,[1]HENM!$F46,[2]GENERAL!$F46:$F47,[3]GENERAL!$F46:$F47,[4]GENERAL!$F46:$F47,[5]GENERAL!$F46:$F47)=0," ",SUM('[1]N.H.G'!$F46,[1]HENM!$F46,[2]GENERAL!$F46:$F47,[3]GENERAL!$F46:$F47,[4]GENERAL!$F46:$F47,[5]GENERAL!$F46:$F47))</f>
        <v xml:space="preserve"> </v>
      </c>
      <c r="G46" s="137" t="str">
        <f>IF(F46=0," ",F46)</f>
        <v xml:space="preserve"> </v>
      </c>
      <c r="H46" s="137" t="str">
        <f>IF(F46=0," ",F46)</f>
        <v xml:space="preserve"> </v>
      </c>
      <c r="I46" s="138"/>
      <c r="J46" s="146"/>
      <c r="K46" s="214"/>
    </row>
    <row r="47" spans="1:11" ht="26.25" thickBot="1" x14ac:dyDescent="0.25">
      <c r="A47" s="203"/>
      <c r="B47" s="205"/>
      <c r="C47" s="207"/>
      <c r="D47" s="193"/>
      <c r="E47" s="195"/>
      <c r="F47" s="209"/>
      <c r="G47" s="134"/>
      <c r="H47" s="134"/>
      <c r="I47" s="135"/>
      <c r="J47" s="142"/>
      <c r="K47" s="215"/>
    </row>
    <row r="48" spans="1:11" ht="25.5" x14ac:dyDescent="0.2">
      <c r="A48" s="202" t="s">
        <v>59</v>
      </c>
      <c r="B48" s="204">
        <v>4173</v>
      </c>
      <c r="C48" s="206" t="s">
        <v>12</v>
      </c>
      <c r="D48" s="192" t="s">
        <v>109</v>
      </c>
      <c r="E48" s="194" t="s">
        <v>110</v>
      </c>
      <c r="F48" s="208" t="str">
        <f>IF(SUM('[1]N.H.G'!$F48,[1]HENM!$F48,[2]GENERAL!$F48:$F49,[3]GENERAL!$F48:$F49,[4]GENERAL!$F48:$F49,[5]GENERAL!$F48:$F49)=0," ",SUM('[1]N.H.G'!$F48,[1]HENM!$F48,[2]GENERAL!$F48:$F49,[3]GENERAL!$F48:$F49,[4]GENERAL!$F48:$F49,[5]GENERAL!$F48:$F49))</f>
        <v xml:space="preserve"> </v>
      </c>
      <c r="G48" s="137" t="str">
        <f>IF(F48=0," ",F48)</f>
        <v xml:space="preserve"> </v>
      </c>
      <c r="H48" s="137" t="str">
        <f>IF(F48=0," ",F48)</f>
        <v xml:space="preserve"> </v>
      </c>
      <c r="I48" s="138"/>
      <c r="J48" s="146"/>
      <c r="K48" s="210"/>
    </row>
    <row r="49" spans="1:13" ht="26.25" thickBot="1" x14ac:dyDescent="0.25">
      <c r="A49" s="203"/>
      <c r="B49" s="205"/>
      <c r="C49" s="207"/>
      <c r="D49" s="193"/>
      <c r="E49" s="195"/>
      <c r="F49" s="209"/>
      <c r="G49" s="134"/>
      <c r="H49" s="134"/>
      <c r="I49" s="135"/>
      <c r="J49" s="142"/>
      <c r="K49" s="211"/>
    </row>
    <row r="50" spans="1:13" ht="25.5" x14ac:dyDescent="0.2">
      <c r="A50" s="202" t="s">
        <v>22</v>
      </c>
      <c r="B50" s="212">
        <v>2</v>
      </c>
      <c r="C50" s="206" t="s">
        <v>30</v>
      </c>
      <c r="D50" s="192" t="s">
        <v>109</v>
      </c>
      <c r="E50" s="194" t="s">
        <v>115</v>
      </c>
      <c r="F50" s="208" t="str">
        <f>IF(SUM('[1]N.H.G'!$F50,[1]HENM!$F50,[2]GENERAL!$F50:$F51,[3]GENERAL!$F50:$F51,[4]GENERAL!$F50:$F51,[5]GENERAL!$F50:$F51)=0," ",SUM('[1]N.H.G'!$F50,[1]HENM!$F50,[2]GENERAL!$F50:$F51,[3]GENERAL!$F50:$F51,[4]GENERAL!$F50:$F51,[5]GENERAL!$F50:$F51))</f>
        <v xml:space="preserve"> </v>
      </c>
      <c r="G50" s="137" t="str">
        <f>IF(F50=0," ",F50)</f>
        <v xml:space="preserve"> </v>
      </c>
      <c r="H50" s="137" t="str">
        <f>IF(F50=0," ",F50)</f>
        <v xml:space="preserve"> </v>
      </c>
      <c r="I50" s="146"/>
      <c r="J50" s="146"/>
      <c r="K50" s="214"/>
    </row>
    <row r="51" spans="1:13" ht="26.25" thickBot="1" x14ac:dyDescent="0.25">
      <c r="A51" s="203"/>
      <c r="B51" s="213"/>
      <c r="C51" s="207"/>
      <c r="D51" s="193"/>
      <c r="E51" s="195"/>
      <c r="F51" s="209"/>
      <c r="G51" s="134"/>
      <c r="H51" s="134"/>
      <c r="I51" s="142"/>
      <c r="J51" s="142"/>
      <c r="K51" s="215"/>
    </row>
    <row r="52" spans="1:13" ht="25.5" x14ac:dyDescent="0.2">
      <c r="A52" s="202" t="s">
        <v>129</v>
      </c>
      <c r="B52" s="232">
        <v>6502</v>
      </c>
      <c r="C52" s="206" t="s">
        <v>128</v>
      </c>
      <c r="D52" s="192" t="s">
        <v>112</v>
      </c>
      <c r="E52" s="194" t="s">
        <v>110</v>
      </c>
      <c r="F52" s="357">
        <f>IF(SUM('[1]N.H.G'!$F52,[1]HENM!$F52,[2]GENERAL!$F52:$F53,[3]GENERAL!$F52:$F53,[4]GENERAL!$F52:$F53,[5]GENERAL!$F52:$F53)=0," ",SUM('[1]N.H.G'!$F52,[1]HENM!$F52,[2]GENERAL!$F52:$F53,[3]GENERAL!$F52:$F53,[4]GENERAL!$F52:$F53,[5]GENERAL!$F52:$F53))</f>
        <v>410</v>
      </c>
      <c r="G52" s="137">
        <f>IF(F52=0," ",F52)</f>
        <v>410</v>
      </c>
      <c r="H52" s="137">
        <f>IF(F52=0," ",F52)</f>
        <v>410</v>
      </c>
      <c r="I52" s="146"/>
      <c r="J52" s="146"/>
      <c r="K52" s="214"/>
    </row>
    <row r="53" spans="1:13" ht="26.25" thickBot="1" x14ac:dyDescent="0.25">
      <c r="A53" s="203"/>
      <c r="B53" s="233"/>
      <c r="C53" s="207"/>
      <c r="D53" s="193"/>
      <c r="E53" s="195"/>
      <c r="F53" s="358"/>
      <c r="G53" s="134"/>
      <c r="H53" s="134"/>
      <c r="I53" s="142"/>
      <c r="J53" s="142"/>
      <c r="K53" s="215"/>
    </row>
    <row r="54" spans="1:13" s="149" customFormat="1" ht="25.5" customHeight="1" x14ac:dyDescent="0.2">
      <c r="A54" s="147"/>
      <c r="B54" s="198" t="s">
        <v>127</v>
      </c>
      <c r="C54" s="198"/>
      <c r="D54" s="198"/>
      <c r="E54" s="198"/>
      <c r="F54" s="198"/>
      <c r="G54" s="198"/>
      <c r="H54" s="198"/>
      <c r="I54" s="198"/>
      <c r="J54" s="198"/>
      <c r="K54" s="148"/>
    </row>
    <row r="55" spans="1:13" s="118" customFormat="1" ht="25.5" customHeight="1" x14ac:dyDescent="0.2">
      <c r="A55" s="150"/>
      <c r="B55" s="151"/>
      <c r="C55" s="152"/>
      <c r="D55" s="153"/>
      <c r="E55" s="153"/>
      <c r="F55" s="153"/>
      <c r="G55" s="154"/>
      <c r="H55" s="154"/>
      <c r="I55" s="155"/>
      <c r="J55" s="156"/>
      <c r="K55" s="157"/>
    </row>
    <row r="56" spans="1:13" s="118" customFormat="1" ht="25.5" customHeight="1" thickBot="1" x14ac:dyDescent="0.25">
      <c r="A56" s="150"/>
      <c r="C56" s="158" t="s">
        <v>100</v>
      </c>
      <c r="D56" s="159"/>
      <c r="E56" s="155"/>
      <c r="F56" s="153"/>
      <c r="G56" s="199" t="s">
        <v>101</v>
      </c>
      <c r="H56" s="199"/>
      <c r="I56" s="160"/>
      <c r="J56" s="156"/>
      <c r="K56" s="157"/>
    </row>
    <row r="57" spans="1:13" s="118" customFormat="1" ht="25.5" customHeight="1" x14ac:dyDescent="0.2">
      <c r="A57" s="150"/>
      <c r="B57" s="151"/>
      <c r="C57" s="152"/>
      <c r="D57" s="153"/>
      <c r="E57" s="153"/>
      <c r="F57" s="153"/>
      <c r="G57" s="154"/>
      <c r="H57" s="154"/>
      <c r="I57" s="155"/>
      <c r="J57" s="156"/>
      <c r="K57" s="157"/>
    </row>
    <row r="58" spans="1:13" s="118" customFormat="1" ht="30" customHeight="1" x14ac:dyDescent="0.2">
      <c r="A58" s="200" t="s">
        <v>13</v>
      </c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M58" s="118" t="s">
        <v>0</v>
      </c>
    </row>
    <row r="59" spans="1:13" s="118" customFormat="1" ht="30" customHeight="1" x14ac:dyDescent="0.2">
      <c r="A59" s="161"/>
      <c r="B59" s="201"/>
      <c r="C59" s="201"/>
      <c r="D59" s="201"/>
      <c r="E59" s="201"/>
      <c r="F59" s="201"/>
      <c r="G59" s="201"/>
      <c r="H59" s="201"/>
      <c r="I59" s="201"/>
      <c r="J59" s="201"/>
      <c r="K59" s="162"/>
    </row>
    <row r="60" spans="1:13" s="118" customFormat="1" ht="30" customHeight="1" x14ac:dyDescent="0.2">
      <c r="A60" s="161"/>
      <c r="B60" s="201"/>
      <c r="C60" s="201"/>
      <c r="D60" s="201"/>
      <c r="E60" s="201"/>
      <c r="F60" s="201"/>
      <c r="G60" s="201"/>
      <c r="H60" s="201"/>
      <c r="I60" s="201"/>
      <c r="J60" s="201"/>
      <c r="K60" s="161"/>
      <c r="L60" s="161"/>
    </row>
    <row r="61" spans="1:13" s="118" customFormat="1" ht="30" customHeight="1" x14ac:dyDescent="0.2">
      <c r="A61" s="161"/>
      <c r="B61" s="201"/>
      <c r="C61" s="201"/>
      <c r="D61" s="201"/>
      <c r="E61" s="201"/>
      <c r="F61" s="201"/>
      <c r="G61" s="201"/>
      <c r="H61" s="201"/>
      <c r="I61" s="201"/>
      <c r="J61" s="201"/>
      <c r="K61" s="161"/>
      <c r="L61" s="152"/>
    </row>
    <row r="62" spans="1:13" s="118" customFormat="1" ht="30" customHeight="1" x14ac:dyDescent="0.2">
      <c r="A62" s="163"/>
      <c r="B62" s="164"/>
      <c r="C62" s="165"/>
      <c r="D62" s="165"/>
      <c r="E62" s="165"/>
      <c r="F62" s="164"/>
      <c r="G62" s="164"/>
      <c r="H62" s="164"/>
      <c r="I62" s="165"/>
      <c r="J62" s="165"/>
      <c r="K62" s="165"/>
    </row>
    <row r="63" spans="1:13" s="118" customFormat="1" ht="30" customHeight="1" x14ac:dyDescent="0.2">
      <c r="A63" s="163"/>
      <c r="B63" s="164"/>
      <c r="C63" s="165"/>
      <c r="D63" s="165"/>
      <c r="E63" s="165"/>
      <c r="F63" s="164"/>
      <c r="H63" s="164"/>
      <c r="I63" s="164"/>
    </row>
    <row r="64" spans="1:13" s="118" customFormat="1" ht="30" customHeight="1" x14ac:dyDescent="0.2">
      <c r="A64" s="166"/>
      <c r="B64" s="167"/>
      <c r="C64" s="168"/>
      <c r="D64" s="168"/>
      <c r="E64" s="168"/>
      <c r="F64" s="167"/>
      <c r="G64" s="169"/>
      <c r="H64" s="167"/>
      <c r="I64" s="167"/>
      <c r="J64" s="169"/>
      <c r="K64" s="169"/>
    </row>
    <row r="65" spans="1:12" s="117" customFormat="1" ht="20.100000000000001" customHeight="1" x14ac:dyDescent="0.2">
      <c r="A65" s="196" t="s">
        <v>126</v>
      </c>
      <c r="B65" s="196"/>
      <c r="C65" s="196"/>
      <c r="D65" s="170"/>
      <c r="E65" s="170"/>
      <c r="F65" s="171"/>
      <c r="G65" s="172"/>
      <c r="H65" s="197" t="s">
        <v>74</v>
      </c>
      <c r="I65" s="197"/>
      <c r="J65" s="197"/>
      <c r="K65" s="197"/>
      <c r="L65" s="173"/>
    </row>
    <row r="66" spans="1:12" s="117" customFormat="1" ht="20.100000000000001" customHeight="1" x14ac:dyDescent="0.2">
      <c r="A66" s="186" t="s">
        <v>103</v>
      </c>
      <c r="B66" s="186"/>
      <c r="C66" s="186"/>
      <c r="D66" s="171"/>
      <c r="E66" s="171"/>
      <c r="F66" s="171"/>
      <c r="G66" s="172"/>
      <c r="H66" s="186" t="s">
        <v>44</v>
      </c>
      <c r="I66" s="186"/>
      <c r="J66" s="186"/>
      <c r="K66" s="186"/>
    </row>
    <row r="67" spans="1:12" s="117" customFormat="1" ht="30" customHeight="1" x14ac:dyDescent="0.2">
      <c r="A67" s="171"/>
      <c r="B67" s="171"/>
      <c r="C67" s="171"/>
      <c r="D67" s="171"/>
      <c r="E67" s="171"/>
      <c r="F67" s="171"/>
      <c r="G67" s="172"/>
      <c r="H67" s="171"/>
      <c r="I67" s="171"/>
      <c r="J67" s="171"/>
      <c r="K67" s="171"/>
    </row>
    <row r="68" spans="1:12" s="117" customFormat="1" ht="30" customHeight="1" x14ac:dyDescent="0.2">
      <c r="A68" s="171"/>
      <c r="B68" s="171"/>
      <c r="C68" s="171"/>
      <c r="D68" s="171"/>
      <c r="E68" s="171"/>
      <c r="F68" s="171"/>
      <c r="G68" s="172"/>
      <c r="H68" s="171"/>
      <c r="I68" s="171"/>
      <c r="J68" s="171"/>
      <c r="K68" s="171"/>
    </row>
    <row r="69" spans="1:12" s="117" customFormat="1" ht="30" customHeight="1" x14ac:dyDescent="0.2">
      <c r="A69" s="171"/>
      <c r="B69" s="171"/>
      <c r="C69" s="171"/>
      <c r="D69" s="171"/>
      <c r="E69" s="171"/>
      <c r="F69" s="171"/>
      <c r="G69" s="172"/>
      <c r="H69" s="171"/>
      <c r="I69" s="171"/>
      <c r="J69" s="171"/>
      <c r="K69" s="171"/>
    </row>
    <row r="70" spans="1:12" s="117" customFormat="1" ht="30" customHeight="1" x14ac:dyDescent="0.2">
      <c r="A70" s="171"/>
      <c r="B70" s="171"/>
      <c r="C70" s="172"/>
      <c r="D70" s="172"/>
      <c r="E70" s="172"/>
      <c r="F70" s="171"/>
      <c r="G70" s="172"/>
      <c r="H70" s="171"/>
      <c r="I70" s="171"/>
      <c r="J70" s="172"/>
      <c r="K70" s="172"/>
    </row>
    <row r="71" spans="1:12" s="118" customFormat="1" ht="30" customHeight="1" x14ac:dyDescent="0.2">
      <c r="A71" s="174"/>
      <c r="B71" s="174"/>
      <c r="C71" s="174"/>
      <c r="D71" s="175"/>
      <c r="E71" s="175"/>
      <c r="F71" s="176"/>
      <c r="G71" s="177"/>
      <c r="H71" s="174"/>
      <c r="I71" s="174"/>
      <c r="J71" s="174"/>
      <c r="K71" s="174"/>
      <c r="L71" s="178"/>
    </row>
    <row r="72" spans="1:12" s="118" customFormat="1" ht="19.5" customHeight="1" x14ac:dyDescent="0.2">
      <c r="A72" s="186" t="s">
        <v>125</v>
      </c>
      <c r="B72" s="186"/>
      <c r="C72" s="186"/>
      <c r="D72" s="175"/>
      <c r="E72" s="175"/>
      <c r="F72" s="176"/>
      <c r="G72" s="177"/>
      <c r="H72" s="186" t="s">
        <v>124</v>
      </c>
      <c r="I72" s="186"/>
      <c r="J72" s="186"/>
      <c r="K72" s="186"/>
      <c r="L72" s="178"/>
    </row>
    <row r="73" spans="1:12" s="118" customFormat="1" ht="30" customHeight="1" x14ac:dyDescent="0.2">
      <c r="A73" s="186" t="s">
        <v>104</v>
      </c>
      <c r="B73" s="186"/>
      <c r="C73" s="186"/>
      <c r="D73" s="171"/>
      <c r="E73" s="171"/>
      <c r="F73" s="170"/>
      <c r="G73" s="175"/>
      <c r="H73" s="187" t="s">
        <v>105</v>
      </c>
      <c r="I73" s="187"/>
      <c r="J73" s="187"/>
      <c r="K73" s="187"/>
      <c r="L73" s="178"/>
    </row>
    <row r="74" spans="1:12" s="110" customFormat="1" ht="30" customHeight="1" x14ac:dyDescent="0.2">
      <c r="A74" s="188"/>
      <c r="B74" s="188"/>
      <c r="C74" s="188"/>
      <c r="D74" s="167"/>
      <c r="E74" s="167"/>
      <c r="F74" s="179"/>
      <c r="G74" s="180"/>
      <c r="H74" s="180"/>
      <c r="I74" s="180"/>
      <c r="J74" s="180"/>
      <c r="K74" s="181"/>
      <c r="L74" s="182"/>
    </row>
    <row r="75" spans="1:12" s="110" customFormat="1" ht="30" customHeight="1" x14ac:dyDescent="0.2">
      <c r="B75" s="189"/>
      <c r="C75" s="189"/>
      <c r="D75" s="183"/>
      <c r="E75" s="183"/>
      <c r="G75" s="184"/>
      <c r="H75" s="184"/>
      <c r="I75" s="184"/>
      <c r="J75" s="184"/>
    </row>
    <row r="76" spans="1:12" s="110" customFormat="1" ht="30" customHeight="1" x14ac:dyDescent="0.2">
      <c r="G76" s="184"/>
      <c r="H76" s="184"/>
      <c r="I76" s="184"/>
      <c r="J76" s="184"/>
    </row>
    <row r="77" spans="1:12" s="110" customFormat="1" ht="30" customHeight="1" x14ac:dyDescent="0.2">
      <c r="G77" s="184"/>
      <c r="H77" s="184"/>
      <c r="I77" s="184"/>
      <c r="J77" s="184"/>
    </row>
    <row r="78" spans="1:12" s="110" customFormat="1" ht="30" customHeight="1" x14ac:dyDescent="0.2">
      <c r="G78" s="184"/>
      <c r="H78" s="184"/>
      <c r="I78" s="184"/>
      <c r="J78" s="184"/>
    </row>
    <row r="79" spans="1:12" s="110" customFormat="1" ht="30" customHeight="1" x14ac:dyDescent="0.2">
      <c r="G79" s="184"/>
      <c r="H79" s="184"/>
      <c r="I79" s="184"/>
      <c r="J79" s="184"/>
    </row>
    <row r="80" spans="1:12" s="110" customFormat="1" ht="30" customHeight="1" x14ac:dyDescent="0.2">
      <c r="G80" s="184"/>
      <c r="H80" s="184"/>
      <c r="I80" s="184"/>
      <c r="J80" s="184"/>
    </row>
    <row r="81" spans="7:10" s="110" customFormat="1" ht="30" customHeight="1" x14ac:dyDescent="0.2">
      <c r="G81" s="184"/>
      <c r="H81" s="184"/>
      <c r="I81" s="184"/>
      <c r="J81" s="184"/>
    </row>
    <row r="82" spans="7:10" s="110" customFormat="1" ht="30" customHeight="1" x14ac:dyDescent="0.2">
      <c r="G82" s="184"/>
      <c r="H82" s="184"/>
      <c r="I82" s="184"/>
      <c r="J82" s="184"/>
    </row>
    <row r="83" spans="7:10" s="110" customFormat="1" ht="30" customHeight="1" x14ac:dyDescent="0.2">
      <c r="G83" s="184"/>
      <c r="H83" s="184"/>
      <c r="I83" s="184"/>
      <c r="J83" s="184"/>
    </row>
    <row r="84" spans="7:10" s="110" customFormat="1" ht="30" customHeight="1" x14ac:dyDescent="0.2">
      <c r="G84" s="184"/>
      <c r="H84" s="184"/>
      <c r="I84" s="184"/>
      <c r="J84" s="184"/>
    </row>
    <row r="85" spans="7:10" s="110" customFormat="1" ht="30" customHeight="1" x14ac:dyDescent="0.2">
      <c r="G85" s="184"/>
      <c r="H85" s="184"/>
      <c r="I85" s="184"/>
      <c r="J85" s="184"/>
    </row>
    <row r="86" spans="7:10" s="110" customFormat="1" ht="30" customHeight="1" x14ac:dyDescent="0.2">
      <c r="G86" s="184"/>
      <c r="H86" s="184"/>
      <c r="I86" s="184"/>
      <c r="J86" s="184"/>
    </row>
    <row r="87" spans="7:10" s="110" customFormat="1" ht="30" customHeight="1" x14ac:dyDescent="0.2">
      <c r="H87" s="185"/>
    </row>
  </sheetData>
  <mergeCells count="174">
    <mergeCell ref="A52:A53"/>
    <mergeCell ref="B52:B53"/>
    <mergeCell ref="C52:C53"/>
    <mergeCell ref="D52:D53"/>
    <mergeCell ref="E52:E53"/>
    <mergeCell ref="F52:F53"/>
    <mergeCell ref="K52:K53"/>
    <mergeCell ref="B10:D10"/>
    <mergeCell ref="H10:J10"/>
    <mergeCell ref="A16:A17"/>
    <mergeCell ref="B16:B17"/>
    <mergeCell ref="C16:C17"/>
    <mergeCell ref="F16:F17"/>
    <mergeCell ref="K16:K17"/>
    <mergeCell ref="C18:C19"/>
    <mergeCell ref="F18:F19"/>
    <mergeCell ref="F12:J12"/>
    <mergeCell ref="K18:K19"/>
    <mergeCell ref="K12:K13"/>
    <mergeCell ref="A12:A13"/>
    <mergeCell ref="B12:B13"/>
    <mergeCell ref="C12:C13"/>
    <mergeCell ref="A14:A15"/>
    <mergeCell ref="B14:B15"/>
    <mergeCell ref="A1:K1"/>
    <mergeCell ref="A2:K2"/>
    <mergeCell ref="A3:K3"/>
    <mergeCell ref="A5:K5"/>
    <mergeCell ref="B7:D7"/>
    <mergeCell ref="H7:J7"/>
    <mergeCell ref="B8:D8"/>
    <mergeCell ref="H8:J8"/>
    <mergeCell ref="B9:D9"/>
    <mergeCell ref="H9:J9"/>
    <mergeCell ref="C14:C15"/>
    <mergeCell ref="F14:F15"/>
    <mergeCell ref="K14:K15"/>
    <mergeCell ref="A18:A19"/>
    <mergeCell ref="B18:B19"/>
    <mergeCell ref="E18:E19"/>
    <mergeCell ref="E22:E23"/>
    <mergeCell ref="E26:E27"/>
    <mergeCell ref="A20:A21"/>
    <mergeCell ref="B20:B21"/>
    <mergeCell ref="C20:C21"/>
    <mergeCell ref="F20:F21"/>
    <mergeCell ref="K20:K21"/>
    <mergeCell ref="A22:A23"/>
    <mergeCell ref="B22:B23"/>
    <mergeCell ref="D20:D21"/>
    <mergeCell ref="E20:E21"/>
    <mergeCell ref="D22:D23"/>
    <mergeCell ref="A24:A25"/>
    <mergeCell ref="B24:B25"/>
    <mergeCell ref="C24:C25"/>
    <mergeCell ref="F24:F25"/>
    <mergeCell ref="K24:K25"/>
    <mergeCell ref="A26:A27"/>
    <mergeCell ref="B26:B27"/>
    <mergeCell ref="D24:D25"/>
    <mergeCell ref="C22:C23"/>
    <mergeCell ref="F22:F23"/>
    <mergeCell ref="K22:K23"/>
    <mergeCell ref="E24:E25"/>
    <mergeCell ref="D26:D27"/>
    <mergeCell ref="A28:A29"/>
    <mergeCell ref="B28:B29"/>
    <mergeCell ref="C28:C29"/>
    <mergeCell ref="F28:F29"/>
    <mergeCell ref="K28:K29"/>
    <mergeCell ref="C26:C27"/>
    <mergeCell ref="F26:F27"/>
    <mergeCell ref="K26:K27"/>
    <mergeCell ref="A30:A31"/>
    <mergeCell ref="B30:B31"/>
    <mergeCell ref="C30:C31"/>
    <mergeCell ref="F30:F31"/>
    <mergeCell ref="K30:K31"/>
    <mergeCell ref="D28:D29"/>
    <mergeCell ref="E28:E29"/>
    <mergeCell ref="D30:D31"/>
    <mergeCell ref="E30:E31"/>
    <mergeCell ref="A32:A33"/>
    <mergeCell ref="B32:B33"/>
    <mergeCell ref="C32:C33"/>
    <mergeCell ref="F32:F33"/>
    <mergeCell ref="K32:K33"/>
    <mergeCell ref="A34:A35"/>
    <mergeCell ref="B34:B35"/>
    <mergeCell ref="C34:C35"/>
    <mergeCell ref="F34:F35"/>
    <mergeCell ref="K34:K35"/>
    <mergeCell ref="D34:D35"/>
    <mergeCell ref="E34:E35"/>
    <mergeCell ref="D32:D33"/>
    <mergeCell ref="E32:E33"/>
    <mergeCell ref="A36:A37"/>
    <mergeCell ref="B36:B37"/>
    <mergeCell ref="C36:C37"/>
    <mergeCell ref="F36:F37"/>
    <mergeCell ref="K36:K37"/>
    <mergeCell ref="A38:A39"/>
    <mergeCell ref="B38:B39"/>
    <mergeCell ref="C38:C39"/>
    <mergeCell ref="F38:F39"/>
    <mergeCell ref="K38:K39"/>
    <mergeCell ref="D36:D37"/>
    <mergeCell ref="E36:E37"/>
    <mergeCell ref="D38:D39"/>
    <mergeCell ref="E38:E39"/>
    <mergeCell ref="A40:A41"/>
    <mergeCell ref="B40:B41"/>
    <mergeCell ref="C40:C41"/>
    <mergeCell ref="F40:F41"/>
    <mergeCell ref="K40:K41"/>
    <mergeCell ref="A42:A43"/>
    <mergeCell ref="B42:B43"/>
    <mergeCell ref="C42:C43"/>
    <mergeCell ref="F42:F43"/>
    <mergeCell ref="K42:K43"/>
    <mergeCell ref="D40:D41"/>
    <mergeCell ref="E40:E41"/>
    <mergeCell ref="D42:D43"/>
    <mergeCell ref="E42:E43"/>
    <mergeCell ref="A44:A45"/>
    <mergeCell ref="B44:B45"/>
    <mergeCell ref="C44:C45"/>
    <mergeCell ref="F44:F45"/>
    <mergeCell ref="K44:K45"/>
    <mergeCell ref="A46:A47"/>
    <mergeCell ref="B46:B47"/>
    <mergeCell ref="C46:C47"/>
    <mergeCell ref="F46:F47"/>
    <mergeCell ref="K46:K47"/>
    <mergeCell ref="D46:D47"/>
    <mergeCell ref="E46:E47"/>
    <mergeCell ref="D44:D45"/>
    <mergeCell ref="E44:E45"/>
    <mergeCell ref="C48:C49"/>
    <mergeCell ref="F48:F49"/>
    <mergeCell ref="K48:K49"/>
    <mergeCell ref="A50:A51"/>
    <mergeCell ref="B50:B51"/>
    <mergeCell ref="C50:C51"/>
    <mergeCell ref="F50:F51"/>
    <mergeCell ref="K50:K51"/>
    <mergeCell ref="D48:D49"/>
    <mergeCell ref="E48:E49"/>
    <mergeCell ref="D50:D51"/>
    <mergeCell ref="E50:E51"/>
    <mergeCell ref="A73:C73"/>
    <mergeCell ref="H73:K73"/>
    <mergeCell ref="A74:C74"/>
    <mergeCell ref="B75:C75"/>
    <mergeCell ref="D12:D13"/>
    <mergeCell ref="D14:D15"/>
    <mergeCell ref="E14:E15"/>
    <mergeCell ref="D16:D17"/>
    <mergeCell ref="E16:E17"/>
    <mergeCell ref="D18:D19"/>
    <mergeCell ref="A65:C65"/>
    <mergeCell ref="H65:K65"/>
    <mergeCell ref="A66:C66"/>
    <mergeCell ref="H66:K66"/>
    <mergeCell ref="A72:C72"/>
    <mergeCell ref="H72:K72"/>
    <mergeCell ref="B54:J54"/>
    <mergeCell ref="G56:H56"/>
    <mergeCell ref="A58:K58"/>
    <mergeCell ref="B59:J59"/>
    <mergeCell ref="B60:J60"/>
    <mergeCell ref="B61:J61"/>
    <mergeCell ref="A48:A49"/>
    <mergeCell ref="B48:B4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2"/>
  <sheetViews>
    <sheetView topLeftCell="A25" zoomScale="50" zoomScaleNormal="50" workbookViewId="0">
      <selection activeCell="C35" sqref="C35:C36"/>
    </sheetView>
  </sheetViews>
  <sheetFormatPr baseColWidth="10" defaultRowHeight="12.75" x14ac:dyDescent="0.2"/>
  <cols>
    <col min="1" max="1" width="47.28515625" customWidth="1"/>
    <col min="2" max="2" width="21.140625" customWidth="1"/>
    <col min="3" max="3" width="70.85546875" customWidth="1"/>
    <col min="4" max="4" width="19.85546875" customWidth="1"/>
    <col min="5" max="5" width="22.42578125" customWidth="1"/>
    <col min="6" max="6" width="17.42578125" customWidth="1"/>
    <col min="7" max="7" width="32.140625" customWidth="1"/>
    <col min="8" max="8" width="29.28515625" customWidth="1"/>
    <col min="9" max="9" width="40.42578125" customWidth="1"/>
    <col min="12" max="12" width="22.140625" customWidth="1"/>
    <col min="14" max="14" width="29" customWidth="1"/>
  </cols>
  <sheetData>
    <row r="1" spans="1:14" s="66" customFormat="1" ht="30" customHeight="1" x14ac:dyDescent="0.2"/>
    <row r="2" spans="1:14" s="66" customFormat="1" ht="12.75" customHeight="1" x14ac:dyDescent="0.2"/>
    <row r="3" spans="1:14" s="66" customFormat="1" ht="12.75" customHeight="1" x14ac:dyDescent="0.2"/>
    <row r="4" spans="1:14" s="66" customFormat="1" ht="12.75" customHeight="1" x14ac:dyDescent="0.2"/>
    <row r="5" spans="1:14" s="66" customFormat="1" ht="12.75" customHeight="1" x14ac:dyDescent="0.2"/>
    <row r="6" spans="1:14" s="66" customFormat="1" ht="12.75" customHeight="1" x14ac:dyDescent="0.2"/>
    <row r="7" spans="1:14" s="66" customFormat="1" ht="12.75" customHeight="1" x14ac:dyDescent="0.2"/>
    <row r="8" spans="1:14" s="66" customFormat="1" ht="12.75" customHeight="1" x14ac:dyDescent="0.2"/>
    <row r="9" spans="1:14" s="66" customFormat="1" ht="12.75" customHeight="1" x14ac:dyDescent="0.2"/>
    <row r="10" spans="1:14" s="66" customFormat="1" ht="12.75" customHeight="1" x14ac:dyDescent="0.2"/>
    <row r="11" spans="1:14" s="66" customFormat="1" ht="12.75" customHeight="1" x14ac:dyDescent="0.2"/>
    <row r="12" spans="1:14" s="66" customFormat="1" ht="13.5" customHeight="1" thickBot="1" x14ac:dyDescent="0.25"/>
    <row r="13" spans="1:14" ht="25.5" x14ac:dyDescent="0.2">
      <c r="A13" s="253" t="s">
        <v>3</v>
      </c>
      <c r="B13" s="255" t="s">
        <v>43</v>
      </c>
      <c r="C13" s="255" t="s">
        <v>4</v>
      </c>
      <c r="D13" s="257" t="s">
        <v>5</v>
      </c>
      <c r="E13" s="258"/>
      <c r="F13" s="258"/>
      <c r="G13" s="258"/>
      <c r="H13" s="259"/>
      <c r="I13" s="260" t="s">
        <v>34</v>
      </c>
    </row>
    <row r="14" spans="1:14" ht="51.75" thickBot="1" x14ac:dyDescent="0.25">
      <c r="A14" s="254"/>
      <c r="B14" s="256"/>
      <c r="C14" s="256"/>
      <c r="D14" s="58" t="s">
        <v>6</v>
      </c>
      <c r="E14" s="58" t="s">
        <v>7</v>
      </c>
      <c r="F14" s="58" t="s">
        <v>8</v>
      </c>
      <c r="G14" s="59" t="s">
        <v>9</v>
      </c>
      <c r="H14" s="59" t="s">
        <v>33</v>
      </c>
      <c r="I14" s="261"/>
    </row>
    <row r="15" spans="1:14" ht="26.25" x14ac:dyDescent="0.2">
      <c r="A15" s="262" t="s">
        <v>41</v>
      </c>
      <c r="B15" s="264">
        <v>146</v>
      </c>
      <c r="C15" s="266" t="s">
        <v>29</v>
      </c>
      <c r="D15" s="268"/>
      <c r="E15" s="20"/>
      <c r="F15" s="21"/>
      <c r="G15" s="22"/>
      <c r="H15" s="35"/>
      <c r="I15" s="270"/>
      <c r="K15" s="48">
        <f>SUM(D15+(D45*10)+(D33*10)+D23+D35+(D37*10)+D49)</f>
        <v>0</v>
      </c>
      <c r="L15" s="49" t="s">
        <v>67</v>
      </c>
      <c r="M15" s="49">
        <v>2715</v>
      </c>
      <c r="N15" s="49" t="s">
        <v>68</v>
      </c>
    </row>
    <row r="16" spans="1:14" ht="27" thickBot="1" x14ac:dyDescent="0.25">
      <c r="A16" s="263"/>
      <c r="B16" s="265"/>
      <c r="C16" s="267"/>
      <c r="D16" s="269"/>
      <c r="E16" s="23"/>
      <c r="F16" s="24"/>
      <c r="G16" s="25"/>
      <c r="H16" s="56"/>
      <c r="I16" s="271"/>
      <c r="K16" s="48">
        <f>SUM((D45/3)*20+D21)</f>
        <v>0</v>
      </c>
      <c r="L16" s="49" t="s">
        <v>67</v>
      </c>
      <c r="M16" s="49">
        <v>2707</v>
      </c>
      <c r="N16" s="49" t="s">
        <v>69</v>
      </c>
    </row>
    <row r="17" spans="1:14" ht="26.25" x14ac:dyDescent="0.2">
      <c r="A17" s="272" t="s">
        <v>55</v>
      </c>
      <c r="B17" s="273">
        <v>148</v>
      </c>
      <c r="C17" s="274" t="s">
        <v>10</v>
      </c>
      <c r="D17" s="268"/>
      <c r="E17" s="26"/>
      <c r="F17" s="27"/>
      <c r="G17" s="28"/>
      <c r="H17" s="36"/>
      <c r="I17" s="275"/>
      <c r="K17" s="48">
        <f>SUM(D25)</f>
        <v>0</v>
      </c>
      <c r="L17" s="49" t="s">
        <v>67</v>
      </c>
      <c r="M17" s="49">
        <v>2699</v>
      </c>
      <c r="N17" s="49" t="s">
        <v>70</v>
      </c>
    </row>
    <row r="18" spans="1:14" ht="27" thickBot="1" x14ac:dyDescent="0.25">
      <c r="A18" s="263"/>
      <c r="B18" s="265"/>
      <c r="C18" s="267"/>
      <c r="D18" s="269"/>
      <c r="E18" s="23"/>
      <c r="F18" s="24"/>
      <c r="G18" s="25"/>
      <c r="H18" s="56"/>
      <c r="I18" s="271"/>
      <c r="K18" s="48">
        <f>SUM(D27+D41)</f>
        <v>0</v>
      </c>
      <c r="L18" s="49" t="s">
        <v>67</v>
      </c>
      <c r="M18" s="49">
        <v>2657</v>
      </c>
      <c r="N18" s="49" t="s">
        <v>71</v>
      </c>
    </row>
    <row r="19" spans="1:14" ht="26.25" x14ac:dyDescent="0.2">
      <c r="A19" s="280" t="s">
        <v>80</v>
      </c>
      <c r="B19" s="282">
        <v>150</v>
      </c>
      <c r="C19" s="276" t="s">
        <v>81</v>
      </c>
      <c r="D19" s="268"/>
      <c r="E19" s="26"/>
      <c r="F19" s="27"/>
      <c r="G19" s="28"/>
      <c r="H19" s="36"/>
      <c r="I19" s="278"/>
      <c r="K19" s="48">
        <f>SUM(D29*10)</f>
        <v>0</v>
      </c>
      <c r="L19" s="49" t="s">
        <v>67</v>
      </c>
      <c r="M19" s="49">
        <v>59</v>
      </c>
      <c r="N19" s="49" t="s">
        <v>72</v>
      </c>
    </row>
    <row r="20" spans="1:14" ht="27" thickBot="1" x14ac:dyDescent="0.25">
      <c r="A20" s="281"/>
      <c r="B20" s="283"/>
      <c r="C20" s="277"/>
      <c r="D20" s="269"/>
      <c r="E20" s="23"/>
      <c r="F20" s="24"/>
      <c r="G20" s="25"/>
      <c r="H20" s="56"/>
      <c r="I20" s="279"/>
    </row>
    <row r="21" spans="1:14" ht="26.25" x14ac:dyDescent="0.2">
      <c r="A21" s="280" t="s">
        <v>53</v>
      </c>
      <c r="B21" s="282">
        <v>6135</v>
      </c>
      <c r="C21" s="276" t="s">
        <v>56</v>
      </c>
      <c r="D21" s="268"/>
      <c r="E21" s="26"/>
      <c r="F21" s="27"/>
      <c r="G21" s="36"/>
      <c r="H21" s="36"/>
      <c r="I21" s="278"/>
    </row>
    <row r="22" spans="1:14" ht="27" thickBot="1" x14ac:dyDescent="0.25">
      <c r="A22" s="281"/>
      <c r="B22" s="283"/>
      <c r="C22" s="277"/>
      <c r="D22" s="269"/>
      <c r="E22" s="23"/>
      <c r="F22" s="24"/>
      <c r="G22" s="25"/>
      <c r="H22" s="56"/>
      <c r="I22" s="279"/>
    </row>
    <row r="23" spans="1:14" ht="26.25" x14ac:dyDescent="0.2">
      <c r="A23" s="280" t="s">
        <v>16</v>
      </c>
      <c r="B23" s="282">
        <v>2526</v>
      </c>
      <c r="C23" s="276" t="s">
        <v>23</v>
      </c>
      <c r="D23" s="268"/>
      <c r="E23" s="26"/>
      <c r="F23" s="27"/>
      <c r="G23" s="28"/>
      <c r="H23" s="29"/>
      <c r="I23" s="284"/>
    </row>
    <row r="24" spans="1:14" ht="27" thickBot="1" x14ac:dyDescent="0.25">
      <c r="A24" s="281"/>
      <c r="B24" s="283"/>
      <c r="C24" s="277"/>
      <c r="D24" s="269"/>
      <c r="E24" s="23"/>
      <c r="F24" s="24"/>
      <c r="G24" s="25"/>
      <c r="H24" s="30"/>
      <c r="I24" s="285"/>
    </row>
    <row r="25" spans="1:14" ht="26.25" x14ac:dyDescent="0.2">
      <c r="A25" s="280" t="s">
        <v>63</v>
      </c>
      <c r="B25" s="282">
        <v>2527</v>
      </c>
      <c r="C25" s="276" t="s">
        <v>24</v>
      </c>
      <c r="D25" s="268"/>
      <c r="E25" s="26"/>
      <c r="F25" s="27"/>
      <c r="G25" s="28"/>
      <c r="H25" s="29"/>
      <c r="I25" s="286"/>
    </row>
    <row r="26" spans="1:14" ht="27" thickBot="1" x14ac:dyDescent="0.25">
      <c r="A26" s="281"/>
      <c r="B26" s="283"/>
      <c r="C26" s="277"/>
      <c r="D26" s="269"/>
      <c r="E26" s="23"/>
      <c r="F26" s="24"/>
      <c r="G26" s="25"/>
      <c r="H26" s="30"/>
      <c r="I26" s="287"/>
    </row>
    <row r="27" spans="1:14" ht="26.25" x14ac:dyDescent="0.2">
      <c r="A27" s="280" t="s">
        <v>14</v>
      </c>
      <c r="B27" s="282">
        <v>3800</v>
      </c>
      <c r="C27" s="276" t="s">
        <v>45</v>
      </c>
      <c r="D27" s="268"/>
      <c r="E27" s="26"/>
      <c r="F27" s="27"/>
      <c r="G27" s="28"/>
      <c r="H27" s="29"/>
      <c r="I27" s="284"/>
    </row>
    <row r="28" spans="1:14" ht="27" thickBot="1" x14ac:dyDescent="0.25">
      <c r="A28" s="281"/>
      <c r="B28" s="283"/>
      <c r="C28" s="277"/>
      <c r="D28" s="269"/>
      <c r="E28" s="23"/>
      <c r="F28" s="24"/>
      <c r="G28" s="25"/>
      <c r="H28" s="30"/>
      <c r="I28" s="285"/>
    </row>
    <row r="29" spans="1:14" ht="26.25" x14ac:dyDescent="0.2">
      <c r="A29" s="280" t="s">
        <v>15</v>
      </c>
      <c r="B29" s="282">
        <v>3801</v>
      </c>
      <c r="C29" s="276" t="s">
        <v>25</v>
      </c>
      <c r="D29" s="268"/>
      <c r="E29" s="26"/>
      <c r="F29" s="27"/>
      <c r="G29" s="28"/>
      <c r="H29" s="29"/>
      <c r="I29" s="284"/>
    </row>
    <row r="30" spans="1:14" ht="27" thickBot="1" x14ac:dyDescent="0.25">
      <c r="A30" s="281"/>
      <c r="B30" s="283"/>
      <c r="C30" s="277"/>
      <c r="D30" s="269"/>
      <c r="E30" s="23"/>
      <c r="F30" s="24"/>
      <c r="G30" s="25"/>
      <c r="H30" s="30"/>
      <c r="I30" s="285"/>
    </row>
    <row r="31" spans="1:14" ht="26.25" x14ac:dyDescent="0.2">
      <c r="A31" s="280" t="s">
        <v>17</v>
      </c>
      <c r="B31" s="282">
        <v>3802</v>
      </c>
      <c r="C31" s="276" t="s">
        <v>47</v>
      </c>
      <c r="D31" s="268"/>
      <c r="E31" s="26"/>
      <c r="F31" s="27"/>
      <c r="G31" s="28"/>
      <c r="H31" s="29"/>
      <c r="I31" s="284"/>
    </row>
    <row r="32" spans="1:14" ht="27" thickBot="1" x14ac:dyDescent="0.25">
      <c r="A32" s="281"/>
      <c r="B32" s="283"/>
      <c r="C32" s="277"/>
      <c r="D32" s="269"/>
      <c r="E32" s="23"/>
      <c r="F32" s="24"/>
      <c r="G32" s="25"/>
      <c r="H32" s="30"/>
      <c r="I32" s="285"/>
    </row>
    <row r="33" spans="1:9" ht="26.25" x14ac:dyDescent="0.2">
      <c r="A33" s="280" t="s">
        <v>18</v>
      </c>
      <c r="B33" s="282">
        <v>3805</v>
      </c>
      <c r="C33" s="276" t="s">
        <v>26</v>
      </c>
      <c r="D33" s="268"/>
      <c r="E33" s="26"/>
      <c r="F33" s="27"/>
      <c r="G33" s="28"/>
      <c r="H33" s="29"/>
      <c r="I33" s="284"/>
    </row>
    <row r="34" spans="1:9" ht="27" thickBot="1" x14ac:dyDescent="0.25">
      <c r="A34" s="281"/>
      <c r="B34" s="283"/>
      <c r="C34" s="277"/>
      <c r="D34" s="269"/>
      <c r="E34" s="23"/>
      <c r="F34" s="24"/>
      <c r="G34" s="25"/>
      <c r="H34" s="30"/>
      <c r="I34" s="285"/>
    </row>
    <row r="35" spans="1:9" ht="26.25" x14ac:dyDescent="0.2">
      <c r="A35" s="280" t="s">
        <v>57</v>
      </c>
      <c r="B35" s="282">
        <v>3808</v>
      </c>
      <c r="C35" s="276" t="s">
        <v>27</v>
      </c>
      <c r="D35" s="268"/>
      <c r="E35" s="26"/>
      <c r="F35" s="27"/>
      <c r="G35" s="28"/>
      <c r="H35" s="29"/>
      <c r="I35" s="284"/>
    </row>
    <row r="36" spans="1:9" ht="27" thickBot="1" x14ac:dyDescent="0.25">
      <c r="A36" s="281"/>
      <c r="B36" s="283"/>
      <c r="C36" s="277"/>
      <c r="D36" s="269"/>
      <c r="E36" s="23"/>
      <c r="F36" s="24"/>
      <c r="G36" s="25"/>
      <c r="H36" s="30"/>
      <c r="I36" s="285"/>
    </row>
    <row r="37" spans="1:9" ht="26.25" x14ac:dyDescent="0.2">
      <c r="A37" s="280" t="s">
        <v>21</v>
      </c>
      <c r="B37" s="282">
        <v>3810</v>
      </c>
      <c r="C37" s="276" t="s">
        <v>48</v>
      </c>
      <c r="D37" s="268"/>
      <c r="E37" s="26"/>
      <c r="F37" s="27"/>
      <c r="G37" s="28"/>
      <c r="H37" s="29"/>
      <c r="I37" s="288"/>
    </row>
    <row r="38" spans="1:9" ht="27" thickBot="1" x14ac:dyDescent="0.25">
      <c r="A38" s="281"/>
      <c r="B38" s="283"/>
      <c r="C38" s="277"/>
      <c r="D38" s="269"/>
      <c r="E38" s="23"/>
      <c r="F38" s="24"/>
      <c r="G38" s="25"/>
      <c r="H38" s="30"/>
      <c r="I38" s="289"/>
    </row>
    <row r="39" spans="1:9" ht="26.25" x14ac:dyDescent="0.2">
      <c r="A39" s="280" t="s">
        <v>64</v>
      </c>
      <c r="B39" s="282">
        <v>6056</v>
      </c>
      <c r="C39" s="276" t="s">
        <v>31</v>
      </c>
      <c r="D39" s="268"/>
      <c r="E39" s="26"/>
      <c r="F39" s="27"/>
      <c r="G39" s="28"/>
      <c r="H39" s="29"/>
      <c r="I39" s="288"/>
    </row>
    <row r="40" spans="1:9" ht="27" thickBot="1" x14ac:dyDescent="0.25">
      <c r="A40" s="281"/>
      <c r="B40" s="283"/>
      <c r="C40" s="277"/>
      <c r="D40" s="269"/>
      <c r="E40" s="23"/>
      <c r="F40" s="24"/>
      <c r="G40" s="25"/>
      <c r="H40" s="30"/>
      <c r="I40" s="289"/>
    </row>
    <row r="41" spans="1:9" ht="26.25" x14ac:dyDescent="0.2">
      <c r="A41" s="280" t="s">
        <v>19</v>
      </c>
      <c r="B41" s="282">
        <v>3820</v>
      </c>
      <c r="C41" s="276" t="s">
        <v>46</v>
      </c>
      <c r="D41" s="268"/>
      <c r="E41" s="26"/>
      <c r="F41" s="27"/>
      <c r="G41" s="28"/>
      <c r="H41" s="29"/>
      <c r="I41" s="288"/>
    </row>
    <row r="42" spans="1:9" ht="27" thickBot="1" x14ac:dyDescent="0.25">
      <c r="A42" s="290"/>
      <c r="B42" s="291"/>
      <c r="C42" s="292"/>
      <c r="D42" s="269"/>
      <c r="E42" s="23"/>
      <c r="F42" s="24"/>
      <c r="G42" s="25"/>
      <c r="H42" s="30"/>
      <c r="I42" s="289"/>
    </row>
    <row r="43" spans="1:9" ht="26.25" x14ac:dyDescent="0.2">
      <c r="A43" s="280" t="s">
        <v>20</v>
      </c>
      <c r="B43" s="282">
        <v>3821</v>
      </c>
      <c r="C43" s="276" t="s">
        <v>28</v>
      </c>
      <c r="D43" s="268"/>
      <c r="E43" s="26"/>
      <c r="F43" s="27"/>
      <c r="G43" s="28"/>
      <c r="H43" s="29"/>
      <c r="I43" s="288"/>
    </row>
    <row r="44" spans="1:9" ht="27" thickBot="1" x14ac:dyDescent="0.25">
      <c r="A44" s="281"/>
      <c r="B44" s="283"/>
      <c r="C44" s="277"/>
      <c r="D44" s="269"/>
      <c r="E44" s="23"/>
      <c r="F44" s="24"/>
      <c r="G44" s="25"/>
      <c r="H44" s="30"/>
      <c r="I44" s="289"/>
    </row>
    <row r="45" spans="1:9" ht="26.25" x14ac:dyDescent="0.2">
      <c r="A45" s="280" t="s">
        <v>58</v>
      </c>
      <c r="B45" s="282">
        <v>3822</v>
      </c>
      <c r="C45" s="276" t="s">
        <v>38</v>
      </c>
      <c r="D45" s="268"/>
      <c r="E45" s="26"/>
      <c r="F45" s="27"/>
      <c r="G45" s="28"/>
      <c r="H45" s="29"/>
      <c r="I45" s="284"/>
    </row>
    <row r="46" spans="1:9" ht="27" thickBot="1" x14ac:dyDescent="0.25">
      <c r="A46" s="281"/>
      <c r="B46" s="283"/>
      <c r="C46" s="277"/>
      <c r="D46" s="269"/>
      <c r="E46" s="23"/>
      <c r="F46" s="24"/>
      <c r="G46" s="25"/>
      <c r="H46" s="30"/>
      <c r="I46" s="285"/>
    </row>
    <row r="47" spans="1:9" ht="26.25" customHeight="1" x14ac:dyDescent="0.2">
      <c r="A47" s="280" t="s">
        <v>32</v>
      </c>
      <c r="B47" s="282">
        <v>3832</v>
      </c>
      <c r="C47" s="276" t="s">
        <v>37</v>
      </c>
      <c r="D47" s="268"/>
      <c r="E47" s="27"/>
      <c r="F47" s="27"/>
      <c r="G47" s="28"/>
      <c r="H47" s="29"/>
      <c r="I47" s="288"/>
    </row>
    <row r="48" spans="1:9" ht="27" thickBot="1" x14ac:dyDescent="0.25">
      <c r="A48" s="281"/>
      <c r="B48" s="283"/>
      <c r="C48" s="277"/>
      <c r="D48" s="269"/>
      <c r="E48" s="24"/>
      <c r="F48" s="24"/>
      <c r="G48" s="25"/>
      <c r="H48" s="30"/>
      <c r="I48" s="289"/>
    </row>
    <row r="49" spans="1:9" ht="26.25" x14ac:dyDescent="0.2">
      <c r="A49" s="280" t="s">
        <v>59</v>
      </c>
      <c r="B49" s="282">
        <v>4173</v>
      </c>
      <c r="C49" s="276" t="s">
        <v>12</v>
      </c>
      <c r="D49" s="268"/>
      <c r="E49" s="27"/>
      <c r="F49" s="27"/>
      <c r="G49" s="28"/>
      <c r="H49" s="29"/>
      <c r="I49" s="284"/>
    </row>
    <row r="50" spans="1:9" ht="27" thickBot="1" x14ac:dyDescent="0.25">
      <c r="A50" s="281"/>
      <c r="B50" s="283"/>
      <c r="C50" s="277"/>
      <c r="D50" s="269"/>
      <c r="E50" s="24"/>
      <c r="F50" s="24"/>
      <c r="G50" s="25"/>
      <c r="H50" s="30"/>
      <c r="I50" s="285"/>
    </row>
    <row r="51" spans="1:9" ht="26.25" x14ac:dyDescent="0.2">
      <c r="A51" s="280" t="s">
        <v>22</v>
      </c>
      <c r="B51" s="293">
        <v>2</v>
      </c>
      <c r="C51" s="276" t="s">
        <v>30</v>
      </c>
      <c r="D51" s="268"/>
      <c r="E51" s="27"/>
      <c r="F51" s="27"/>
      <c r="G51" s="31"/>
      <c r="H51" s="29"/>
      <c r="I51" s="288"/>
    </row>
    <row r="52" spans="1:9" ht="27" thickBot="1" x14ac:dyDescent="0.25">
      <c r="A52" s="281"/>
      <c r="B52" s="294"/>
      <c r="C52" s="277"/>
      <c r="D52" s="269"/>
      <c r="E52" s="24"/>
      <c r="F52" s="24"/>
      <c r="G52" s="32"/>
      <c r="H52" s="30"/>
      <c r="I52" s="289"/>
    </row>
  </sheetData>
  <mergeCells count="100">
    <mergeCell ref="A51:A52"/>
    <mergeCell ref="B51:B52"/>
    <mergeCell ref="C51:C52"/>
    <mergeCell ref="D51:D52"/>
    <mergeCell ref="I51:I52"/>
    <mergeCell ref="A49:A50"/>
    <mergeCell ref="B49:B50"/>
    <mergeCell ref="C49:C50"/>
    <mergeCell ref="D49:D50"/>
    <mergeCell ref="I49:I50"/>
    <mergeCell ref="A47:A48"/>
    <mergeCell ref="B47:B48"/>
    <mergeCell ref="C47:C48"/>
    <mergeCell ref="D47:D48"/>
    <mergeCell ref="I47:I48"/>
    <mergeCell ref="A45:A46"/>
    <mergeCell ref="B45:B46"/>
    <mergeCell ref="C45:C46"/>
    <mergeCell ref="D45:D46"/>
    <mergeCell ref="I45:I46"/>
    <mergeCell ref="A43:A44"/>
    <mergeCell ref="B43:B44"/>
    <mergeCell ref="C43:C44"/>
    <mergeCell ref="D43:D44"/>
    <mergeCell ref="I43:I44"/>
    <mergeCell ref="A41:A42"/>
    <mergeCell ref="B41:B42"/>
    <mergeCell ref="C41:C42"/>
    <mergeCell ref="D41:D42"/>
    <mergeCell ref="I41:I42"/>
    <mergeCell ref="A39:A40"/>
    <mergeCell ref="B39:B40"/>
    <mergeCell ref="C39:C40"/>
    <mergeCell ref="D39:D40"/>
    <mergeCell ref="I39:I40"/>
    <mergeCell ref="A37:A38"/>
    <mergeCell ref="B37:B38"/>
    <mergeCell ref="C37:C38"/>
    <mergeCell ref="D37:D38"/>
    <mergeCell ref="I37:I38"/>
    <mergeCell ref="A35:A36"/>
    <mergeCell ref="B35:B36"/>
    <mergeCell ref="C35:C36"/>
    <mergeCell ref="D35:D36"/>
    <mergeCell ref="I35:I36"/>
    <mergeCell ref="A33:A34"/>
    <mergeCell ref="B33:B34"/>
    <mergeCell ref="C33:C34"/>
    <mergeCell ref="D33:D34"/>
    <mergeCell ref="I33:I34"/>
    <mergeCell ref="A31:A32"/>
    <mergeCell ref="B31:B32"/>
    <mergeCell ref="C31:C32"/>
    <mergeCell ref="D31:D32"/>
    <mergeCell ref="I31:I32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1:A22"/>
    <mergeCell ref="B21:B22"/>
    <mergeCell ref="C21:C22"/>
    <mergeCell ref="D21:D22"/>
    <mergeCell ref="I21:I22"/>
    <mergeCell ref="C19:C20"/>
    <mergeCell ref="D19:D20"/>
    <mergeCell ref="I19:I20"/>
    <mergeCell ref="A19:A20"/>
    <mergeCell ref="B19:B20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13:A14"/>
    <mergeCell ref="B13:B14"/>
    <mergeCell ref="C13:C14"/>
    <mergeCell ref="D13:H13"/>
    <mergeCell ref="I13:I14"/>
  </mergeCells>
  <printOptions horizontalCentered="1" verticalCentered="1"/>
  <pageMargins left="0" right="0" top="1.0318110236220472" bottom="0.74803149606299213" header="0" footer="0"/>
  <pageSetup paperSize="9" scale="3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5"/>
  <sheetViews>
    <sheetView zoomScale="50" zoomScaleNormal="50" workbookViewId="0">
      <selection activeCell="D17" sqref="D17:H50"/>
    </sheetView>
  </sheetViews>
  <sheetFormatPr baseColWidth="10" defaultRowHeight="12.75" x14ac:dyDescent="0.2"/>
  <cols>
    <col min="1" max="1" width="45.85546875" customWidth="1"/>
    <col min="2" max="2" width="22.42578125" customWidth="1"/>
    <col min="3" max="3" width="64.42578125" customWidth="1"/>
    <col min="4" max="4" width="19.28515625" customWidth="1"/>
    <col min="5" max="5" width="16" customWidth="1"/>
    <col min="6" max="6" width="26.140625" customWidth="1"/>
    <col min="7" max="7" width="30" customWidth="1"/>
    <col min="8" max="8" width="42.42578125" customWidth="1"/>
    <col min="9" max="9" width="38.85546875" customWidth="1"/>
    <col min="12" max="12" width="28.28515625" customWidth="1"/>
    <col min="13" max="13" width="19.7109375" customWidth="1"/>
    <col min="14" max="14" width="29.7109375" customWidth="1"/>
  </cols>
  <sheetData>
    <row r="1" spans="1:14" ht="30" x14ac:dyDescent="0.2">
      <c r="A1" s="295" t="s">
        <v>49</v>
      </c>
      <c r="B1" s="295"/>
      <c r="C1" s="295"/>
      <c r="D1" s="295"/>
      <c r="E1" s="295"/>
      <c r="F1" s="295"/>
      <c r="G1" s="295"/>
      <c r="H1" s="295"/>
      <c r="I1" s="295"/>
    </row>
    <row r="2" spans="1:14" ht="30" x14ac:dyDescent="0.2">
      <c r="A2" s="295" t="s">
        <v>50</v>
      </c>
      <c r="B2" s="295"/>
      <c r="C2" s="295"/>
      <c r="D2" s="295"/>
      <c r="E2" s="295"/>
      <c r="F2" s="295"/>
      <c r="G2" s="295"/>
      <c r="H2" s="295"/>
      <c r="I2" s="295"/>
    </row>
    <row r="3" spans="1:14" ht="30" x14ac:dyDescent="0.2">
      <c r="A3" s="295" t="s">
        <v>51</v>
      </c>
      <c r="B3" s="295"/>
      <c r="C3" s="295"/>
      <c r="D3" s="295"/>
      <c r="E3" s="295"/>
      <c r="F3" s="295"/>
      <c r="G3" s="295"/>
      <c r="H3" s="295"/>
      <c r="I3" s="295"/>
    </row>
    <row r="4" spans="1:14" x14ac:dyDescent="0.2">
      <c r="A4" s="3"/>
      <c r="B4" s="3"/>
      <c r="C4" s="3"/>
      <c r="D4" s="3"/>
      <c r="E4" s="3"/>
      <c r="F4" s="3"/>
      <c r="G4" s="3"/>
      <c r="H4" s="3"/>
      <c r="I4" s="3"/>
    </row>
    <row r="6" spans="1:14" x14ac:dyDescent="0.2">
      <c r="A6" s="3"/>
      <c r="B6" s="3"/>
      <c r="C6" s="3"/>
      <c r="D6" s="3"/>
      <c r="E6" s="3"/>
      <c r="F6" s="3"/>
      <c r="G6" s="3"/>
      <c r="H6" s="3"/>
      <c r="I6" s="3"/>
    </row>
    <row r="7" spans="1:14" ht="27" thickBot="1" x14ac:dyDescent="0.25">
      <c r="A7" s="50"/>
      <c r="B7" s="51" t="s">
        <v>35</v>
      </c>
      <c r="C7" s="52" t="s">
        <v>84</v>
      </c>
      <c r="D7" s="50"/>
      <c r="E7" s="50"/>
      <c r="F7" s="51" t="s">
        <v>1</v>
      </c>
      <c r="G7" s="296" t="s">
        <v>54</v>
      </c>
      <c r="H7" s="296"/>
      <c r="I7" s="7"/>
    </row>
    <row r="8" spans="1:14" ht="26.25" x14ac:dyDescent="0.2">
      <c r="A8" s="50"/>
      <c r="B8" s="51"/>
      <c r="C8" s="53"/>
      <c r="D8" s="50"/>
      <c r="E8" s="50"/>
      <c r="F8" s="54"/>
      <c r="G8" s="50"/>
      <c r="H8" s="50"/>
      <c r="I8" s="7"/>
    </row>
    <row r="9" spans="1:14" ht="27" thickBot="1" x14ac:dyDescent="0.25">
      <c r="A9" s="50"/>
      <c r="B9" s="51" t="s">
        <v>42</v>
      </c>
      <c r="C9" s="52"/>
      <c r="D9" s="50"/>
      <c r="E9" s="50"/>
      <c r="F9" s="51" t="s">
        <v>2</v>
      </c>
      <c r="G9" s="297"/>
      <c r="H9" s="297"/>
      <c r="I9" s="7"/>
    </row>
    <row r="10" spans="1:14" ht="26.25" x14ac:dyDescent="0.2">
      <c r="A10" s="50"/>
      <c r="B10" s="54"/>
      <c r="C10" s="53"/>
      <c r="D10" s="50"/>
      <c r="E10" s="50"/>
      <c r="F10" s="51"/>
      <c r="G10" s="50"/>
      <c r="H10" s="50"/>
      <c r="I10" s="7"/>
    </row>
    <row r="11" spans="1:14" ht="27" thickBot="1" x14ac:dyDescent="0.25">
      <c r="A11" s="50"/>
      <c r="B11" s="51" t="s">
        <v>36</v>
      </c>
      <c r="C11" s="52" t="s">
        <v>88</v>
      </c>
      <c r="D11" s="50"/>
      <c r="E11" s="50"/>
      <c r="F11" s="51" t="s">
        <v>39</v>
      </c>
      <c r="G11" s="298"/>
      <c r="H11" s="298"/>
      <c r="I11" s="7"/>
    </row>
    <row r="12" spans="1:14" ht="19.5" thickBot="1" x14ac:dyDescent="0.25">
      <c r="A12" s="19"/>
      <c r="B12" s="19"/>
      <c r="C12" s="19"/>
      <c r="D12" s="19"/>
      <c r="E12" s="19"/>
      <c r="F12" s="19"/>
      <c r="G12" s="19"/>
      <c r="H12" s="19"/>
      <c r="I12" s="19"/>
    </row>
    <row r="13" spans="1:14" ht="18.75" x14ac:dyDescent="0.2">
      <c r="A13" s="299" t="s">
        <v>3</v>
      </c>
      <c r="B13" s="301" t="s">
        <v>43</v>
      </c>
      <c r="C13" s="301" t="s">
        <v>4</v>
      </c>
      <c r="D13" s="303" t="s">
        <v>5</v>
      </c>
      <c r="E13" s="304"/>
      <c r="F13" s="304"/>
      <c r="G13" s="304"/>
      <c r="H13" s="305"/>
      <c r="I13" s="306" t="s">
        <v>34</v>
      </c>
    </row>
    <row r="14" spans="1:14" ht="38.25" thickBot="1" x14ac:dyDescent="0.25">
      <c r="A14" s="300"/>
      <c r="B14" s="302"/>
      <c r="C14" s="302"/>
      <c r="D14" s="37" t="s">
        <v>6</v>
      </c>
      <c r="E14" s="37" t="s">
        <v>7</v>
      </c>
      <c r="F14" s="37" t="s">
        <v>8</v>
      </c>
      <c r="G14" s="10" t="s">
        <v>9</v>
      </c>
      <c r="H14" s="10" t="s">
        <v>33</v>
      </c>
      <c r="I14" s="307"/>
    </row>
    <row r="15" spans="1:14" ht="27" x14ac:dyDescent="0.2">
      <c r="A15" s="262" t="s">
        <v>41</v>
      </c>
      <c r="B15" s="264">
        <v>146</v>
      </c>
      <c r="C15" s="266" t="s">
        <v>29</v>
      </c>
      <c r="D15" s="268"/>
      <c r="E15" s="20"/>
      <c r="F15" s="21"/>
      <c r="G15" s="22"/>
      <c r="H15" s="35"/>
      <c r="I15" s="270"/>
      <c r="K15" s="61">
        <f>SUM(D15+(D45*10)+(D33*10)+D23+D35+(D37*10)+D49)</f>
        <v>0</v>
      </c>
      <c r="L15" s="62" t="s">
        <v>67</v>
      </c>
      <c r="M15" s="62">
        <v>2715</v>
      </c>
      <c r="N15" s="62" t="s">
        <v>68</v>
      </c>
    </row>
    <row r="16" spans="1:14" ht="27.75" thickBot="1" x14ac:dyDescent="0.25">
      <c r="A16" s="263"/>
      <c r="B16" s="265"/>
      <c r="C16" s="267"/>
      <c r="D16" s="269"/>
      <c r="E16" s="23"/>
      <c r="F16" s="24"/>
      <c r="G16" s="25"/>
      <c r="H16" s="25"/>
      <c r="I16" s="271"/>
      <c r="K16" s="61">
        <f>SUM((D45/3)*20+D21)</f>
        <v>0</v>
      </c>
      <c r="L16" s="62" t="s">
        <v>67</v>
      </c>
      <c r="M16" s="62">
        <v>2707</v>
      </c>
      <c r="N16" s="62" t="s">
        <v>69</v>
      </c>
    </row>
    <row r="17" spans="1:14" ht="27" x14ac:dyDescent="0.2">
      <c r="A17" s="272" t="s">
        <v>55</v>
      </c>
      <c r="B17" s="273">
        <v>148</v>
      </c>
      <c r="C17" s="274" t="s">
        <v>10</v>
      </c>
      <c r="D17" s="308"/>
      <c r="E17" s="26"/>
      <c r="F17" s="27"/>
      <c r="G17" s="28"/>
      <c r="H17" s="36"/>
      <c r="I17" s="275"/>
      <c r="K17" s="61">
        <f>SUM(D25)</f>
        <v>0</v>
      </c>
      <c r="L17" s="62" t="s">
        <v>67</v>
      </c>
      <c r="M17" s="62">
        <v>2699</v>
      </c>
      <c r="N17" s="62" t="s">
        <v>70</v>
      </c>
    </row>
    <row r="18" spans="1:14" ht="27.75" thickBot="1" x14ac:dyDescent="0.25">
      <c r="A18" s="263"/>
      <c r="B18" s="265"/>
      <c r="C18" s="267"/>
      <c r="D18" s="309"/>
      <c r="E18" s="23"/>
      <c r="F18" s="24"/>
      <c r="G18" s="25"/>
      <c r="H18" s="25"/>
      <c r="I18" s="271"/>
      <c r="K18" s="61">
        <f>SUM(D27+D41)</f>
        <v>0</v>
      </c>
      <c r="L18" s="62" t="s">
        <v>67</v>
      </c>
      <c r="M18" s="62">
        <v>2657</v>
      </c>
      <c r="N18" s="62" t="s">
        <v>71</v>
      </c>
    </row>
    <row r="19" spans="1:14" ht="27.95" customHeight="1" x14ac:dyDescent="0.2">
      <c r="A19" s="280" t="s">
        <v>80</v>
      </c>
      <c r="B19" s="282">
        <v>150</v>
      </c>
      <c r="C19" s="276" t="s">
        <v>81</v>
      </c>
      <c r="D19" s="308"/>
      <c r="E19" s="26"/>
      <c r="F19" s="27"/>
      <c r="G19" s="28"/>
      <c r="H19" s="36"/>
      <c r="I19" s="278"/>
      <c r="K19" s="61">
        <f>SUM(D29*10)</f>
        <v>0</v>
      </c>
      <c r="L19" s="62" t="s">
        <v>67</v>
      </c>
      <c r="M19" s="62">
        <v>59</v>
      </c>
      <c r="N19" s="62" t="s">
        <v>72</v>
      </c>
    </row>
    <row r="20" spans="1:14" ht="27" thickBot="1" x14ac:dyDescent="0.25">
      <c r="A20" s="281"/>
      <c r="B20" s="283"/>
      <c r="C20" s="277"/>
      <c r="D20" s="309"/>
      <c r="E20" s="23"/>
      <c r="F20" s="24"/>
      <c r="G20" s="25"/>
      <c r="H20" s="25"/>
      <c r="I20" s="279"/>
    </row>
    <row r="21" spans="1:14" ht="26.25" x14ac:dyDescent="0.2">
      <c r="A21" s="280" t="s">
        <v>53</v>
      </c>
      <c r="B21" s="282">
        <v>6135</v>
      </c>
      <c r="C21" s="276" t="s">
        <v>56</v>
      </c>
      <c r="D21" s="308"/>
      <c r="E21" s="26"/>
      <c r="F21" s="27"/>
      <c r="G21" s="28"/>
      <c r="H21" s="36"/>
      <c r="I21" s="278"/>
    </row>
    <row r="22" spans="1:14" ht="27" thickBot="1" x14ac:dyDescent="0.25">
      <c r="A22" s="281"/>
      <c r="B22" s="283"/>
      <c r="C22" s="277"/>
      <c r="D22" s="309"/>
      <c r="E22" s="23"/>
      <c r="F22" s="24"/>
      <c r="G22" s="25"/>
      <c r="H22" s="25"/>
      <c r="I22" s="279"/>
    </row>
    <row r="23" spans="1:14" ht="26.25" x14ac:dyDescent="0.2">
      <c r="A23" s="280" t="s">
        <v>16</v>
      </c>
      <c r="B23" s="282">
        <v>2526</v>
      </c>
      <c r="C23" s="276" t="s">
        <v>23</v>
      </c>
      <c r="D23" s="308"/>
      <c r="E23" s="26"/>
      <c r="F23" s="27"/>
      <c r="G23" s="28"/>
      <c r="H23" s="29"/>
      <c r="I23" s="284"/>
    </row>
    <row r="24" spans="1:14" ht="27" thickBot="1" x14ac:dyDescent="0.25">
      <c r="A24" s="281"/>
      <c r="B24" s="283"/>
      <c r="C24" s="277"/>
      <c r="D24" s="309"/>
      <c r="E24" s="23"/>
      <c r="F24" s="24"/>
      <c r="G24" s="25"/>
      <c r="H24" s="30"/>
      <c r="I24" s="285"/>
    </row>
    <row r="25" spans="1:14" ht="26.25" x14ac:dyDescent="0.2">
      <c r="A25" s="280" t="s">
        <v>63</v>
      </c>
      <c r="B25" s="282">
        <v>2527</v>
      </c>
      <c r="C25" s="276" t="s">
        <v>24</v>
      </c>
      <c r="D25" s="308"/>
      <c r="E25" s="26"/>
      <c r="F25" s="27"/>
      <c r="G25" s="28"/>
      <c r="H25" s="29"/>
      <c r="I25" s="286"/>
    </row>
    <row r="26" spans="1:14" ht="27" thickBot="1" x14ac:dyDescent="0.25">
      <c r="A26" s="281"/>
      <c r="B26" s="283"/>
      <c r="C26" s="277"/>
      <c r="D26" s="309"/>
      <c r="E26" s="23"/>
      <c r="F26" s="24"/>
      <c r="G26" s="25"/>
      <c r="H26" s="30"/>
      <c r="I26" s="287"/>
    </row>
    <row r="27" spans="1:14" ht="26.25" x14ac:dyDescent="0.2">
      <c r="A27" s="280" t="s">
        <v>14</v>
      </c>
      <c r="B27" s="282">
        <v>3800</v>
      </c>
      <c r="C27" s="276" t="s">
        <v>45</v>
      </c>
      <c r="D27" s="308"/>
      <c r="E27" s="26"/>
      <c r="F27" s="27"/>
      <c r="G27" s="28"/>
      <c r="H27" s="29"/>
      <c r="I27" s="284"/>
    </row>
    <row r="28" spans="1:14" ht="27" thickBot="1" x14ac:dyDescent="0.25">
      <c r="A28" s="281"/>
      <c r="B28" s="283"/>
      <c r="C28" s="277"/>
      <c r="D28" s="309"/>
      <c r="E28" s="23"/>
      <c r="F28" s="24"/>
      <c r="G28" s="25"/>
      <c r="H28" s="32"/>
      <c r="I28" s="285"/>
    </row>
    <row r="29" spans="1:14" ht="26.25" x14ac:dyDescent="0.2">
      <c r="A29" s="280" t="s">
        <v>15</v>
      </c>
      <c r="B29" s="282">
        <v>3801</v>
      </c>
      <c r="C29" s="276" t="s">
        <v>25</v>
      </c>
      <c r="D29" s="308"/>
      <c r="E29" s="26"/>
      <c r="F29" s="27"/>
      <c r="G29" s="28"/>
      <c r="H29" s="29"/>
      <c r="I29" s="284"/>
    </row>
    <row r="30" spans="1:14" ht="27" thickBot="1" x14ac:dyDescent="0.25">
      <c r="A30" s="281"/>
      <c r="B30" s="283"/>
      <c r="C30" s="277"/>
      <c r="D30" s="309"/>
      <c r="E30" s="23"/>
      <c r="F30" s="24"/>
      <c r="G30" s="25"/>
      <c r="H30" s="30"/>
      <c r="I30" s="285"/>
    </row>
    <row r="31" spans="1:14" ht="26.25" x14ac:dyDescent="0.2">
      <c r="A31" s="280" t="s">
        <v>17</v>
      </c>
      <c r="B31" s="282">
        <v>3802</v>
      </c>
      <c r="C31" s="276" t="s">
        <v>47</v>
      </c>
      <c r="D31" s="308"/>
      <c r="E31" s="26"/>
      <c r="F31" s="27"/>
      <c r="G31" s="28"/>
      <c r="H31" s="63"/>
      <c r="I31" s="284"/>
    </row>
    <row r="32" spans="1:14" ht="27" thickBot="1" x14ac:dyDescent="0.25">
      <c r="A32" s="281"/>
      <c r="B32" s="283"/>
      <c r="C32" s="277"/>
      <c r="D32" s="309"/>
      <c r="E32" s="23"/>
      <c r="F32" s="24"/>
      <c r="G32" s="25"/>
      <c r="H32" s="30"/>
      <c r="I32" s="285"/>
    </row>
    <row r="33" spans="1:9" ht="26.25" x14ac:dyDescent="0.2">
      <c r="A33" s="280" t="s">
        <v>18</v>
      </c>
      <c r="B33" s="282">
        <v>3805</v>
      </c>
      <c r="C33" s="276" t="s">
        <v>26</v>
      </c>
      <c r="D33" s="308"/>
      <c r="E33" s="26"/>
      <c r="F33" s="27"/>
      <c r="G33" s="28"/>
      <c r="H33" s="29"/>
      <c r="I33" s="284"/>
    </row>
    <row r="34" spans="1:9" ht="27" thickBot="1" x14ac:dyDescent="0.25">
      <c r="A34" s="281"/>
      <c r="B34" s="283"/>
      <c r="C34" s="277"/>
      <c r="D34" s="309"/>
      <c r="E34" s="23"/>
      <c r="F34" s="24"/>
      <c r="G34" s="25"/>
      <c r="H34" s="32"/>
      <c r="I34" s="285"/>
    </row>
    <row r="35" spans="1:9" ht="26.25" x14ac:dyDescent="0.2">
      <c r="A35" s="280" t="s">
        <v>57</v>
      </c>
      <c r="B35" s="282">
        <v>3808</v>
      </c>
      <c r="C35" s="276" t="s">
        <v>27</v>
      </c>
      <c r="D35" s="308"/>
      <c r="E35" s="26"/>
      <c r="F35" s="27"/>
      <c r="G35" s="28"/>
      <c r="H35" s="29"/>
      <c r="I35" s="284"/>
    </row>
    <row r="36" spans="1:9" ht="27" thickBot="1" x14ac:dyDescent="0.25">
      <c r="A36" s="281"/>
      <c r="B36" s="283"/>
      <c r="C36" s="277"/>
      <c r="D36" s="309"/>
      <c r="E36" s="23"/>
      <c r="F36" s="24"/>
      <c r="G36" s="25"/>
      <c r="H36" s="32"/>
      <c r="I36" s="285"/>
    </row>
    <row r="37" spans="1:9" ht="26.25" x14ac:dyDescent="0.2">
      <c r="A37" s="280" t="s">
        <v>21</v>
      </c>
      <c r="B37" s="282">
        <v>3810</v>
      </c>
      <c r="C37" s="276" t="s">
        <v>48</v>
      </c>
      <c r="D37" s="308"/>
      <c r="E37" s="26"/>
      <c r="F37" s="27"/>
      <c r="G37" s="28"/>
      <c r="H37" s="29"/>
      <c r="I37" s="288"/>
    </row>
    <row r="38" spans="1:9" ht="27" thickBot="1" x14ac:dyDescent="0.25">
      <c r="A38" s="281"/>
      <c r="B38" s="283"/>
      <c r="C38" s="277"/>
      <c r="D38" s="309"/>
      <c r="E38" s="23"/>
      <c r="F38" s="24"/>
      <c r="G38" s="25"/>
      <c r="H38" s="32"/>
      <c r="I38" s="289"/>
    </row>
    <row r="39" spans="1:9" ht="26.25" x14ac:dyDescent="0.2">
      <c r="A39" s="280" t="s">
        <v>64</v>
      </c>
      <c r="B39" s="282">
        <v>6056</v>
      </c>
      <c r="C39" s="276" t="s">
        <v>31</v>
      </c>
      <c r="D39" s="308"/>
      <c r="E39" s="64"/>
      <c r="F39" s="27"/>
      <c r="G39" s="28"/>
      <c r="H39" s="29"/>
      <c r="I39" s="288"/>
    </row>
    <row r="40" spans="1:9" ht="27" thickBot="1" x14ac:dyDescent="0.25">
      <c r="A40" s="281"/>
      <c r="B40" s="283"/>
      <c r="C40" s="277"/>
      <c r="D40" s="309"/>
      <c r="E40" s="34"/>
      <c r="F40" s="24"/>
      <c r="G40" s="25"/>
      <c r="H40" s="30"/>
      <c r="I40" s="289"/>
    </row>
    <row r="41" spans="1:9" ht="26.25" x14ac:dyDescent="0.2">
      <c r="A41" s="280" t="s">
        <v>19</v>
      </c>
      <c r="B41" s="282">
        <v>3820</v>
      </c>
      <c r="C41" s="276" t="s">
        <v>46</v>
      </c>
      <c r="D41" s="308"/>
      <c r="E41" s="26"/>
      <c r="F41" s="27"/>
      <c r="G41" s="28"/>
      <c r="H41" s="29"/>
      <c r="I41" s="288"/>
    </row>
    <row r="42" spans="1:9" ht="27" thickBot="1" x14ac:dyDescent="0.25">
      <c r="A42" s="290"/>
      <c r="B42" s="291"/>
      <c r="C42" s="292"/>
      <c r="D42" s="309"/>
      <c r="E42" s="23"/>
      <c r="F42" s="24"/>
      <c r="G42" s="25"/>
      <c r="H42" s="32"/>
      <c r="I42" s="289"/>
    </row>
    <row r="43" spans="1:9" ht="26.25" x14ac:dyDescent="0.2">
      <c r="A43" s="280" t="s">
        <v>20</v>
      </c>
      <c r="B43" s="282">
        <v>3821</v>
      </c>
      <c r="C43" s="276" t="s">
        <v>28</v>
      </c>
      <c r="D43" s="308"/>
      <c r="E43" s="26"/>
      <c r="F43" s="27"/>
      <c r="G43" s="28"/>
      <c r="H43" s="31"/>
      <c r="I43" s="288"/>
    </row>
    <row r="44" spans="1:9" ht="27" thickBot="1" x14ac:dyDescent="0.25">
      <c r="A44" s="281"/>
      <c r="B44" s="283"/>
      <c r="C44" s="277"/>
      <c r="D44" s="309"/>
      <c r="E44" s="23"/>
      <c r="F44" s="24"/>
      <c r="G44" s="25"/>
      <c r="H44" s="32"/>
      <c r="I44" s="289"/>
    </row>
    <row r="45" spans="1:9" ht="26.25" x14ac:dyDescent="0.2">
      <c r="A45" s="280" t="s">
        <v>58</v>
      </c>
      <c r="B45" s="282">
        <v>3822</v>
      </c>
      <c r="C45" s="276" t="s">
        <v>38</v>
      </c>
      <c r="D45" s="268"/>
      <c r="E45" s="26"/>
      <c r="F45" s="27"/>
      <c r="G45" s="28"/>
      <c r="H45" s="29"/>
      <c r="I45" s="284"/>
    </row>
    <row r="46" spans="1:9" ht="27" thickBot="1" x14ac:dyDescent="0.25">
      <c r="A46" s="281"/>
      <c r="B46" s="283"/>
      <c r="C46" s="277"/>
      <c r="D46" s="269"/>
      <c r="E46" s="23"/>
      <c r="F46" s="24"/>
      <c r="G46" s="25"/>
      <c r="H46" s="32"/>
      <c r="I46" s="285"/>
    </row>
    <row r="47" spans="1:9" ht="26.25" customHeight="1" x14ac:dyDescent="0.2">
      <c r="A47" s="280" t="s">
        <v>32</v>
      </c>
      <c r="B47" s="282">
        <v>3832</v>
      </c>
      <c r="C47" s="276" t="s">
        <v>37</v>
      </c>
      <c r="D47" s="268"/>
      <c r="E47" s="27"/>
      <c r="F47" s="27"/>
      <c r="G47" s="28"/>
      <c r="H47" s="31"/>
      <c r="I47" s="288"/>
    </row>
    <row r="48" spans="1:9" ht="27" thickBot="1" x14ac:dyDescent="0.25">
      <c r="A48" s="281"/>
      <c r="B48" s="283"/>
      <c r="C48" s="277"/>
      <c r="D48" s="269"/>
      <c r="E48" s="24"/>
      <c r="F48" s="24"/>
      <c r="G48" s="25"/>
      <c r="H48" s="32"/>
      <c r="I48" s="289"/>
    </row>
    <row r="49" spans="1:9" ht="26.25" x14ac:dyDescent="0.2">
      <c r="A49" s="280" t="s">
        <v>59</v>
      </c>
      <c r="B49" s="282">
        <v>4173</v>
      </c>
      <c r="C49" s="276" t="s">
        <v>12</v>
      </c>
      <c r="D49" s="268"/>
      <c r="E49" s="27"/>
      <c r="F49" s="27"/>
      <c r="G49" s="28"/>
      <c r="H49" s="31"/>
      <c r="I49" s="284"/>
    </row>
    <row r="50" spans="1:9" ht="27" thickBot="1" x14ac:dyDescent="0.25">
      <c r="A50" s="281"/>
      <c r="B50" s="283"/>
      <c r="C50" s="277"/>
      <c r="D50" s="269"/>
      <c r="E50" s="24"/>
      <c r="F50" s="24"/>
      <c r="G50" s="25"/>
      <c r="H50" s="32"/>
      <c r="I50" s="285"/>
    </row>
    <row r="51" spans="1:9" ht="26.25" x14ac:dyDescent="0.2">
      <c r="A51" s="280" t="s">
        <v>22</v>
      </c>
      <c r="B51" s="293">
        <v>2</v>
      </c>
      <c r="C51" s="276" t="s">
        <v>30</v>
      </c>
      <c r="D51" s="268"/>
      <c r="E51" s="27"/>
      <c r="F51" s="27"/>
      <c r="G51" s="31"/>
      <c r="H51" s="31"/>
      <c r="I51" s="288"/>
    </row>
    <row r="52" spans="1:9" ht="27" thickBot="1" x14ac:dyDescent="0.25">
      <c r="A52" s="281"/>
      <c r="B52" s="294"/>
      <c r="C52" s="277"/>
      <c r="D52" s="269"/>
      <c r="E52" s="24"/>
      <c r="F52" s="24"/>
      <c r="G52" s="32"/>
      <c r="H52" s="32"/>
      <c r="I52" s="289"/>
    </row>
    <row r="53" spans="1:9" ht="27" x14ac:dyDescent="0.2">
      <c r="A53" s="311" t="s">
        <v>13</v>
      </c>
      <c r="B53" s="311"/>
      <c r="C53" s="311"/>
      <c r="D53" s="311"/>
      <c r="E53" s="311"/>
      <c r="F53" s="311"/>
      <c r="G53" s="311"/>
      <c r="H53" s="311"/>
      <c r="I53" s="311"/>
    </row>
    <row r="54" spans="1:9" ht="18.75" x14ac:dyDescent="0.2">
      <c r="A54" s="11"/>
      <c r="B54" s="312"/>
      <c r="C54" s="312"/>
      <c r="D54" s="312"/>
      <c r="E54" s="312"/>
      <c r="F54" s="312"/>
      <c r="G54" s="312"/>
      <c r="H54" s="312"/>
      <c r="I54" s="12"/>
    </row>
    <row r="55" spans="1:9" ht="18.75" x14ac:dyDescent="0.2">
      <c r="A55" s="11"/>
      <c r="B55" s="13"/>
      <c r="C55" s="13"/>
      <c r="D55" s="13"/>
      <c r="E55" s="13"/>
      <c r="F55" s="13"/>
      <c r="G55" s="13"/>
      <c r="H55" s="13"/>
      <c r="I55" s="11"/>
    </row>
    <row r="56" spans="1:9" ht="18.75" x14ac:dyDescent="0.2">
      <c r="A56" s="11"/>
      <c r="B56" s="13"/>
      <c r="C56" s="13"/>
      <c r="D56" s="13"/>
      <c r="E56" s="13"/>
      <c r="F56" s="13"/>
      <c r="G56" s="13"/>
      <c r="H56" s="13"/>
      <c r="I56" s="11"/>
    </row>
    <row r="57" spans="1:9" ht="18.75" x14ac:dyDescent="0.2">
      <c r="A57" s="11"/>
      <c r="B57" s="13"/>
      <c r="C57" s="13"/>
      <c r="D57" s="13"/>
      <c r="E57" s="13"/>
      <c r="F57" s="13"/>
      <c r="G57" s="13"/>
      <c r="H57" s="13"/>
      <c r="I57" s="11"/>
    </row>
    <row r="58" spans="1:9" ht="18.75" x14ac:dyDescent="0.2">
      <c r="A58" s="14"/>
      <c r="B58" s="15"/>
      <c r="C58" s="16"/>
      <c r="D58" s="15"/>
      <c r="E58" s="15"/>
      <c r="F58" s="15"/>
      <c r="G58" s="16"/>
      <c r="H58" s="16"/>
      <c r="I58" s="16"/>
    </row>
    <row r="59" spans="1:9" ht="18.75" x14ac:dyDescent="0.2">
      <c r="A59" s="14"/>
      <c r="B59" s="313"/>
      <c r="C59" s="313"/>
      <c r="D59" s="17"/>
      <c r="E59" s="7"/>
      <c r="F59" s="16"/>
      <c r="G59" s="16"/>
      <c r="H59" s="4"/>
      <c r="I59" s="7"/>
    </row>
    <row r="60" spans="1:9" ht="20.25" x14ac:dyDescent="0.2">
      <c r="A60" s="42"/>
      <c r="B60" s="42"/>
      <c r="C60" s="43"/>
      <c r="D60" s="44"/>
      <c r="E60" s="43"/>
      <c r="F60" s="45"/>
      <c r="G60" s="45"/>
      <c r="H60" s="43"/>
      <c r="I60" s="43"/>
    </row>
    <row r="61" spans="1:9" ht="20.25" x14ac:dyDescent="0.2">
      <c r="A61" s="314" t="s">
        <v>73</v>
      </c>
      <c r="B61" s="314"/>
      <c r="C61" s="314"/>
      <c r="D61" s="46"/>
      <c r="E61" s="43"/>
      <c r="F61" s="315" t="s">
        <v>74</v>
      </c>
      <c r="G61" s="315"/>
      <c r="H61" s="315"/>
      <c r="I61" s="315"/>
    </row>
    <row r="62" spans="1:9" ht="20.25" x14ac:dyDescent="0.2">
      <c r="A62" s="310" t="s">
        <v>65</v>
      </c>
      <c r="B62" s="310"/>
      <c r="C62" s="310"/>
      <c r="D62" s="42"/>
      <c r="E62" s="43"/>
      <c r="F62" s="310" t="s">
        <v>44</v>
      </c>
      <c r="G62" s="310"/>
      <c r="H62" s="310"/>
      <c r="I62" s="310"/>
    </row>
    <row r="63" spans="1:9" ht="20.25" x14ac:dyDescent="0.2">
      <c r="A63" s="45"/>
      <c r="B63" s="45"/>
      <c r="C63" s="43"/>
      <c r="D63" s="45"/>
      <c r="E63" s="45"/>
      <c r="F63" s="43"/>
      <c r="G63" s="43"/>
      <c r="H63" s="43"/>
      <c r="I63" s="43"/>
    </row>
    <row r="64" spans="1:9" ht="20.25" x14ac:dyDescent="0.2">
      <c r="A64" s="45"/>
      <c r="B64" s="45"/>
      <c r="C64" s="43"/>
      <c r="D64" s="45"/>
      <c r="E64" s="45"/>
      <c r="F64" s="43"/>
      <c r="G64" s="43"/>
      <c r="H64" s="43"/>
      <c r="I64" s="43"/>
    </row>
    <row r="65" spans="1:9" ht="20.25" x14ac:dyDescent="0.2">
      <c r="A65" s="42"/>
      <c r="B65" s="42"/>
      <c r="C65" s="43"/>
      <c r="D65" s="42"/>
      <c r="E65" s="45"/>
      <c r="F65" s="43"/>
      <c r="G65" s="43"/>
      <c r="H65" s="43"/>
      <c r="I65" s="43"/>
    </row>
    <row r="66" spans="1:9" ht="20.25" x14ac:dyDescent="0.2">
      <c r="A66" s="42"/>
      <c r="B66" s="42" t="s">
        <v>75</v>
      </c>
      <c r="C66" s="43"/>
      <c r="D66" s="45"/>
      <c r="E66" s="47"/>
      <c r="F66" s="43"/>
      <c r="G66" s="43"/>
      <c r="H66" s="43"/>
      <c r="I66" s="46"/>
    </row>
    <row r="67" spans="1:9" ht="20.25" x14ac:dyDescent="0.2">
      <c r="A67" s="316" t="s">
        <v>66</v>
      </c>
      <c r="B67" s="316"/>
      <c r="C67" s="316"/>
      <c r="D67" s="46"/>
      <c r="E67" s="43"/>
      <c r="F67" s="314" t="s">
        <v>52</v>
      </c>
      <c r="G67" s="314"/>
      <c r="H67" s="314"/>
      <c r="I67" s="314"/>
    </row>
    <row r="68" spans="1:9" ht="20.25" x14ac:dyDescent="0.2">
      <c r="A68" s="310"/>
      <c r="B68" s="310"/>
      <c r="C68" s="310"/>
      <c r="D68" s="1"/>
      <c r="E68" s="2"/>
      <c r="F68" s="2"/>
      <c r="G68" s="2"/>
      <c r="H68" s="2"/>
      <c r="I68" s="4"/>
    </row>
    <row r="69" spans="1:9" x14ac:dyDescent="0.2">
      <c r="A69" s="4"/>
      <c r="B69" s="4"/>
      <c r="C69" s="4"/>
      <c r="D69" s="4"/>
      <c r="E69" s="2"/>
      <c r="F69" s="2"/>
      <c r="G69" s="2"/>
      <c r="H69" s="2"/>
      <c r="I69" s="4"/>
    </row>
    <row r="70" spans="1:9" x14ac:dyDescent="0.2">
      <c r="A70" s="4"/>
      <c r="B70" s="4"/>
      <c r="C70" s="4"/>
      <c r="D70" s="4"/>
      <c r="E70" s="2"/>
      <c r="F70" s="2"/>
      <c r="G70" s="2"/>
      <c r="H70" s="2"/>
      <c r="I70" s="4"/>
    </row>
    <row r="71" spans="1:9" x14ac:dyDescent="0.2">
      <c r="A71" s="4"/>
      <c r="B71" s="4"/>
      <c r="C71" s="4"/>
      <c r="D71" s="4"/>
      <c r="E71" s="2"/>
      <c r="F71" s="2"/>
      <c r="G71" s="2"/>
      <c r="H71" s="2"/>
      <c r="I71" s="4"/>
    </row>
    <row r="72" spans="1:9" x14ac:dyDescent="0.2">
      <c r="A72" s="4"/>
      <c r="B72" s="4"/>
      <c r="C72" s="4"/>
      <c r="D72" s="4"/>
      <c r="E72" s="4"/>
      <c r="F72" s="5"/>
      <c r="G72" s="4"/>
      <c r="H72" s="4"/>
      <c r="I72" s="4"/>
    </row>
    <row r="73" spans="1:9" x14ac:dyDescent="0.2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">
      <c r="A75" s="4"/>
      <c r="B75" s="4"/>
      <c r="C75" s="4"/>
      <c r="D75" s="4"/>
      <c r="E75" s="4"/>
      <c r="F75" s="4"/>
      <c r="G75" s="4"/>
      <c r="H75" s="4"/>
      <c r="I75" s="4"/>
    </row>
  </sheetData>
  <mergeCells count="116">
    <mergeCell ref="A68:C68"/>
    <mergeCell ref="A53:I53"/>
    <mergeCell ref="B54:H54"/>
    <mergeCell ref="B59:C59"/>
    <mergeCell ref="A61:C61"/>
    <mergeCell ref="F61:I61"/>
    <mergeCell ref="I49:I50"/>
    <mergeCell ref="A51:A52"/>
    <mergeCell ref="B51:B52"/>
    <mergeCell ref="C51:C52"/>
    <mergeCell ref="A62:C62"/>
    <mergeCell ref="F62:I62"/>
    <mergeCell ref="A67:C67"/>
    <mergeCell ref="F67:I67"/>
    <mergeCell ref="D51:D52"/>
    <mergeCell ref="I51:I52"/>
    <mergeCell ref="A45:A46"/>
    <mergeCell ref="B45:B46"/>
    <mergeCell ref="C45:C46"/>
    <mergeCell ref="D45:D46"/>
    <mergeCell ref="I45:I46"/>
    <mergeCell ref="A47:A48"/>
    <mergeCell ref="B47:B48"/>
    <mergeCell ref="C47:C48"/>
    <mergeCell ref="A49:A50"/>
    <mergeCell ref="B49:B50"/>
    <mergeCell ref="C49:C50"/>
    <mergeCell ref="D49:D50"/>
    <mergeCell ref="D47:D48"/>
    <mergeCell ref="I47:I48"/>
    <mergeCell ref="A41:A42"/>
    <mergeCell ref="B41:B42"/>
    <mergeCell ref="C41:C42"/>
    <mergeCell ref="D41:D42"/>
    <mergeCell ref="I41:I42"/>
    <mergeCell ref="A43:A44"/>
    <mergeCell ref="B43:B44"/>
    <mergeCell ref="C43:C44"/>
    <mergeCell ref="D43:D44"/>
    <mergeCell ref="I43:I44"/>
    <mergeCell ref="A37:A38"/>
    <mergeCell ref="B37:B38"/>
    <mergeCell ref="C37:C38"/>
    <mergeCell ref="D37:D38"/>
    <mergeCell ref="I37:I38"/>
    <mergeCell ref="A39:A40"/>
    <mergeCell ref="B39:B40"/>
    <mergeCell ref="C39:C40"/>
    <mergeCell ref="D39:D40"/>
    <mergeCell ref="I39:I40"/>
    <mergeCell ref="A33:A34"/>
    <mergeCell ref="B33:B34"/>
    <mergeCell ref="C33:C34"/>
    <mergeCell ref="D33:D34"/>
    <mergeCell ref="I33:I34"/>
    <mergeCell ref="A35:A36"/>
    <mergeCell ref="B35:B36"/>
    <mergeCell ref="C35:C36"/>
    <mergeCell ref="D35:D36"/>
    <mergeCell ref="I35:I36"/>
    <mergeCell ref="A29:A30"/>
    <mergeCell ref="B29:B30"/>
    <mergeCell ref="C29:C30"/>
    <mergeCell ref="D29:D30"/>
    <mergeCell ref="I29:I30"/>
    <mergeCell ref="A31:A32"/>
    <mergeCell ref="B31:B32"/>
    <mergeCell ref="C31:C32"/>
    <mergeCell ref="D31:D32"/>
    <mergeCell ref="I31:I32"/>
    <mergeCell ref="A25:A26"/>
    <mergeCell ref="B25:B26"/>
    <mergeCell ref="C25:C26"/>
    <mergeCell ref="D25:D26"/>
    <mergeCell ref="I25:I26"/>
    <mergeCell ref="A27:A28"/>
    <mergeCell ref="B27:B28"/>
    <mergeCell ref="C27:C28"/>
    <mergeCell ref="D27:D28"/>
    <mergeCell ref="I27:I28"/>
    <mergeCell ref="A21:A22"/>
    <mergeCell ref="B21:B22"/>
    <mergeCell ref="C21:C22"/>
    <mergeCell ref="D21:D22"/>
    <mergeCell ref="I21:I22"/>
    <mergeCell ref="A23:A24"/>
    <mergeCell ref="B23:B24"/>
    <mergeCell ref="C23:C24"/>
    <mergeCell ref="D23:D24"/>
    <mergeCell ref="I23:I24"/>
    <mergeCell ref="A17:A18"/>
    <mergeCell ref="B17:B18"/>
    <mergeCell ref="C17:C18"/>
    <mergeCell ref="D17:D18"/>
    <mergeCell ref="I17:I18"/>
    <mergeCell ref="C19:C20"/>
    <mergeCell ref="D19:D20"/>
    <mergeCell ref="I19:I20"/>
    <mergeCell ref="A19:A20"/>
    <mergeCell ref="B19:B20"/>
    <mergeCell ref="A15:A16"/>
    <mergeCell ref="B15:B16"/>
    <mergeCell ref="C15:C16"/>
    <mergeCell ref="D15:D16"/>
    <mergeCell ref="I15:I16"/>
    <mergeCell ref="A1:I1"/>
    <mergeCell ref="A2:I2"/>
    <mergeCell ref="A3:I3"/>
    <mergeCell ref="G7:H7"/>
    <mergeCell ref="G9:H9"/>
    <mergeCell ref="G11:H11"/>
    <mergeCell ref="A13:A14"/>
    <mergeCell ref="B13:B14"/>
    <mergeCell ref="C13:C14"/>
    <mergeCell ref="D13:H13"/>
    <mergeCell ref="I13:I14"/>
  </mergeCells>
  <printOptions horizontalCentered="1" verticalCentered="1"/>
  <pageMargins left="0.25" right="0.25" top="0.75" bottom="0.75" header="0.3" footer="0.3"/>
  <pageSetup paperSize="9" scale="2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75"/>
  <sheetViews>
    <sheetView zoomScale="50" zoomScaleNormal="50" workbookViewId="0">
      <selection activeCell="D29" sqref="D29:D30"/>
    </sheetView>
  </sheetViews>
  <sheetFormatPr baseColWidth="10" defaultRowHeight="12.75" x14ac:dyDescent="0.2"/>
  <cols>
    <col min="1" max="1" width="42.85546875" customWidth="1"/>
    <col min="2" max="2" width="15.42578125" customWidth="1"/>
    <col min="3" max="3" width="57.42578125" customWidth="1"/>
    <col min="4" max="4" width="18.42578125" customWidth="1"/>
    <col min="5" max="5" width="15.85546875" customWidth="1"/>
    <col min="6" max="6" width="13.7109375" customWidth="1"/>
    <col min="7" max="7" width="39.140625" customWidth="1"/>
    <col min="8" max="8" width="18.140625" customWidth="1"/>
    <col min="9" max="9" width="45.28515625" customWidth="1"/>
    <col min="12" max="12" width="20.42578125" customWidth="1"/>
    <col min="14" max="14" width="22.140625" customWidth="1"/>
  </cols>
  <sheetData>
    <row r="1" spans="1:14" ht="30" x14ac:dyDescent="0.2">
      <c r="A1" s="295" t="s">
        <v>49</v>
      </c>
      <c r="B1" s="295"/>
      <c r="C1" s="295"/>
      <c r="D1" s="295"/>
      <c r="E1" s="295"/>
      <c r="F1" s="295"/>
      <c r="G1" s="295"/>
      <c r="H1" s="295"/>
      <c r="I1" s="295"/>
    </row>
    <row r="2" spans="1:14" ht="30" x14ac:dyDescent="0.2">
      <c r="A2" s="295" t="s">
        <v>50</v>
      </c>
      <c r="B2" s="295"/>
      <c r="C2" s="295"/>
      <c r="D2" s="295"/>
      <c r="E2" s="295"/>
      <c r="F2" s="295"/>
      <c r="G2" s="295"/>
      <c r="H2" s="295"/>
      <c r="I2" s="295"/>
    </row>
    <row r="3" spans="1:14" ht="30" x14ac:dyDescent="0.2">
      <c r="A3" s="295"/>
      <c r="B3" s="295"/>
      <c r="C3" s="295"/>
      <c r="D3" s="295"/>
      <c r="E3" s="295"/>
      <c r="F3" s="295"/>
      <c r="G3" s="295"/>
      <c r="H3" s="295"/>
      <c r="I3" s="295"/>
    </row>
    <row r="4" spans="1:14" x14ac:dyDescent="0.2">
      <c r="A4" s="3"/>
      <c r="B4" s="3"/>
      <c r="C4" s="3"/>
      <c r="D4" s="3"/>
      <c r="E4" s="3"/>
      <c r="F4" s="3"/>
      <c r="G4" s="3"/>
      <c r="H4" s="3"/>
      <c r="I4" s="3"/>
    </row>
    <row r="5" spans="1:14" ht="30" x14ac:dyDescent="0.2">
      <c r="A5" s="295" t="s">
        <v>51</v>
      </c>
      <c r="B5" s="295"/>
      <c r="C5" s="295"/>
      <c r="D5" s="295"/>
      <c r="E5" s="295"/>
      <c r="F5" s="295"/>
      <c r="G5" s="295"/>
      <c r="H5" s="295"/>
      <c r="I5" s="295"/>
    </row>
    <row r="6" spans="1:14" x14ac:dyDescent="0.2">
      <c r="A6" s="3"/>
      <c r="B6" s="3"/>
      <c r="C6" s="3"/>
      <c r="D6" s="3"/>
      <c r="E6" s="3"/>
      <c r="F6" s="3"/>
      <c r="G6" s="3"/>
      <c r="H6" s="3"/>
      <c r="I6" s="3"/>
    </row>
    <row r="7" spans="1:14" ht="27" thickBot="1" x14ac:dyDescent="0.25">
      <c r="A7" s="50"/>
      <c r="B7" s="51" t="s">
        <v>35</v>
      </c>
      <c r="C7" s="296" t="s">
        <v>76</v>
      </c>
      <c r="D7" s="296"/>
      <c r="E7" s="50"/>
      <c r="F7" s="51" t="s">
        <v>1</v>
      </c>
      <c r="G7" s="296" t="s">
        <v>54</v>
      </c>
      <c r="H7" s="296"/>
      <c r="I7" s="50"/>
    </row>
    <row r="8" spans="1:14" ht="26.25" x14ac:dyDescent="0.2">
      <c r="A8" s="50"/>
      <c r="B8" s="51"/>
      <c r="C8" s="53"/>
      <c r="D8" s="50"/>
      <c r="E8" s="50"/>
      <c r="F8" s="54"/>
      <c r="G8" s="50"/>
      <c r="H8" s="50"/>
      <c r="I8" s="50"/>
    </row>
    <row r="9" spans="1:14" ht="27" thickBot="1" x14ac:dyDescent="0.25">
      <c r="A9" s="50"/>
      <c r="B9" s="51" t="s">
        <v>42</v>
      </c>
      <c r="C9" s="52"/>
      <c r="D9" s="50"/>
      <c r="E9" s="50"/>
      <c r="F9" s="51" t="s">
        <v>2</v>
      </c>
      <c r="G9" s="297"/>
      <c r="H9" s="297"/>
      <c r="I9" s="50"/>
    </row>
    <row r="10" spans="1:14" ht="26.25" x14ac:dyDescent="0.2">
      <c r="A10" s="50"/>
      <c r="B10" s="54"/>
      <c r="C10" s="53"/>
      <c r="D10" s="50"/>
      <c r="E10" s="50"/>
      <c r="F10" s="51"/>
      <c r="G10" s="50"/>
      <c r="H10" s="50"/>
      <c r="I10" s="50"/>
    </row>
    <row r="11" spans="1:14" ht="27" thickBot="1" x14ac:dyDescent="0.25">
      <c r="A11" s="50"/>
      <c r="B11" s="51" t="s">
        <v>36</v>
      </c>
      <c r="C11" s="52" t="s">
        <v>86</v>
      </c>
      <c r="D11" s="50"/>
      <c r="E11" s="50"/>
      <c r="F11" s="51" t="s">
        <v>39</v>
      </c>
      <c r="G11" s="298"/>
      <c r="H11" s="298"/>
      <c r="I11" s="50"/>
    </row>
    <row r="12" spans="1:14" ht="26.25" thickBot="1" x14ac:dyDescent="0.25">
      <c r="A12" s="55"/>
      <c r="B12" s="55"/>
      <c r="C12" s="55"/>
      <c r="D12" s="55"/>
      <c r="E12" s="55"/>
      <c r="F12" s="55"/>
      <c r="G12" s="55"/>
      <c r="H12" s="55"/>
      <c r="I12" s="55"/>
    </row>
    <row r="13" spans="1:14" ht="25.5" x14ac:dyDescent="0.2">
      <c r="A13" s="253" t="s">
        <v>3</v>
      </c>
      <c r="B13" s="255" t="s">
        <v>43</v>
      </c>
      <c r="C13" s="255" t="s">
        <v>4</v>
      </c>
      <c r="D13" s="257" t="s">
        <v>5</v>
      </c>
      <c r="E13" s="258"/>
      <c r="F13" s="258"/>
      <c r="G13" s="258"/>
      <c r="H13" s="259"/>
      <c r="I13" s="260" t="s">
        <v>34</v>
      </c>
    </row>
    <row r="14" spans="1:14" ht="51.75" thickBot="1" x14ac:dyDescent="0.25">
      <c r="A14" s="254"/>
      <c r="B14" s="256"/>
      <c r="C14" s="256"/>
      <c r="D14" s="57" t="s">
        <v>6</v>
      </c>
      <c r="E14" s="58" t="s">
        <v>7</v>
      </c>
      <c r="F14" s="58" t="s">
        <v>8</v>
      </c>
      <c r="G14" s="59" t="s">
        <v>9</v>
      </c>
      <c r="H14" s="59" t="s">
        <v>33</v>
      </c>
      <c r="I14" s="261"/>
    </row>
    <row r="15" spans="1:14" ht="26.25" customHeight="1" x14ac:dyDescent="0.2">
      <c r="A15" s="262" t="s">
        <v>41</v>
      </c>
      <c r="B15" s="264">
        <v>146</v>
      </c>
      <c r="C15" s="266" t="s">
        <v>29</v>
      </c>
      <c r="D15" s="268"/>
      <c r="E15" s="20"/>
      <c r="F15" s="21"/>
      <c r="G15" s="22"/>
      <c r="H15" s="35"/>
      <c r="I15" s="270"/>
      <c r="K15" s="48">
        <f>SUM(D15+(D45*10)+(D33*10)+D23+D35+(D37*10)+D49)</f>
        <v>0</v>
      </c>
      <c r="L15" s="49" t="s">
        <v>67</v>
      </c>
      <c r="M15" s="49">
        <v>2715</v>
      </c>
      <c r="N15" s="49" t="s">
        <v>68</v>
      </c>
    </row>
    <row r="16" spans="1:14" ht="27" thickBot="1" x14ac:dyDescent="0.25">
      <c r="A16" s="263"/>
      <c r="B16" s="265"/>
      <c r="C16" s="267"/>
      <c r="D16" s="269"/>
      <c r="E16" s="23"/>
      <c r="F16" s="24"/>
      <c r="G16" s="25"/>
      <c r="H16" s="25"/>
      <c r="I16" s="271"/>
      <c r="K16" s="48">
        <f>SUM((D45/3)*20+D21)</f>
        <v>0</v>
      </c>
      <c r="L16" s="49" t="s">
        <v>67</v>
      </c>
      <c r="M16" s="49">
        <v>2707</v>
      </c>
      <c r="N16" s="49" t="s">
        <v>69</v>
      </c>
    </row>
    <row r="17" spans="1:14" ht="26.25" x14ac:dyDescent="0.2">
      <c r="A17" s="272" t="s">
        <v>55</v>
      </c>
      <c r="B17" s="273">
        <v>148</v>
      </c>
      <c r="C17" s="274" t="s">
        <v>10</v>
      </c>
      <c r="D17" s="268"/>
      <c r="E17" s="26"/>
      <c r="F17" s="27"/>
      <c r="G17" s="28"/>
      <c r="H17" s="36"/>
      <c r="I17" s="275"/>
      <c r="K17" s="48">
        <f>SUM(D25)</f>
        <v>0</v>
      </c>
      <c r="L17" s="49" t="s">
        <v>67</v>
      </c>
      <c r="M17" s="49">
        <v>2699</v>
      </c>
      <c r="N17" s="49" t="s">
        <v>70</v>
      </c>
    </row>
    <row r="18" spans="1:14" ht="27" thickBot="1" x14ac:dyDescent="0.25">
      <c r="A18" s="263"/>
      <c r="B18" s="265"/>
      <c r="C18" s="267"/>
      <c r="D18" s="269"/>
      <c r="E18" s="23"/>
      <c r="F18" s="24"/>
      <c r="G18" s="25"/>
      <c r="H18" s="25"/>
      <c r="I18" s="271"/>
      <c r="K18" s="48">
        <f>SUM(D27+D41)</f>
        <v>0</v>
      </c>
      <c r="L18" s="49" t="s">
        <v>67</v>
      </c>
      <c r="M18" s="49">
        <v>2657</v>
      </c>
      <c r="N18" s="49" t="s">
        <v>71</v>
      </c>
    </row>
    <row r="19" spans="1:14" ht="26.25" customHeight="1" x14ac:dyDescent="0.2">
      <c r="A19" s="280" t="s">
        <v>80</v>
      </c>
      <c r="B19" s="282">
        <v>150</v>
      </c>
      <c r="C19" s="276" t="s">
        <v>81</v>
      </c>
      <c r="D19" s="268"/>
      <c r="E19" s="26"/>
      <c r="F19" s="27"/>
      <c r="G19" s="28"/>
      <c r="H19" s="36"/>
      <c r="I19" s="278"/>
      <c r="K19" s="48">
        <f>SUM(D29*10)</f>
        <v>0</v>
      </c>
      <c r="L19" s="49" t="s">
        <v>67</v>
      </c>
      <c r="M19" s="49">
        <v>59</v>
      </c>
      <c r="N19" s="49" t="s">
        <v>72</v>
      </c>
    </row>
    <row r="20" spans="1:14" ht="27" thickBot="1" x14ac:dyDescent="0.25">
      <c r="A20" s="281"/>
      <c r="B20" s="283"/>
      <c r="C20" s="277"/>
      <c r="D20" s="269"/>
      <c r="E20" s="23"/>
      <c r="F20" s="24"/>
      <c r="G20" s="25"/>
      <c r="H20" s="25"/>
      <c r="I20" s="279"/>
    </row>
    <row r="21" spans="1:14" ht="26.25" x14ac:dyDescent="0.2">
      <c r="A21" s="280" t="s">
        <v>53</v>
      </c>
      <c r="B21" s="282">
        <v>6135</v>
      </c>
      <c r="C21" s="276" t="s">
        <v>56</v>
      </c>
      <c r="D21" s="268"/>
      <c r="E21" s="26"/>
      <c r="F21" s="27"/>
      <c r="G21" s="28"/>
      <c r="H21" s="36"/>
      <c r="I21" s="278"/>
    </row>
    <row r="22" spans="1:14" ht="27" thickBot="1" x14ac:dyDescent="0.25">
      <c r="A22" s="281"/>
      <c r="B22" s="283"/>
      <c r="C22" s="277"/>
      <c r="D22" s="269"/>
      <c r="E22" s="23"/>
      <c r="F22" s="24"/>
      <c r="G22" s="25"/>
      <c r="H22" s="25"/>
      <c r="I22" s="279"/>
    </row>
    <row r="23" spans="1:14" ht="26.25" x14ac:dyDescent="0.2">
      <c r="A23" s="280" t="s">
        <v>16</v>
      </c>
      <c r="B23" s="282">
        <v>2526</v>
      </c>
      <c r="C23" s="276" t="s">
        <v>23</v>
      </c>
      <c r="D23" s="268"/>
      <c r="E23" s="26"/>
      <c r="F23" s="27"/>
      <c r="G23" s="28"/>
      <c r="H23" s="29"/>
      <c r="I23" s="284"/>
    </row>
    <row r="24" spans="1:14" ht="27" thickBot="1" x14ac:dyDescent="0.25">
      <c r="A24" s="281"/>
      <c r="B24" s="283"/>
      <c r="C24" s="277"/>
      <c r="D24" s="269"/>
      <c r="E24" s="23"/>
      <c r="F24" s="24"/>
      <c r="G24" s="25"/>
      <c r="H24" s="30"/>
      <c r="I24" s="285"/>
    </row>
    <row r="25" spans="1:14" ht="26.25" x14ac:dyDescent="0.2">
      <c r="A25" s="280" t="s">
        <v>63</v>
      </c>
      <c r="B25" s="282">
        <v>2527</v>
      </c>
      <c r="C25" s="276" t="s">
        <v>24</v>
      </c>
      <c r="D25" s="268"/>
      <c r="E25" s="26"/>
      <c r="F25" s="27"/>
      <c r="G25" s="28"/>
      <c r="H25" s="29"/>
      <c r="I25" s="286"/>
    </row>
    <row r="26" spans="1:14" ht="27" thickBot="1" x14ac:dyDescent="0.25">
      <c r="A26" s="281"/>
      <c r="B26" s="283"/>
      <c r="C26" s="277"/>
      <c r="D26" s="269"/>
      <c r="E26" s="23"/>
      <c r="F26" s="24"/>
      <c r="G26" s="25"/>
      <c r="H26" s="30"/>
      <c r="I26" s="287"/>
    </row>
    <row r="27" spans="1:14" ht="26.25" x14ac:dyDescent="0.2">
      <c r="A27" s="280" t="s">
        <v>14</v>
      </c>
      <c r="B27" s="282">
        <v>3800</v>
      </c>
      <c r="C27" s="276" t="s">
        <v>45</v>
      </c>
      <c r="D27" s="268"/>
      <c r="E27" s="26"/>
      <c r="F27" s="27"/>
      <c r="G27" s="28"/>
      <c r="H27" s="29"/>
      <c r="I27" s="284"/>
    </row>
    <row r="28" spans="1:14" ht="27" thickBot="1" x14ac:dyDescent="0.25">
      <c r="A28" s="281"/>
      <c r="B28" s="283"/>
      <c r="C28" s="277"/>
      <c r="D28" s="269"/>
      <c r="E28" s="23"/>
      <c r="F28" s="24"/>
      <c r="G28" s="25"/>
      <c r="H28" s="32"/>
      <c r="I28" s="285"/>
    </row>
    <row r="29" spans="1:14" ht="26.25" x14ac:dyDescent="0.2">
      <c r="A29" s="280" t="s">
        <v>15</v>
      </c>
      <c r="B29" s="282">
        <v>3801</v>
      </c>
      <c r="C29" s="276" t="s">
        <v>25</v>
      </c>
      <c r="D29" s="268"/>
      <c r="E29" s="26"/>
      <c r="F29" s="27"/>
      <c r="G29" s="28"/>
      <c r="H29" s="29"/>
      <c r="I29" s="284"/>
    </row>
    <row r="30" spans="1:14" ht="27" thickBot="1" x14ac:dyDescent="0.25">
      <c r="A30" s="281"/>
      <c r="B30" s="283"/>
      <c r="C30" s="277"/>
      <c r="D30" s="269"/>
      <c r="E30" s="23"/>
      <c r="F30" s="24"/>
      <c r="G30" s="25"/>
      <c r="H30" s="30"/>
      <c r="I30" s="285"/>
    </row>
    <row r="31" spans="1:14" ht="26.25" customHeight="1" x14ac:dyDescent="0.2">
      <c r="A31" s="280" t="s">
        <v>17</v>
      </c>
      <c r="B31" s="282">
        <v>3802</v>
      </c>
      <c r="C31" s="276" t="s">
        <v>47</v>
      </c>
      <c r="D31" s="268"/>
      <c r="E31" s="26"/>
      <c r="F31" s="27"/>
      <c r="G31" s="28"/>
      <c r="H31" s="63"/>
      <c r="I31" s="284"/>
    </row>
    <row r="32" spans="1:14" ht="27" thickBot="1" x14ac:dyDescent="0.25">
      <c r="A32" s="281"/>
      <c r="B32" s="283"/>
      <c r="C32" s="277"/>
      <c r="D32" s="269"/>
      <c r="E32" s="23"/>
      <c r="F32" s="24"/>
      <c r="G32" s="25"/>
      <c r="H32" s="30"/>
      <c r="I32" s="285"/>
    </row>
    <row r="33" spans="1:9" ht="26.25" x14ac:dyDescent="0.2">
      <c r="A33" s="280" t="s">
        <v>18</v>
      </c>
      <c r="B33" s="282">
        <v>3805</v>
      </c>
      <c r="C33" s="276" t="s">
        <v>26</v>
      </c>
      <c r="D33" s="268"/>
      <c r="E33" s="26"/>
      <c r="F33" s="27"/>
      <c r="G33" s="28"/>
      <c r="H33" s="29"/>
      <c r="I33" s="284"/>
    </row>
    <row r="34" spans="1:9" ht="27" thickBot="1" x14ac:dyDescent="0.25">
      <c r="A34" s="281"/>
      <c r="B34" s="283"/>
      <c r="C34" s="277"/>
      <c r="D34" s="269"/>
      <c r="E34" s="23"/>
      <c r="F34" s="24"/>
      <c r="G34" s="25"/>
      <c r="H34" s="32"/>
      <c r="I34" s="285"/>
    </row>
    <row r="35" spans="1:9" ht="26.25" x14ac:dyDescent="0.2">
      <c r="A35" s="280" t="s">
        <v>57</v>
      </c>
      <c r="B35" s="282">
        <v>3808</v>
      </c>
      <c r="C35" s="276" t="s">
        <v>27</v>
      </c>
      <c r="D35" s="268"/>
      <c r="E35" s="26"/>
      <c r="F35" s="27"/>
      <c r="G35" s="28"/>
      <c r="H35" s="29"/>
      <c r="I35" s="284"/>
    </row>
    <row r="36" spans="1:9" ht="27" thickBot="1" x14ac:dyDescent="0.25">
      <c r="A36" s="281"/>
      <c r="B36" s="283"/>
      <c r="C36" s="277"/>
      <c r="D36" s="269"/>
      <c r="E36" s="23"/>
      <c r="F36" s="24"/>
      <c r="G36" s="25"/>
      <c r="H36" s="32"/>
      <c r="I36" s="285"/>
    </row>
    <row r="37" spans="1:9" ht="26.25" x14ac:dyDescent="0.2">
      <c r="A37" s="280" t="s">
        <v>21</v>
      </c>
      <c r="B37" s="282">
        <v>3810</v>
      </c>
      <c r="C37" s="276" t="s">
        <v>48</v>
      </c>
      <c r="D37" s="268"/>
      <c r="E37" s="26"/>
      <c r="F37" s="27"/>
      <c r="G37" s="28"/>
      <c r="H37" s="29"/>
      <c r="I37" s="288"/>
    </row>
    <row r="38" spans="1:9" ht="27" thickBot="1" x14ac:dyDescent="0.25">
      <c r="A38" s="281"/>
      <c r="B38" s="283"/>
      <c r="C38" s="277"/>
      <c r="D38" s="269"/>
      <c r="E38" s="23"/>
      <c r="F38" s="24"/>
      <c r="G38" s="25"/>
      <c r="H38" s="32"/>
      <c r="I38" s="289"/>
    </row>
    <row r="39" spans="1:9" ht="26.25" x14ac:dyDescent="0.2">
      <c r="A39" s="280" t="s">
        <v>64</v>
      </c>
      <c r="B39" s="282">
        <v>6056</v>
      </c>
      <c r="C39" s="276" t="s">
        <v>31</v>
      </c>
      <c r="D39" s="268"/>
      <c r="E39" s="33"/>
      <c r="F39" s="27"/>
      <c r="G39" s="28"/>
      <c r="H39" s="29"/>
      <c r="I39" s="288"/>
    </row>
    <row r="40" spans="1:9" ht="27" thickBot="1" x14ac:dyDescent="0.25">
      <c r="A40" s="281"/>
      <c r="B40" s="283"/>
      <c r="C40" s="277"/>
      <c r="D40" s="269"/>
      <c r="E40" s="34"/>
      <c r="F40" s="24"/>
      <c r="G40" s="25"/>
      <c r="H40" s="30"/>
      <c r="I40" s="289"/>
    </row>
    <row r="41" spans="1:9" ht="26.25" x14ac:dyDescent="0.2">
      <c r="A41" s="280" t="s">
        <v>19</v>
      </c>
      <c r="B41" s="282">
        <v>3820</v>
      </c>
      <c r="C41" s="276" t="s">
        <v>46</v>
      </c>
      <c r="D41" s="268"/>
      <c r="E41" s="26"/>
      <c r="F41" s="27"/>
      <c r="G41" s="28"/>
      <c r="H41" s="29"/>
      <c r="I41" s="288"/>
    </row>
    <row r="42" spans="1:9" ht="27" thickBot="1" x14ac:dyDescent="0.25">
      <c r="A42" s="290"/>
      <c r="B42" s="291"/>
      <c r="C42" s="292"/>
      <c r="D42" s="269"/>
      <c r="E42" s="23"/>
      <c r="F42" s="24"/>
      <c r="G42" s="25"/>
      <c r="H42" s="32"/>
      <c r="I42" s="289"/>
    </row>
    <row r="43" spans="1:9" ht="26.25" customHeight="1" x14ac:dyDescent="0.2">
      <c r="A43" s="280" t="s">
        <v>20</v>
      </c>
      <c r="B43" s="282">
        <v>3821</v>
      </c>
      <c r="C43" s="276" t="s">
        <v>28</v>
      </c>
      <c r="D43" s="268"/>
      <c r="E43" s="26"/>
      <c r="F43" s="27"/>
      <c r="G43" s="28"/>
      <c r="H43" s="31"/>
      <c r="I43" s="288"/>
    </row>
    <row r="44" spans="1:9" ht="27" thickBot="1" x14ac:dyDescent="0.25">
      <c r="A44" s="281"/>
      <c r="B44" s="283"/>
      <c r="C44" s="277"/>
      <c r="D44" s="269"/>
      <c r="E44" s="23"/>
      <c r="F44" s="24"/>
      <c r="G44" s="25"/>
      <c r="H44" s="32"/>
      <c r="I44" s="289"/>
    </row>
    <row r="45" spans="1:9" ht="26.25" x14ac:dyDescent="0.2">
      <c r="A45" s="280" t="s">
        <v>58</v>
      </c>
      <c r="B45" s="282">
        <v>3822</v>
      </c>
      <c r="C45" s="276" t="s">
        <v>38</v>
      </c>
      <c r="D45" s="268"/>
      <c r="E45" s="26"/>
      <c r="F45" s="27"/>
      <c r="G45" s="28"/>
      <c r="H45" s="29"/>
      <c r="I45" s="284"/>
    </row>
    <row r="46" spans="1:9" ht="27" thickBot="1" x14ac:dyDescent="0.25">
      <c r="A46" s="281"/>
      <c r="B46" s="283"/>
      <c r="C46" s="277"/>
      <c r="D46" s="269"/>
      <c r="E46" s="23"/>
      <c r="F46" s="24"/>
      <c r="G46" s="25"/>
      <c r="H46" s="32"/>
      <c r="I46" s="285"/>
    </row>
    <row r="47" spans="1:9" ht="26.25" customHeight="1" x14ac:dyDescent="0.2">
      <c r="A47" s="280" t="s">
        <v>32</v>
      </c>
      <c r="B47" s="282">
        <v>3832</v>
      </c>
      <c r="C47" s="276" t="s">
        <v>37</v>
      </c>
      <c r="D47" s="268"/>
      <c r="E47" s="27"/>
      <c r="F47" s="27"/>
      <c r="G47" s="28"/>
      <c r="H47" s="31"/>
      <c r="I47" s="288"/>
    </row>
    <row r="48" spans="1:9" ht="27" thickBot="1" x14ac:dyDescent="0.25">
      <c r="A48" s="281"/>
      <c r="B48" s="283"/>
      <c r="C48" s="277"/>
      <c r="D48" s="269"/>
      <c r="E48" s="24"/>
      <c r="F48" s="24"/>
      <c r="G48" s="25"/>
      <c r="H48" s="32"/>
      <c r="I48" s="289"/>
    </row>
    <row r="49" spans="1:9" ht="26.25" x14ac:dyDescent="0.2">
      <c r="A49" s="280" t="s">
        <v>59</v>
      </c>
      <c r="B49" s="282">
        <v>4173</v>
      </c>
      <c r="C49" s="276" t="s">
        <v>12</v>
      </c>
      <c r="D49" s="268"/>
      <c r="E49" s="27"/>
      <c r="F49" s="27"/>
      <c r="G49" s="28"/>
      <c r="H49" s="31"/>
      <c r="I49" s="284"/>
    </row>
    <row r="50" spans="1:9" ht="27" thickBot="1" x14ac:dyDescent="0.25">
      <c r="A50" s="281"/>
      <c r="B50" s="283"/>
      <c r="C50" s="277"/>
      <c r="D50" s="269"/>
      <c r="E50" s="24"/>
      <c r="F50" s="24"/>
      <c r="G50" s="25"/>
      <c r="H50" s="32"/>
      <c r="I50" s="285"/>
    </row>
    <row r="51" spans="1:9" ht="26.25" x14ac:dyDescent="0.2">
      <c r="A51" s="280" t="s">
        <v>22</v>
      </c>
      <c r="B51" s="293">
        <v>2</v>
      </c>
      <c r="C51" s="276" t="s">
        <v>30</v>
      </c>
      <c r="D51" s="268"/>
      <c r="E51" s="27"/>
      <c r="F51" s="27"/>
      <c r="G51" s="31"/>
      <c r="H51" s="31"/>
      <c r="I51" s="288"/>
    </row>
    <row r="52" spans="1:9" ht="27" thickBot="1" x14ac:dyDescent="0.25">
      <c r="A52" s="281"/>
      <c r="B52" s="294"/>
      <c r="C52" s="277"/>
      <c r="D52" s="269"/>
      <c r="E52" s="24"/>
      <c r="F52" s="24"/>
      <c r="G52" s="32"/>
      <c r="H52" s="32"/>
      <c r="I52" s="289"/>
    </row>
    <row r="53" spans="1:9" ht="27" x14ac:dyDescent="0.2">
      <c r="A53" s="311" t="s">
        <v>13</v>
      </c>
      <c r="B53" s="311"/>
      <c r="C53" s="311"/>
      <c r="D53" s="311"/>
      <c r="E53" s="311"/>
      <c r="F53" s="311"/>
      <c r="G53" s="311"/>
      <c r="H53" s="311"/>
      <c r="I53" s="311"/>
    </row>
    <row r="54" spans="1:9" ht="18.75" x14ac:dyDescent="0.2">
      <c r="A54" s="11"/>
      <c r="B54" s="312"/>
      <c r="C54" s="312"/>
      <c r="D54" s="312"/>
      <c r="E54" s="312"/>
      <c r="F54" s="312"/>
      <c r="G54" s="312"/>
      <c r="H54" s="312"/>
      <c r="I54" s="12"/>
    </row>
    <row r="55" spans="1:9" ht="18.75" x14ac:dyDescent="0.2">
      <c r="A55" s="11"/>
      <c r="B55" s="13"/>
      <c r="C55" s="13"/>
      <c r="D55" s="13"/>
      <c r="E55" s="13"/>
      <c r="F55" s="13"/>
      <c r="G55" s="13"/>
      <c r="H55" s="13"/>
      <c r="I55" s="11"/>
    </row>
    <row r="56" spans="1:9" ht="18.75" x14ac:dyDescent="0.2">
      <c r="A56" s="11"/>
      <c r="B56" s="13"/>
      <c r="C56" s="13"/>
      <c r="D56" s="13"/>
      <c r="E56" s="13"/>
      <c r="F56" s="13"/>
      <c r="G56" s="13"/>
      <c r="H56" s="13"/>
      <c r="I56" s="11"/>
    </row>
    <row r="57" spans="1:9" ht="18.75" x14ac:dyDescent="0.2">
      <c r="A57" s="11"/>
      <c r="B57" s="13"/>
      <c r="C57" s="13"/>
      <c r="D57" s="13"/>
      <c r="E57" s="13"/>
      <c r="F57" s="13"/>
      <c r="G57" s="13"/>
      <c r="H57" s="13"/>
      <c r="I57" s="11"/>
    </row>
    <row r="58" spans="1:9" ht="18.75" x14ac:dyDescent="0.2">
      <c r="A58" s="14"/>
      <c r="B58" s="15"/>
      <c r="C58" s="16"/>
      <c r="D58" s="15"/>
      <c r="E58" s="15"/>
      <c r="F58" s="15"/>
      <c r="G58" s="16"/>
      <c r="H58" s="16"/>
      <c r="I58" s="16"/>
    </row>
    <row r="59" spans="1:9" ht="18.75" x14ac:dyDescent="0.2">
      <c r="A59" s="14"/>
      <c r="B59" s="313"/>
      <c r="C59" s="313"/>
      <c r="D59" s="17"/>
      <c r="E59" s="7"/>
      <c r="F59" s="16"/>
      <c r="G59" s="16"/>
      <c r="H59" s="4"/>
      <c r="I59" s="7"/>
    </row>
    <row r="60" spans="1:9" ht="20.25" x14ac:dyDescent="0.2">
      <c r="A60" s="42"/>
      <c r="B60" s="42"/>
      <c r="C60" s="43"/>
      <c r="D60" s="44"/>
      <c r="E60" s="43"/>
      <c r="F60" s="45"/>
      <c r="G60" s="45"/>
      <c r="H60" s="43"/>
      <c r="I60" s="43"/>
    </row>
    <row r="61" spans="1:9" ht="20.25" x14ac:dyDescent="0.2">
      <c r="A61" s="314" t="s">
        <v>73</v>
      </c>
      <c r="B61" s="314"/>
      <c r="C61" s="314"/>
      <c r="D61" s="46"/>
      <c r="E61" s="43"/>
      <c r="F61" s="315" t="s">
        <v>74</v>
      </c>
      <c r="G61" s="315"/>
      <c r="H61" s="315"/>
      <c r="I61" s="315"/>
    </row>
    <row r="62" spans="1:9" ht="20.25" x14ac:dyDescent="0.2">
      <c r="A62" s="310" t="s">
        <v>65</v>
      </c>
      <c r="B62" s="310"/>
      <c r="C62" s="310"/>
      <c r="D62" s="42"/>
      <c r="E62" s="43"/>
      <c r="F62" s="310" t="s">
        <v>44</v>
      </c>
      <c r="G62" s="310"/>
      <c r="H62" s="310"/>
      <c r="I62" s="310"/>
    </row>
    <row r="63" spans="1:9" ht="20.25" x14ac:dyDescent="0.2">
      <c r="A63" s="45"/>
      <c r="B63" s="45"/>
      <c r="C63" s="43"/>
      <c r="D63" s="45"/>
      <c r="E63" s="45"/>
      <c r="F63" s="43"/>
      <c r="G63" s="43"/>
      <c r="H63" s="43"/>
      <c r="I63" s="43"/>
    </row>
    <row r="64" spans="1:9" ht="20.25" x14ac:dyDescent="0.2">
      <c r="A64" s="45"/>
      <c r="B64" s="45"/>
      <c r="C64" s="43"/>
      <c r="D64" s="45"/>
      <c r="E64" s="45"/>
      <c r="F64" s="43"/>
      <c r="G64" s="43"/>
      <c r="H64" s="43"/>
      <c r="I64" s="43"/>
    </row>
    <row r="65" spans="1:9" ht="20.25" x14ac:dyDescent="0.2">
      <c r="A65" s="42"/>
      <c r="B65" s="42"/>
      <c r="C65" s="43"/>
      <c r="D65" s="42"/>
      <c r="E65" s="45"/>
      <c r="F65" s="43"/>
      <c r="G65" s="43"/>
      <c r="H65" s="43"/>
      <c r="I65" s="43"/>
    </row>
    <row r="66" spans="1:9" ht="20.25" x14ac:dyDescent="0.2">
      <c r="A66" s="42"/>
      <c r="B66" s="42" t="s">
        <v>75</v>
      </c>
      <c r="C66" s="43"/>
      <c r="D66" s="45"/>
      <c r="E66" s="47"/>
      <c r="F66" s="43"/>
      <c r="G66" s="43"/>
      <c r="H66" s="43"/>
      <c r="I66" s="46"/>
    </row>
    <row r="67" spans="1:9" ht="20.25" x14ac:dyDescent="0.2">
      <c r="A67" s="316" t="s">
        <v>66</v>
      </c>
      <c r="B67" s="316"/>
      <c r="C67" s="316"/>
      <c r="D67" s="46"/>
      <c r="E67" s="43"/>
      <c r="F67" s="314" t="s">
        <v>52</v>
      </c>
      <c r="G67" s="314"/>
      <c r="H67" s="314"/>
      <c r="I67" s="314"/>
    </row>
    <row r="68" spans="1:9" ht="20.25" x14ac:dyDescent="0.2">
      <c r="A68" s="310"/>
      <c r="B68" s="310"/>
      <c r="C68" s="310"/>
      <c r="D68" s="1"/>
      <c r="E68" s="2"/>
      <c r="F68" s="2"/>
      <c r="G68" s="2"/>
      <c r="H68" s="2"/>
      <c r="I68" s="4"/>
    </row>
    <row r="69" spans="1:9" x14ac:dyDescent="0.2">
      <c r="A69" s="4"/>
      <c r="B69" s="4"/>
      <c r="C69" s="4"/>
      <c r="D69" s="4"/>
      <c r="E69" s="2"/>
      <c r="F69" s="2"/>
      <c r="G69" s="2"/>
      <c r="H69" s="2"/>
      <c r="I69" s="4"/>
    </row>
    <row r="70" spans="1:9" x14ac:dyDescent="0.2">
      <c r="A70" s="4"/>
      <c r="B70" s="4"/>
      <c r="C70" s="4"/>
      <c r="D70" s="4"/>
      <c r="E70" s="2"/>
      <c r="F70" s="2"/>
      <c r="G70" s="2"/>
      <c r="H70" s="2"/>
      <c r="I70" s="4"/>
    </row>
    <row r="71" spans="1:9" x14ac:dyDescent="0.2">
      <c r="A71" s="4"/>
      <c r="B71" s="4"/>
      <c r="C71" s="4"/>
      <c r="D71" s="4"/>
      <c r="E71" s="2"/>
      <c r="F71" s="2"/>
      <c r="G71" s="2"/>
      <c r="H71" s="2"/>
      <c r="I71" s="4"/>
    </row>
    <row r="72" spans="1:9" x14ac:dyDescent="0.2">
      <c r="A72" s="4"/>
      <c r="B72" s="4"/>
      <c r="C72" s="4"/>
      <c r="D72" s="4"/>
      <c r="E72" s="4"/>
      <c r="F72" s="5"/>
      <c r="G72" s="4"/>
      <c r="H72" s="4"/>
      <c r="I72" s="4"/>
    </row>
    <row r="73" spans="1:9" x14ac:dyDescent="0.2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">
      <c r="A75" s="4"/>
      <c r="B75" s="4"/>
      <c r="C75" s="4"/>
      <c r="D75" s="4"/>
      <c r="E75" s="4"/>
      <c r="F75" s="4"/>
      <c r="G75" s="4"/>
      <c r="H75" s="4"/>
      <c r="I75" s="4"/>
    </row>
  </sheetData>
  <mergeCells count="118">
    <mergeCell ref="A68:C68"/>
    <mergeCell ref="A61:C61"/>
    <mergeCell ref="F61:I61"/>
    <mergeCell ref="A62:C62"/>
    <mergeCell ref="F62:I62"/>
    <mergeCell ref="A67:C67"/>
    <mergeCell ref="F67:I67"/>
    <mergeCell ref="G9:H9"/>
    <mergeCell ref="G11:H11"/>
    <mergeCell ref="A13:A14"/>
    <mergeCell ref="B13:B14"/>
    <mergeCell ref="C13:C14"/>
    <mergeCell ref="D13:H13"/>
    <mergeCell ref="C19:C20"/>
    <mergeCell ref="D19:D20"/>
    <mergeCell ref="I19:I20"/>
    <mergeCell ref="A19:A20"/>
    <mergeCell ref="B19:B20"/>
    <mergeCell ref="A21:A22"/>
    <mergeCell ref="B21:B22"/>
    <mergeCell ref="C21:C22"/>
    <mergeCell ref="D21:D22"/>
    <mergeCell ref="I21:I22"/>
    <mergeCell ref="A23:A24"/>
    <mergeCell ref="A1:I1"/>
    <mergeCell ref="A2:I2"/>
    <mergeCell ref="A3:I3"/>
    <mergeCell ref="A5:I5"/>
    <mergeCell ref="C7:D7"/>
    <mergeCell ref="G7:H7"/>
    <mergeCell ref="A17:A18"/>
    <mergeCell ref="B17:B18"/>
    <mergeCell ref="C17:C18"/>
    <mergeCell ref="D17:D18"/>
    <mergeCell ref="I17:I18"/>
    <mergeCell ref="I13:I14"/>
    <mergeCell ref="A15:A16"/>
    <mergeCell ref="B15:B16"/>
    <mergeCell ref="C15:C16"/>
    <mergeCell ref="D15:D16"/>
    <mergeCell ref="I15:I16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31:A32"/>
    <mergeCell ref="B31:B32"/>
    <mergeCell ref="C31:C32"/>
    <mergeCell ref="D31:D32"/>
    <mergeCell ref="I31:I32"/>
    <mergeCell ref="A33:A34"/>
    <mergeCell ref="B33:B34"/>
    <mergeCell ref="C33:C34"/>
    <mergeCell ref="D33:D34"/>
    <mergeCell ref="I33:I34"/>
    <mergeCell ref="A35:A36"/>
    <mergeCell ref="B35:B36"/>
    <mergeCell ref="C35:C36"/>
    <mergeCell ref="D35:D36"/>
    <mergeCell ref="I35:I36"/>
    <mergeCell ref="A37:A38"/>
    <mergeCell ref="B37:B38"/>
    <mergeCell ref="C37:C38"/>
    <mergeCell ref="D37:D38"/>
    <mergeCell ref="I37:I38"/>
    <mergeCell ref="A39:A40"/>
    <mergeCell ref="B39:B40"/>
    <mergeCell ref="C39:C40"/>
    <mergeCell ref="D39:D40"/>
    <mergeCell ref="I39:I40"/>
    <mergeCell ref="A41:A42"/>
    <mergeCell ref="B41:B42"/>
    <mergeCell ref="C41:C42"/>
    <mergeCell ref="D41:D42"/>
    <mergeCell ref="I41:I42"/>
    <mergeCell ref="A43:A44"/>
    <mergeCell ref="B43:B44"/>
    <mergeCell ref="C43:C44"/>
    <mergeCell ref="D43:D44"/>
    <mergeCell ref="I43:I44"/>
    <mergeCell ref="A45:A46"/>
    <mergeCell ref="B45:B46"/>
    <mergeCell ref="C45:C46"/>
    <mergeCell ref="D45:D46"/>
    <mergeCell ref="I45:I46"/>
    <mergeCell ref="A47:A48"/>
    <mergeCell ref="B47:B48"/>
    <mergeCell ref="C47:C48"/>
    <mergeCell ref="D47:D48"/>
    <mergeCell ref="I47:I48"/>
    <mergeCell ref="A53:I53"/>
    <mergeCell ref="B54:H54"/>
    <mergeCell ref="B59:C59"/>
    <mergeCell ref="A49:A50"/>
    <mergeCell ref="B49:B50"/>
    <mergeCell ref="C49:C50"/>
    <mergeCell ref="D49:D50"/>
    <mergeCell ref="I49:I50"/>
    <mergeCell ref="A51:A52"/>
    <mergeCell ref="B51:B52"/>
    <mergeCell ref="C51:C52"/>
    <mergeCell ref="D51:D52"/>
    <mergeCell ref="I51:I52"/>
  </mergeCells>
  <printOptions horizontalCentered="1" verticalCentered="1"/>
  <pageMargins left="0" right="0" top="1.0811811023622049" bottom="0" header="0" footer="0"/>
  <pageSetup paperSize="9" scale="3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N75"/>
  <sheetViews>
    <sheetView zoomScale="50" zoomScaleNormal="50" workbookViewId="0">
      <selection activeCell="D35" sqref="D35:H40"/>
    </sheetView>
  </sheetViews>
  <sheetFormatPr baseColWidth="10" defaultRowHeight="12.75" x14ac:dyDescent="0.2"/>
  <cols>
    <col min="1" max="1" width="44.140625" customWidth="1"/>
    <col min="3" max="3" width="58.7109375" customWidth="1"/>
    <col min="4" max="4" width="17.7109375" customWidth="1"/>
    <col min="5" max="5" width="14.28515625" customWidth="1"/>
    <col min="6" max="6" width="14.7109375" customWidth="1"/>
    <col min="7" max="7" width="40.42578125" customWidth="1"/>
    <col min="8" max="8" width="21.7109375" customWidth="1"/>
    <col min="9" max="9" width="41.85546875" customWidth="1"/>
    <col min="12" max="12" width="20.42578125" customWidth="1"/>
    <col min="14" max="14" width="23.42578125" customWidth="1"/>
  </cols>
  <sheetData>
    <row r="1" spans="1:14" ht="30" x14ac:dyDescent="0.2">
      <c r="A1" s="295" t="s">
        <v>49</v>
      </c>
      <c r="B1" s="295"/>
      <c r="C1" s="295"/>
      <c r="D1" s="295"/>
      <c r="E1" s="295"/>
      <c r="F1" s="295"/>
      <c r="G1" s="295"/>
      <c r="H1" s="295"/>
      <c r="I1" s="295"/>
    </row>
    <row r="2" spans="1:14" ht="30" x14ac:dyDescent="0.2">
      <c r="A2" s="295" t="s">
        <v>50</v>
      </c>
      <c r="B2" s="295"/>
      <c r="C2" s="295"/>
      <c r="D2" s="295"/>
      <c r="E2" s="295"/>
      <c r="F2" s="295"/>
      <c r="G2" s="295"/>
      <c r="H2" s="295"/>
      <c r="I2" s="295"/>
    </row>
    <row r="3" spans="1:14" ht="30" x14ac:dyDescent="0.2">
      <c r="A3" s="295"/>
      <c r="B3" s="295"/>
      <c r="C3" s="295"/>
      <c r="D3" s="295"/>
      <c r="E3" s="295"/>
      <c r="F3" s="295"/>
      <c r="G3" s="295"/>
      <c r="H3" s="295"/>
      <c r="I3" s="295"/>
    </row>
    <row r="4" spans="1:14" x14ac:dyDescent="0.2">
      <c r="A4" s="3"/>
      <c r="B4" s="3"/>
      <c r="C4" s="3"/>
      <c r="D4" s="3"/>
      <c r="E4" s="3"/>
      <c r="F4" s="3"/>
      <c r="G4" s="3"/>
      <c r="H4" s="3"/>
      <c r="I4" s="3"/>
    </row>
    <row r="5" spans="1:14" ht="30" x14ac:dyDescent="0.2">
      <c r="A5" s="295" t="s">
        <v>51</v>
      </c>
      <c r="B5" s="295"/>
      <c r="C5" s="295"/>
      <c r="D5" s="295"/>
      <c r="E5" s="295"/>
      <c r="F5" s="295"/>
      <c r="G5" s="295"/>
      <c r="H5" s="295"/>
      <c r="I5" s="295"/>
    </row>
    <row r="6" spans="1:14" x14ac:dyDescent="0.2">
      <c r="A6" s="3"/>
      <c r="B6" s="3"/>
      <c r="C6" s="3"/>
      <c r="D6" s="3"/>
      <c r="E6" s="3"/>
      <c r="F6" s="3"/>
      <c r="G6" s="3"/>
      <c r="H6" s="3"/>
      <c r="I6" s="3"/>
    </row>
    <row r="7" spans="1:14" ht="27" thickBot="1" x14ac:dyDescent="0.25">
      <c r="A7" s="7"/>
      <c r="B7" s="6" t="s">
        <v>35</v>
      </c>
      <c r="C7" s="296" t="s">
        <v>83</v>
      </c>
      <c r="D7" s="296"/>
      <c r="E7" s="7"/>
      <c r="F7" s="6" t="s">
        <v>1</v>
      </c>
      <c r="G7" s="296" t="s">
        <v>54</v>
      </c>
      <c r="H7" s="296"/>
      <c r="I7" s="7"/>
    </row>
    <row r="8" spans="1:14" ht="18.75" x14ac:dyDescent="0.2">
      <c r="A8" s="7"/>
      <c r="B8" s="6"/>
      <c r="C8" s="16"/>
      <c r="D8" s="7"/>
      <c r="E8" s="7"/>
      <c r="F8" s="8"/>
      <c r="G8" s="7"/>
      <c r="H8" s="7"/>
      <c r="I8" s="7"/>
    </row>
    <row r="9" spans="1:14" ht="19.5" thickBot="1" x14ac:dyDescent="0.25">
      <c r="A9" s="7"/>
      <c r="B9" s="6" t="s">
        <v>42</v>
      </c>
      <c r="C9" s="18"/>
      <c r="D9" s="7"/>
      <c r="E9" s="7"/>
      <c r="F9" s="6" t="s">
        <v>2</v>
      </c>
      <c r="G9" s="323"/>
      <c r="H9" s="323"/>
      <c r="I9" s="7"/>
    </row>
    <row r="10" spans="1:14" ht="18.75" x14ac:dyDescent="0.2">
      <c r="A10" s="7"/>
      <c r="B10" s="8"/>
      <c r="C10" s="16"/>
      <c r="D10" s="7"/>
      <c r="E10" s="7"/>
      <c r="F10" s="6"/>
      <c r="G10" s="7"/>
      <c r="H10" s="7"/>
      <c r="I10" s="7"/>
    </row>
    <row r="11" spans="1:14" ht="27" thickBot="1" x14ac:dyDescent="0.25">
      <c r="A11" s="7"/>
      <c r="B11" s="6" t="s">
        <v>36</v>
      </c>
      <c r="C11" s="52" t="s">
        <v>86</v>
      </c>
      <c r="D11" s="7"/>
      <c r="E11" s="7"/>
      <c r="F11" s="6" t="s">
        <v>39</v>
      </c>
      <c r="G11" s="324"/>
      <c r="H11" s="324"/>
      <c r="I11" s="7"/>
    </row>
    <row r="12" spans="1:14" ht="19.5" thickBot="1" x14ac:dyDescent="0.25">
      <c r="A12" s="19"/>
      <c r="B12" s="19"/>
      <c r="C12" s="19"/>
      <c r="D12" s="19"/>
      <c r="E12" s="19"/>
      <c r="F12" s="19"/>
      <c r="G12" s="19"/>
      <c r="H12" s="19"/>
      <c r="I12" s="19"/>
    </row>
    <row r="13" spans="1:14" ht="18.75" x14ac:dyDescent="0.2">
      <c r="A13" s="299" t="s">
        <v>3</v>
      </c>
      <c r="B13" s="301" t="s">
        <v>43</v>
      </c>
      <c r="C13" s="301" t="s">
        <v>4</v>
      </c>
      <c r="D13" s="303" t="s">
        <v>5</v>
      </c>
      <c r="E13" s="304"/>
      <c r="F13" s="304"/>
      <c r="G13" s="304"/>
      <c r="H13" s="305"/>
      <c r="I13" s="306" t="s">
        <v>34</v>
      </c>
    </row>
    <row r="14" spans="1:14" ht="38.25" thickBot="1" x14ac:dyDescent="0.25">
      <c r="A14" s="300"/>
      <c r="B14" s="302"/>
      <c r="C14" s="302"/>
      <c r="D14" s="9" t="s">
        <v>6</v>
      </c>
      <c r="E14" s="37" t="s">
        <v>7</v>
      </c>
      <c r="F14" s="37" t="s">
        <v>8</v>
      </c>
      <c r="G14" s="10" t="s">
        <v>9</v>
      </c>
      <c r="H14" s="10" t="s">
        <v>33</v>
      </c>
      <c r="I14" s="307"/>
    </row>
    <row r="15" spans="1:14" ht="26.25" customHeight="1" x14ac:dyDescent="0.2">
      <c r="A15" s="262" t="s">
        <v>41</v>
      </c>
      <c r="B15" s="264">
        <v>146</v>
      </c>
      <c r="C15" s="322" t="s">
        <v>29</v>
      </c>
      <c r="D15" s="268"/>
      <c r="E15" s="20"/>
      <c r="F15" s="21"/>
      <c r="G15" s="22"/>
      <c r="H15" s="35"/>
      <c r="I15" s="270"/>
      <c r="K15" s="48">
        <f>SUM(D15+(D45*10)+(D33*10)+D23+D35+(D37*10)+D49)</f>
        <v>0</v>
      </c>
      <c r="L15" s="49" t="s">
        <v>67</v>
      </c>
      <c r="M15" s="49">
        <v>2715</v>
      </c>
      <c r="N15" s="49" t="s">
        <v>68</v>
      </c>
    </row>
    <row r="16" spans="1:14" ht="27" thickBot="1" x14ac:dyDescent="0.25">
      <c r="A16" s="263"/>
      <c r="B16" s="265"/>
      <c r="C16" s="321"/>
      <c r="D16" s="269"/>
      <c r="E16" s="23"/>
      <c r="F16" s="24"/>
      <c r="G16" s="25"/>
      <c r="H16" s="25"/>
      <c r="I16" s="271"/>
      <c r="K16" s="48">
        <f>SUM((D45/3)*20+D21)</f>
        <v>0</v>
      </c>
      <c r="L16" s="49" t="s">
        <v>67</v>
      </c>
      <c r="M16" s="49">
        <v>2707</v>
      </c>
      <c r="N16" s="49" t="s">
        <v>69</v>
      </c>
    </row>
    <row r="17" spans="1:14" ht="26.25" x14ac:dyDescent="0.2">
      <c r="A17" s="272" t="s">
        <v>55</v>
      </c>
      <c r="B17" s="273">
        <v>148</v>
      </c>
      <c r="C17" s="320" t="s">
        <v>10</v>
      </c>
      <c r="D17" s="268"/>
      <c r="E17" s="26"/>
      <c r="F17" s="27"/>
      <c r="G17" s="28"/>
      <c r="H17" s="36"/>
      <c r="I17" s="275"/>
      <c r="K17" s="48">
        <f>SUM(D25)</f>
        <v>0</v>
      </c>
      <c r="L17" s="49" t="s">
        <v>67</v>
      </c>
      <c r="M17" s="49">
        <v>2699</v>
      </c>
      <c r="N17" s="49" t="s">
        <v>70</v>
      </c>
    </row>
    <row r="18" spans="1:14" ht="27" thickBot="1" x14ac:dyDescent="0.25">
      <c r="A18" s="263"/>
      <c r="B18" s="265"/>
      <c r="C18" s="321"/>
      <c r="D18" s="269"/>
      <c r="E18" s="23"/>
      <c r="F18" s="24"/>
      <c r="G18" s="25"/>
      <c r="H18" s="25"/>
      <c r="I18" s="271"/>
      <c r="K18" s="48">
        <f>SUM(D27+D41)</f>
        <v>0</v>
      </c>
      <c r="L18" s="49" t="s">
        <v>67</v>
      </c>
      <c r="M18" s="49">
        <v>2657</v>
      </c>
      <c r="N18" s="49" t="s">
        <v>71</v>
      </c>
    </row>
    <row r="19" spans="1:14" ht="26.25" customHeight="1" x14ac:dyDescent="0.2">
      <c r="A19" s="280" t="s">
        <v>80</v>
      </c>
      <c r="B19" s="282">
        <v>150</v>
      </c>
      <c r="C19" s="276" t="s">
        <v>81</v>
      </c>
      <c r="D19" s="268"/>
      <c r="E19" s="26"/>
      <c r="F19" s="27"/>
      <c r="G19" s="28"/>
      <c r="H19" s="36"/>
      <c r="I19" s="278"/>
      <c r="K19" s="48">
        <f>SUM(D29*10)</f>
        <v>0</v>
      </c>
      <c r="L19" s="49" t="s">
        <v>67</v>
      </c>
      <c r="M19" s="49">
        <v>59</v>
      </c>
      <c r="N19" s="49" t="s">
        <v>72</v>
      </c>
    </row>
    <row r="20" spans="1:14" ht="27" thickBot="1" x14ac:dyDescent="0.25">
      <c r="A20" s="281"/>
      <c r="B20" s="283"/>
      <c r="C20" s="277"/>
      <c r="D20" s="269"/>
      <c r="E20" s="23"/>
      <c r="F20" s="24"/>
      <c r="G20" s="25"/>
      <c r="H20" s="25"/>
      <c r="I20" s="279"/>
    </row>
    <row r="21" spans="1:14" ht="26.25" x14ac:dyDescent="0.2">
      <c r="A21" s="280" t="s">
        <v>53</v>
      </c>
      <c r="B21" s="282">
        <v>6135</v>
      </c>
      <c r="C21" s="317" t="s">
        <v>56</v>
      </c>
      <c r="D21" s="268"/>
      <c r="E21" s="26"/>
      <c r="F21" s="27"/>
      <c r="G21" s="36"/>
      <c r="H21" s="36"/>
      <c r="I21" s="278"/>
    </row>
    <row r="22" spans="1:14" ht="27" thickBot="1" x14ac:dyDescent="0.25">
      <c r="A22" s="281"/>
      <c r="B22" s="283"/>
      <c r="C22" s="318"/>
      <c r="D22" s="269"/>
      <c r="E22" s="23"/>
      <c r="F22" s="24"/>
      <c r="G22" s="25"/>
      <c r="H22" s="25"/>
      <c r="I22" s="279"/>
    </row>
    <row r="23" spans="1:14" ht="26.25" x14ac:dyDescent="0.2">
      <c r="A23" s="280" t="s">
        <v>16</v>
      </c>
      <c r="B23" s="282">
        <v>2526</v>
      </c>
      <c r="C23" s="317" t="s">
        <v>23</v>
      </c>
      <c r="D23" s="268"/>
      <c r="E23" s="26"/>
      <c r="F23" s="27"/>
      <c r="G23" s="28"/>
      <c r="H23" s="29"/>
      <c r="I23" s="284"/>
    </row>
    <row r="24" spans="1:14" ht="27" thickBot="1" x14ac:dyDescent="0.25">
      <c r="A24" s="281"/>
      <c r="B24" s="283"/>
      <c r="C24" s="318"/>
      <c r="D24" s="269"/>
      <c r="E24" s="23"/>
      <c r="F24" s="24"/>
      <c r="G24" s="25"/>
      <c r="H24" s="30"/>
      <c r="I24" s="285"/>
    </row>
    <row r="25" spans="1:14" ht="26.25" x14ac:dyDescent="0.2">
      <c r="A25" s="280" t="s">
        <v>63</v>
      </c>
      <c r="B25" s="282">
        <v>2527</v>
      </c>
      <c r="C25" s="317" t="s">
        <v>24</v>
      </c>
      <c r="D25" s="268"/>
      <c r="E25" s="26"/>
      <c r="F25" s="27"/>
      <c r="G25" s="28"/>
      <c r="H25" s="29"/>
      <c r="I25" s="286"/>
    </row>
    <row r="26" spans="1:14" ht="27" thickBot="1" x14ac:dyDescent="0.25">
      <c r="A26" s="281"/>
      <c r="B26" s="283"/>
      <c r="C26" s="318"/>
      <c r="D26" s="269"/>
      <c r="E26" s="23"/>
      <c r="F26" s="24"/>
      <c r="G26" s="25"/>
      <c r="H26" s="30"/>
      <c r="I26" s="287"/>
    </row>
    <row r="27" spans="1:14" ht="26.25" x14ac:dyDescent="0.2">
      <c r="A27" s="280" t="s">
        <v>14</v>
      </c>
      <c r="B27" s="282">
        <v>3800</v>
      </c>
      <c r="C27" s="317" t="s">
        <v>45</v>
      </c>
      <c r="D27" s="268"/>
      <c r="E27" s="26"/>
      <c r="F27" s="27"/>
      <c r="G27" s="28"/>
      <c r="H27" s="29"/>
      <c r="I27" s="284"/>
    </row>
    <row r="28" spans="1:14" ht="27" thickBot="1" x14ac:dyDescent="0.25">
      <c r="A28" s="281"/>
      <c r="B28" s="283"/>
      <c r="C28" s="318"/>
      <c r="D28" s="269"/>
      <c r="E28" s="23"/>
      <c r="F28" s="24"/>
      <c r="G28" s="25"/>
      <c r="H28" s="32"/>
      <c r="I28" s="285"/>
    </row>
    <row r="29" spans="1:14" ht="26.25" x14ac:dyDescent="0.2">
      <c r="A29" s="280" t="s">
        <v>15</v>
      </c>
      <c r="B29" s="282">
        <v>3801</v>
      </c>
      <c r="C29" s="317" t="s">
        <v>25</v>
      </c>
      <c r="D29" s="268"/>
      <c r="E29" s="26"/>
      <c r="F29" s="27"/>
      <c r="G29" s="28"/>
      <c r="H29" s="29"/>
      <c r="I29" s="284"/>
    </row>
    <row r="30" spans="1:14" ht="27" thickBot="1" x14ac:dyDescent="0.25">
      <c r="A30" s="281"/>
      <c r="B30" s="283"/>
      <c r="C30" s="318"/>
      <c r="D30" s="269"/>
      <c r="E30" s="23"/>
      <c r="F30" s="24"/>
      <c r="G30" s="25"/>
      <c r="H30" s="30"/>
      <c r="I30" s="285"/>
    </row>
    <row r="31" spans="1:14" ht="26.25" customHeight="1" x14ac:dyDescent="0.2">
      <c r="A31" s="280" t="s">
        <v>17</v>
      </c>
      <c r="B31" s="282">
        <v>3802</v>
      </c>
      <c r="C31" s="317" t="s">
        <v>47</v>
      </c>
      <c r="D31" s="268"/>
      <c r="E31" s="26"/>
      <c r="F31" s="27"/>
      <c r="G31" s="28"/>
      <c r="H31" s="63"/>
      <c r="I31" s="284"/>
    </row>
    <row r="32" spans="1:14" ht="27" thickBot="1" x14ac:dyDescent="0.25">
      <c r="A32" s="281"/>
      <c r="B32" s="283"/>
      <c r="C32" s="318"/>
      <c r="D32" s="269"/>
      <c r="E32" s="23"/>
      <c r="F32" s="24"/>
      <c r="G32" s="25"/>
      <c r="H32" s="30"/>
      <c r="I32" s="285"/>
    </row>
    <row r="33" spans="1:9" ht="26.25" x14ac:dyDescent="0.2">
      <c r="A33" s="280" t="s">
        <v>18</v>
      </c>
      <c r="B33" s="282">
        <v>3805</v>
      </c>
      <c r="C33" s="317" t="s">
        <v>26</v>
      </c>
      <c r="D33" s="268"/>
      <c r="E33" s="26"/>
      <c r="F33" s="27"/>
      <c r="G33" s="28"/>
      <c r="H33" s="29"/>
      <c r="I33" s="284"/>
    </row>
    <row r="34" spans="1:9" ht="27" thickBot="1" x14ac:dyDescent="0.25">
      <c r="A34" s="281"/>
      <c r="B34" s="283"/>
      <c r="C34" s="318"/>
      <c r="D34" s="269"/>
      <c r="E34" s="23"/>
      <c r="F34" s="24"/>
      <c r="G34" s="25"/>
      <c r="H34" s="32"/>
      <c r="I34" s="285"/>
    </row>
    <row r="35" spans="1:9" ht="26.25" x14ac:dyDescent="0.2">
      <c r="A35" s="280" t="s">
        <v>57</v>
      </c>
      <c r="B35" s="282">
        <v>3808</v>
      </c>
      <c r="C35" s="317" t="s">
        <v>27</v>
      </c>
      <c r="D35" s="268"/>
      <c r="E35" s="26"/>
      <c r="F35" s="27"/>
      <c r="G35" s="28"/>
      <c r="H35" s="36"/>
      <c r="I35" s="284"/>
    </row>
    <row r="36" spans="1:9" ht="27" thickBot="1" x14ac:dyDescent="0.25">
      <c r="A36" s="281"/>
      <c r="B36" s="283"/>
      <c r="C36" s="318"/>
      <c r="D36" s="269"/>
      <c r="E36" s="23"/>
      <c r="F36" s="24"/>
      <c r="G36" s="25"/>
      <c r="H36" s="32"/>
      <c r="I36" s="285"/>
    </row>
    <row r="37" spans="1:9" ht="26.25" x14ac:dyDescent="0.2">
      <c r="A37" s="280" t="s">
        <v>21</v>
      </c>
      <c r="B37" s="282">
        <v>3810</v>
      </c>
      <c r="C37" s="317" t="s">
        <v>48</v>
      </c>
      <c r="D37" s="268"/>
      <c r="E37" s="26"/>
      <c r="F37" s="27"/>
      <c r="G37" s="28"/>
      <c r="H37" s="29"/>
      <c r="I37" s="288"/>
    </row>
    <row r="38" spans="1:9" ht="27" thickBot="1" x14ac:dyDescent="0.25">
      <c r="A38" s="281"/>
      <c r="B38" s="283"/>
      <c r="C38" s="318"/>
      <c r="D38" s="269"/>
      <c r="E38" s="23"/>
      <c r="F38" s="24"/>
      <c r="G38" s="25"/>
      <c r="H38" s="32"/>
      <c r="I38" s="289"/>
    </row>
    <row r="39" spans="1:9" ht="26.25" x14ac:dyDescent="0.2">
      <c r="A39" s="280" t="s">
        <v>64</v>
      </c>
      <c r="B39" s="282">
        <v>6056</v>
      </c>
      <c r="C39" s="317" t="s">
        <v>31</v>
      </c>
      <c r="D39" s="268"/>
      <c r="E39" s="33"/>
      <c r="F39" s="27"/>
      <c r="G39" s="28"/>
      <c r="H39" s="29"/>
      <c r="I39" s="288"/>
    </row>
    <row r="40" spans="1:9" ht="27" thickBot="1" x14ac:dyDescent="0.25">
      <c r="A40" s="281"/>
      <c r="B40" s="283"/>
      <c r="C40" s="318"/>
      <c r="D40" s="269"/>
      <c r="E40" s="34"/>
      <c r="F40" s="24"/>
      <c r="G40" s="25"/>
      <c r="H40" s="30"/>
      <c r="I40" s="289"/>
    </row>
    <row r="41" spans="1:9" ht="26.25" x14ac:dyDescent="0.2">
      <c r="A41" s="280" t="s">
        <v>19</v>
      </c>
      <c r="B41" s="282">
        <v>3820</v>
      </c>
      <c r="C41" s="317" t="s">
        <v>46</v>
      </c>
      <c r="D41" s="268"/>
      <c r="E41" s="26"/>
      <c r="F41" s="27"/>
      <c r="G41" s="28"/>
      <c r="H41" s="29"/>
      <c r="I41" s="288"/>
    </row>
    <row r="42" spans="1:9" ht="27" thickBot="1" x14ac:dyDescent="0.25">
      <c r="A42" s="290"/>
      <c r="B42" s="291"/>
      <c r="C42" s="319"/>
      <c r="D42" s="269"/>
      <c r="E42" s="23"/>
      <c r="F42" s="24"/>
      <c r="G42" s="25"/>
      <c r="H42" s="32"/>
      <c r="I42" s="289"/>
    </row>
    <row r="43" spans="1:9" ht="26.25" x14ac:dyDescent="0.2">
      <c r="A43" s="280" t="s">
        <v>20</v>
      </c>
      <c r="B43" s="282">
        <v>3821</v>
      </c>
      <c r="C43" s="317" t="s">
        <v>28</v>
      </c>
      <c r="D43" s="268"/>
      <c r="E43" s="26"/>
      <c r="F43" s="27"/>
      <c r="G43" s="28"/>
      <c r="H43" s="31"/>
      <c r="I43" s="288"/>
    </row>
    <row r="44" spans="1:9" ht="27" thickBot="1" x14ac:dyDescent="0.25">
      <c r="A44" s="281"/>
      <c r="B44" s="283"/>
      <c r="C44" s="318"/>
      <c r="D44" s="269"/>
      <c r="E44" s="23"/>
      <c r="F44" s="24"/>
      <c r="G44" s="25"/>
      <c r="H44" s="32"/>
      <c r="I44" s="289"/>
    </row>
    <row r="45" spans="1:9" ht="26.25" x14ac:dyDescent="0.2">
      <c r="A45" s="280" t="s">
        <v>58</v>
      </c>
      <c r="B45" s="282">
        <v>3822</v>
      </c>
      <c r="C45" s="317" t="s">
        <v>38</v>
      </c>
      <c r="D45" s="268"/>
      <c r="E45" s="26"/>
      <c r="F45" s="27"/>
      <c r="G45" s="28"/>
      <c r="H45" s="29"/>
      <c r="I45" s="284"/>
    </row>
    <row r="46" spans="1:9" ht="27" thickBot="1" x14ac:dyDescent="0.25">
      <c r="A46" s="281"/>
      <c r="B46" s="283"/>
      <c r="C46" s="318"/>
      <c r="D46" s="269"/>
      <c r="E46" s="23"/>
      <c r="F46" s="24"/>
      <c r="G46" s="25"/>
      <c r="H46" s="32"/>
      <c r="I46" s="285"/>
    </row>
    <row r="47" spans="1:9" ht="26.25" customHeight="1" x14ac:dyDescent="0.2">
      <c r="A47" s="280" t="s">
        <v>32</v>
      </c>
      <c r="B47" s="282">
        <v>3832</v>
      </c>
      <c r="C47" s="317" t="s">
        <v>37</v>
      </c>
      <c r="D47" s="268"/>
      <c r="E47" s="27"/>
      <c r="F47" s="27"/>
      <c r="G47" s="28"/>
      <c r="H47" s="31"/>
      <c r="I47" s="288"/>
    </row>
    <row r="48" spans="1:9" ht="27" thickBot="1" x14ac:dyDescent="0.25">
      <c r="A48" s="281"/>
      <c r="B48" s="283"/>
      <c r="C48" s="318"/>
      <c r="D48" s="269"/>
      <c r="E48" s="24"/>
      <c r="F48" s="24"/>
      <c r="G48" s="25"/>
      <c r="H48" s="32"/>
      <c r="I48" s="289"/>
    </row>
    <row r="49" spans="1:9" ht="26.25" x14ac:dyDescent="0.2">
      <c r="A49" s="280" t="s">
        <v>59</v>
      </c>
      <c r="B49" s="282">
        <v>4173</v>
      </c>
      <c r="C49" s="317" t="s">
        <v>12</v>
      </c>
      <c r="D49" s="268"/>
      <c r="E49" s="27"/>
      <c r="F49" s="27"/>
      <c r="G49" s="28"/>
      <c r="H49" s="31"/>
      <c r="I49" s="284"/>
    </row>
    <row r="50" spans="1:9" ht="27" thickBot="1" x14ac:dyDescent="0.25">
      <c r="A50" s="281"/>
      <c r="B50" s="283"/>
      <c r="C50" s="318"/>
      <c r="D50" s="269"/>
      <c r="E50" s="24"/>
      <c r="F50" s="24"/>
      <c r="G50" s="25"/>
      <c r="H50" s="32"/>
      <c r="I50" s="285"/>
    </row>
    <row r="51" spans="1:9" ht="26.25" x14ac:dyDescent="0.2">
      <c r="A51" s="280" t="s">
        <v>22</v>
      </c>
      <c r="B51" s="293">
        <v>2</v>
      </c>
      <c r="C51" s="317" t="s">
        <v>30</v>
      </c>
      <c r="D51" s="268"/>
      <c r="E51" s="27"/>
      <c r="F51" s="27"/>
      <c r="G51" s="31"/>
      <c r="H51" s="31"/>
      <c r="I51" s="288"/>
    </row>
    <row r="52" spans="1:9" ht="27" thickBot="1" x14ac:dyDescent="0.25">
      <c r="A52" s="281"/>
      <c r="B52" s="294"/>
      <c r="C52" s="318"/>
      <c r="D52" s="269"/>
      <c r="E52" s="24"/>
      <c r="F52" s="24"/>
      <c r="G52" s="32"/>
      <c r="H52" s="32"/>
      <c r="I52" s="289"/>
    </row>
    <row r="53" spans="1:9" ht="27" x14ac:dyDescent="0.2">
      <c r="A53" s="311" t="s">
        <v>13</v>
      </c>
      <c r="B53" s="311"/>
      <c r="C53" s="311"/>
      <c r="D53" s="311"/>
      <c r="E53" s="311"/>
      <c r="F53" s="311"/>
      <c r="G53" s="311"/>
      <c r="H53" s="311"/>
      <c r="I53" s="311"/>
    </row>
    <row r="54" spans="1:9" ht="18.75" x14ac:dyDescent="0.2">
      <c r="A54" s="11"/>
      <c r="B54" s="312"/>
      <c r="C54" s="312"/>
      <c r="D54" s="312"/>
      <c r="E54" s="312"/>
      <c r="F54" s="312"/>
      <c r="G54" s="312"/>
      <c r="H54" s="312"/>
      <c r="I54" s="12"/>
    </row>
    <row r="55" spans="1:9" ht="18.75" x14ac:dyDescent="0.2">
      <c r="A55" s="11"/>
      <c r="B55" s="13"/>
      <c r="C55" s="13"/>
      <c r="D55" s="13"/>
      <c r="E55" s="13"/>
      <c r="F55" s="13"/>
      <c r="G55" s="13"/>
      <c r="H55" s="13"/>
      <c r="I55" s="11"/>
    </row>
    <row r="56" spans="1:9" ht="18.75" x14ac:dyDescent="0.2">
      <c r="A56" s="11"/>
      <c r="B56" s="13"/>
      <c r="C56" s="13"/>
      <c r="D56" s="13"/>
      <c r="E56" s="13"/>
      <c r="F56" s="13"/>
      <c r="G56" s="13"/>
      <c r="H56" s="13"/>
      <c r="I56" s="11"/>
    </row>
    <row r="57" spans="1:9" ht="18.75" x14ac:dyDescent="0.2">
      <c r="A57" s="11"/>
      <c r="B57" s="13"/>
      <c r="C57" s="13"/>
      <c r="D57" s="13"/>
      <c r="E57" s="13"/>
      <c r="F57" s="13"/>
      <c r="G57" s="13"/>
      <c r="H57" s="13"/>
      <c r="I57" s="11"/>
    </row>
    <row r="58" spans="1:9" ht="18.75" x14ac:dyDescent="0.2">
      <c r="A58" s="14"/>
      <c r="B58" s="15"/>
      <c r="C58" s="16"/>
      <c r="D58" s="15"/>
      <c r="E58" s="15"/>
      <c r="F58" s="15"/>
      <c r="G58" s="16"/>
      <c r="H58" s="16"/>
      <c r="I58" s="16"/>
    </row>
    <row r="59" spans="1:9" ht="18.75" x14ac:dyDescent="0.2">
      <c r="A59" s="14"/>
      <c r="B59" s="313"/>
      <c r="C59" s="313"/>
      <c r="D59" s="17"/>
      <c r="E59" s="7"/>
      <c r="F59" s="16"/>
      <c r="G59" s="16"/>
      <c r="H59" s="4"/>
      <c r="I59" s="7"/>
    </row>
    <row r="60" spans="1:9" ht="20.25" x14ac:dyDescent="0.2">
      <c r="A60" s="42"/>
      <c r="B60" s="42"/>
      <c r="C60" s="43"/>
      <c r="D60" s="44"/>
      <c r="E60" s="43"/>
      <c r="F60" s="45"/>
      <c r="G60" s="45"/>
      <c r="H60" s="43"/>
      <c r="I60" s="43"/>
    </row>
    <row r="61" spans="1:9" ht="20.25" x14ac:dyDescent="0.2">
      <c r="A61" s="314" t="s">
        <v>73</v>
      </c>
      <c r="B61" s="314"/>
      <c r="C61" s="314"/>
      <c r="D61" s="46"/>
      <c r="E61" s="43"/>
      <c r="F61" s="315" t="s">
        <v>74</v>
      </c>
      <c r="G61" s="315"/>
      <c r="H61" s="315"/>
      <c r="I61" s="315"/>
    </row>
    <row r="62" spans="1:9" ht="20.25" x14ac:dyDescent="0.2">
      <c r="A62" s="310" t="s">
        <v>65</v>
      </c>
      <c r="B62" s="310"/>
      <c r="C62" s="310"/>
      <c r="D62" s="42"/>
      <c r="E62" s="43"/>
      <c r="F62" s="310" t="s">
        <v>44</v>
      </c>
      <c r="G62" s="310"/>
      <c r="H62" s="310"/>
      <c r="I62" s="310"/>
    </row>
    <row r="63" spans="1:9" ht="20.25" x14ac:dyDescent="0.2">
      <c r="A63" s="45"/>
      <c r="B63" s="45"/>
      <c r="C63" s="43"/>
      <c r="D63" s="45"/>
      <c r="E63" s="45"/>
      <c r="F63" s="43"/>
      <c r="G63" s="43"/>
      <c r="H63" s="43"/>
      <c r="I63" s="43"/>
    </row>
    <row r="64" spans="1:9" ht="20.25" x14ac:dyDescent="0.2">
      <c r="A64" s="45"/>
      <c r="B64" s="45"/>
      <c r="C64" s="43"/>
      <c r="D64" s="45"/>
      <c r="E64" s="45"/>
      <c r="F64" s="43"/>
      <c r="G64" s="43"/>
      <c r="H64" s="43"/>
      <c r="I64" s="43"/>
    </row>
    <row r="65" spans="1:9" ht="20.25" x14ac:dyDescent="0.2">
      <c r="A65" s="42"/>
      <c r="B65" s="42"/>
      <c r="C65" s="43"/>
      <c r="D65" s="42"/>
      <c r="E65" s="45"/>
      <c r="F65" s="43"/>
      <c r="G65" s="43"/>
      <c r="H65" s="43"/>
      <c r="I65" s="43"/>
    </row>
    <row r="66" spans="1:9" ht="20.25" x14ac:dyDescent="0.2">
      <c r="A66" s="42"/>
      <c r="B66" s="42" t="s">
        <v>75</v>
      </c>
      <c r="C66" s="43"/>
      <c r="D66" s="45"/>
      <c r="E66" s="47"/>
      <c r="F66" s="43"/>
      <c r="G66" s="43"/>
      <c r="H66" s="43"/>
      <c r="I66" s="46"/>
    </row>
    <row r="67" spans="1:9" ht="20.25" x14ac:dyDescent="0.2">
      <c r="A67" s="316" t="s">
        <v>66</v>
      </c>
      <c r="B67" s="316"/>
      <c r="C67" s="316"/>
      <c r="D67" s="46"/>
      <c r="E67" s="43"/>
      <c r="F67" s="314" t="s">
        <v>52</v>
      </c>
      <c r="G67" s="314"/>
      <c r="H67" s="314"/>
      <c r="I67" s="314"/>
    </row>
    <row r="68" spans="1:9" ht="20.25" x14ac:dyDescent="0.2">
      <c r="A68" s="310"/>
      <c r="B68" s="310"/>
      <c r="C68" s="310"/>
      <c r="D68" s="1"/>
      <c r="E68" s="2"/>
      <c r="F68" s="2"/>
      <c r="G68" s="2"/>
      <c r="H68" s="2"/>
      <c r="I68" s="4"/>
    </row>
    <row r="69" spans="1:9" x14ac:dyDescent="0.2">
      <c r="A69" s="4"/>
      <c r="B69" s="4"/>
      <c r="C69" s="4"/>
      <c r="D69" s="4"/>
      <c r="E69" s="2"/>
      <c r="F69" s="2"/>
      <c r="G69" s="2"/>
      <c r="H69" s="2"/>
      <c r="I69" s="4"/>
    </row>
    <row r="70" spans="1:9" x14ac:dyDescent="0.2">
      <c r="A70" s="4"/>
      <c r="B70" s="4"/>
      <c r="C70" s="4"/>
      <c r="D70" s="4"/>
      <c r="E70" s="2"/>
      <c r="F70" s="2"/>
      <c r="G70" s="2"/>
      <c r="H70" s="2"/>
      <c r="I70" s="4"/>
    </row>
    <row r="71" spans="1:9" x14ac:dyDescent="0.2">
      <c r="A71" s="4"/>
      <c r="B71" s="4"/>
      <c r="C71" s="4"/>
      <c r="D71" s="4"/>
      <c r="E71" s="2"/>
      <c r="F71" s="2"/>
      <c r="G71" s="2"/>
      <c r="H71" s="2"/>
      <c r="I71" s="4"/>
    </row>
    <row r="72" spans="1:9" x14ac:dyDescent="0.2">
      <c r="A72" s="4"/>
      <c r="B72" s="4"/>
      <c r="C72" s="4"/>
      <c r="D72" s="4"/>
      <c r="E72" s="4"/>
      <c r="F72" s="5"/>
      <c r="G72" s="4"/>
      <c r="H72" s="4"/>
      <c r="I72" s="4"/>
    </row>
    <row r="73" spans="1:9" x14ac:dyDescent="0.2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">
      <c r="A75" s="4"/>
      <c r="B75" s="4"/>
      <c r="C75" s="4"/>
      <c r="D75" s="4"/>
      <c r="E75" s="4"/>
      <c r="F75" s="4"/>
      <c r="G75" s="4"/>
      <c r="H75" s="4"/>
      <c r="I75" s="4"/>
    </row>
  </sheetData>
  <mergeCells count="118">
    <mergeCell ref="A68:C68"/>
    <mergeCell ref="A61:C61"/>
    <mergeCell ref="F61:I61"/>
    <mergeCell ref="A62:C62"/>
    <mergeCell ref="F62:I62"/>
    <mergeCell ref="A67:C67"/>
    <mergeCell ref="F67:I67"/>
    <mergeCell ref="G9:H9"/>
    <mergeCell ref="G11:H11"/>
    <mergeCell ref="A13:A14"/>
    <mergeCell ref="B13:B14"/>
    <mergeCell ref="C13:C14"/>
    <mergeCell ref="D13:H13"/>
    <mergeCell ref="C19:C20"/>
    <mergeCell ref="D19:D20"/>
    <mergeCell ref="I19:I20"/>
    <mergeCell ref="A19:A20"/>
    <mergeCell ref="B19:B20"/>
    <mergeCell ref="A21:A22"/>
    <mergeCell ref="B21:B22"/>
    <mergeCell ref="C21:C22"/>
    <mergeCell ref="D21:D22"/>
    <mergeCell ref="I21:I22"/>
    <mergeCell ref="A23:A24"/>
    <mergeCell ref="A1:I1"/>
    <mergeCell ref="A2:I2"/>
    <mergeCell ref="A3:I3"/>
    <mergeCell ref="A5:I5"/>
    <mergeCell ref="C7:D7"/>
    <mergeCell ref="G7:H7"/>
    <mergeCell ref="A17:A18"/>
    <mergeCell ref="B17:B18"/>
    <mergeCell ref="C17:C18"/>
    <mergeCell ref="D17:D18"/>
    <mergeCell ref="I17:I18"/>
    <mergeCell ref="I13:I14"/>
    <mergeCell ref="A15:A16"/>
    <mergeCell ref="B15:B16"/>
    <mergeCell ref="C15:C16"/>
    <mergeCell ref="D15:D16"/>
    <mergeCell ref="I15:I16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31:A32"/>
    <mergeCell ref="B31:B32"/>
    <mergeCell ref="C31:C32"/>
    <mergeCell ref="D31:D32"/>
    <mergeCell ref="I31:I32"/>
    <mergeCell ref="A33:A34"/>
    <mergeCell ref="B33:B34"/>
    <mergeCell ref="C33:C34"/>
    <mergeCell ref="D33:D34"/>
    <mergeCell ref="I33:I34"/>
    <mergeCell ref="A35:A36"/>
    <mergeCell ref="B35:B36"/>
    <mergeCell ref="C35:C36"/>
    <mergeCell ref="D35:D36"/>
    <mergeCell ref="I35:I36"/>
    <mergeCell ref="A37:A38"/>
    <mergeCell ref="B37:B38"/>
    <mergeCell ref="C37:C38"/>
    <mergeCell ref="D37:D38"/>
    <mergeCell ref="I37:I38"/>
    <mergeCell ref="A39:A40"/>
    <mergeCell ref="B39:B40"/>
    <mergeCell ref="C39:C40"/>
    <mergeCell ref="D39:D40"/>
    <mergeCell ref="I39:I40"/>
    <mergeCell ref="A41:A42"/>
    <mergeCell ref="B41:B42"/>
    <mergeCell ref="C41:C42"/>
    <mergeCell ref="D41:D42"/>
    <mergeCell ref="I41:I42"/>
    <mergeCell ref="A43:A44"/>
    <mergeCell ref="B43:B44"/>
    <mergeCell ref="C43:C44"/>
    <mergeCell ref="D43:D44"/>
    <mergeCell ref="I43:I44"/>
    <mergeCell ref="A45:A46"/>
    <mergeCell ref="B45:B46"/>
    <mergeCell ref="C45:C46"/>
    <mergeCell ref="D45:D46"/>
    <mergeCell ref="I45:I46"/>
    <mergeCell ref="A47:A48"/>
    <mergeCell ref="B47:B48"/>
    <mergeCell ref="C47:C48"/>
    <mergeCell ref="D47:D48"/>
    <mergeCell ref="I47:I48"/>
    <mergeCell ref="A53:I53"/>
    <mergeCell ref="B54:H54"/>
    <mergeCell ref="B59:C59"/>
    <mergeCell ref="A49:A50"/>
    <mergeCell ref="B49:B50"/>
    <mergeCell ref="C49:C50"/>
    <mergeCell ref="D49:D50"/>
    <mergeCell ref="I49:I50"/>
    <mergeCell ref="A51:A52"/>
    <mergeCell ref="B51:B52"/>
    <mergeCell ref="C51:C52"/>
    <mergeCell ref="D51:D52"/>
    <mergeCell ref="I51:I52"/>
  </mergeCells>
  <printOptions horizontalCentered="1" verticalCentered="1"/>
  <pageMargins left="0" right="0" top="1.0811811023622049" bottom="0" header="0" footer="0"/>
  <pageSetup paperSize="9" scale="3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75"/>
  <sheetViews>
    <sheetView zoomScale="50" zoomScaleNormal="50" workbookViewId="0">
      <selection activeCell="C11" sqref="C11"/>
    </sheetView>
  </sheetViews>
  <sheetFormatPr baseColWidth="10" defaultRowHeight="12.75" x14ac:dyDescent="0.2"/>
  <cols>
    <col min="1" max="1" width="45.28515625" customWidth="1"/>
    <col min="2" max="2" width="14" customWidth="1"/>
    <col min="3" max="3" width="57.85546875" customWidth="1"/>
    <col min="4" max="4" width="18.42578125" customWidth="1"/>
    <col min="5" max="5" width="16.42578125" customWidth="1"/>
    <col min="6" max="6" width="14.28515625" customWidth="1"/>
    <col min="7" max="7" width="40" customWidth="1"/>
    <col min="8" max="8" width="22.85546875" customWidth="1"/>
    <col min="9" max="9" width="41.140625" customWidth="1"/>
    <col min="12" max="12" width="18.42578125" customWidth="1"/>
    <col min="14" max="14" width="20" customWidth="1"/>
  </cols>
  <sheetData>
    <row r="1" spans="1:14" ht="30" x14ac:dyDescent="0.2">
      <c r="A1" s="295" t="s">
        <v>49</v>
      </c>
      <c r="B1" s="295"/>
      <c r="C1" s="295"/>
      <c r="D1" s="295"/>
      <c r="E1" s="295"/>
      <c r="F1" s="295"/>
      <c r="G1" s="295"/>
      <c r="H1" s="295"/>
      <c r="I1" s="295"/>
    </row>
    <row r="2" spans="1:14" ht="30" x14ac:dyDescent="0.2">
      <c r="A2" s="295" t="s">
        <v>50</v>
      </c>
      <c r="B2" s="295"/>
      <c r="C2" s="295"/>
      <c r="D2" s="295"/>
      <c r="E2" s="295"/>
      <c r="F2" s="295"/>
      <c r="G2" s="295"/>
      <c r="H2" s="295"/>
      <c r="I2" s="295"/>
    </row>
    <row r="3" spans="1:14" ht="30" x14ac:dyDescent="0.2">
      <c r="A3" s="295"/>
      <c r="B3" s="295"/>
      <c r="C3" s="295"/>
      <c r="D3" s="295"/>
      <c r="E3" s="295"/>
      <c r="F3" s="295"/>
      <c r="G3" s="295"/>
      <c r="H3" s="295"/>
      <c r="I3" s="295"/>
    </row>
    <row r="4" spans="1:14" x14ac:dyDescent="0.2">
      <c r="A4" s="3"/>
      <c r="B4" s="3"/>
      <c r="C4" s="3"/>
      <c r="D4" s="3"/>
      <c r="E4" s="3"/>
      <c r="F4" s="3"/>
      <c r="G4" s="3"/>
      <c r="H4" s="3"/>
      <c r="I4" s="3"/>
    </row>
    <row r="5" spans="1:14" ht="30" x14ac:dyDescent="0.2">
      <c r="A5" s="295" t="s">
        <v>51</v>
      </c>
      <c r="B5" s="295"/>
      <c r="C5" s="295"/>
      <c r="D5" s="295"/>
      <c r="E5" s="295"/>
      <c r="F5" s="295"/>
      <c r="G5" s="295"/>
      <c r="H5" s="295"/>
      <c r="I5" s="295"/>
    </row>
    <row r="6" spans="1:14" x14ac:dyDescent="0.2">
      <c r="A6" s="3"/>
      <c r="B6" s="3"/>
      <c r="C6" s="3"/>
      <c r="D6" s="3"/>
      <c r="E6" s="3"/>
      <c r="F6" s="3"/>
      <c r="G6" s="3"/>
      <c r="H6" s="3"/>
      <c r="I6" s="3"/>
    </row>
    <row r="7" spans="1:14" ht="27" thickBot="1" x14ac:dyDescent="0.25">
      <c r="A7" s="50"/>
      <c r="B7" s="51" t="s">
        <v>35</v>
      </c>
      <c r="C7" s="52" t="s">
        <v>87</v>
      </c>
      <c r="D7" s="50"/>
      <c r="E7" s="50"/>
      <c r="F7" s="51" t="s">
        <v>1</v>
      </c>
      <c r="G7" s="296" t="s">
        <v>54</v>
      </c>
      <c r="H7" s="296"/>
      <c r="I7" s="50"/>
    </row>
    <row r="8" spans="1:14" ht="26.25" x14ac:dyDescent="0.2">
      <c r="A8" s="50"/>
      <c r="B8" s="51"/>
      <c r="C8" s="53"/>
      <c r="D8" s="50"/>
      <c r="E8" s="50"/>
      <c r="F8" s="54"/>
      <c r="G8" s="50"/>
      <c r="H8" s="50"/>
      <c r="I8" s="50"/>
    </row>
    <row r="9" spans="1:14" ht="27" thickBot="1" x14ac:dyDescent="0.25">
      <c r="A9" s="50"/>
      <c r="B9" s="51" t="s">
        <v>42</v>
      </c>
      <c r="C9" s="52"/>
      <c r="D9" s="50"/>
      <c r="E9" s="50"/>
      <c r="F9" s="51" t="s">
        <v>2</v>
      </c>
      <c r="G9" s="297"/>
      <c r="H9" s="297"/>
      <c r="I9" s="50"/>
    </row>
    <row r="10" spans="1:14" ht="26.25" x14ac:dyDescent="0.2">
      <c r="A10" s="50"/>
      <c r="B10" s="54"/>
      <c r="C10" s="53"/>
      <c r="D10" s="50"/>
      <c r="E10" s="50"/>
      <c r="F10" s="51"/>
      <c r="G10" s="50"/>
      <c r="H10" s="50"/>
      <c r="I10" s="50"/>
    </row>
    <row r="11" spans="1:14" ht="27" thickBot="1" x14ac:dyDescent="0.25">
      <c r="A11" s="50"/>
      <c r="B11" s="51" t="s">
        <v>36</v>
      </c>
      <c r="C11" s="52" t="s">
        <v>89</v>
      </c>
      <c r="D11" s="50"/>
      <c r="E11" s="50"/>
      <c r="F11" s="51" t="s">
        <v>39</v>
      </c>
      <c r="G11" s="298"/>
      <c r="H11" s="298"/>
      <c r="I11" s="50"/>
    </row>
    <row r="12" spans="1:14" ht="26.25" thickBot="1" x14ac:dyDescent="0.25">
      <c r="A12" s="55"/>
      <c r="B12" s="55"/>
      <c r="C12" s="55"/>
      <c r="D12" s="55"/>
      <c r="E12" s="55"/>
      <c r="F12" s="55"/>
      <c r="G12" s="55"/>
      <c r="H12" s="55"/>
      <c r="I12" s="55"/>
    </row>
    <row r="13" spans="1:14" ht="25.5" x14ac:dyDescent="0.2">
      <c r="A13" s="253" t="s">
        <v>3</v>
      </c>
      <c r="B13" s="255" t="s">
        <v>43</v>
      </c>
      <c r="C13" s="255" t="s">
        <v>4</v>
      </c>
      <c r="D13" s="257" t="s">
        <v>5</v>
      </c>
      <c r="E13" s="258"/>
      <c r="F13" s="258"/>
      <c r="G13" s="258"/>
      <c r="H13" s="259"/>
      <c r="I13" s="260" t="s">
        <v>34</v>
      </c>
    </row>
    <row r="14" spans="1:14" ht="51.75" thickBot="1" x14ac:dyDescent="0.25">
      <c r="A14" s="254"/>
      <c r="B14" s="256"/>
      <c r="C14" s="256"/>
      <c r="D14" s="58" t="s">
        <v>6</v>
      </c>
      <c r="E14" s="58" t="s">
        <v>7</v>
      </c>
      <c r="F14" s="58" t="s">
        <v>8</v>
      </c>
      <c r="G14" s="59" t="s">
        <v>9</v>
      </c>
      <c r="H14" s="59" t="s">
        <v>33</v>
      </c>
      <c r="I14" s="261"/>
    </row>
    <row r="15" spans="1:14" ht="26.25" customHeight="1" x14ac:dyDescent="0.2">
      <c r="A15" s="262" t="s">
        <v>41</v>
      </c>
      <c r="B15" s="264">
        <v>146</v>
      </c>
      <c r="C15" s="266" t="s">
        <v>29</v>
      </c>
      <c r="D15" s="268"/>
      <c r="E15" s="20"/>
      <c r="F15" s="21"/>
      <c r="G15" s="22"/>
      <c r="H15" s="35"/>
      <c r="I15" s="270"/>
      <c r="K15" s="48">
        <f>SUM(D15+(D45*10)+(D33*10)+D23+D35+(D37*10)+D49)</f>
        <v>0</v>
      </c>
      <c r="L15" s="49" t="s">
        <v>67</v>
      </c>
      <c r="M15" s="49">
        <v>2715</v>
      </c>
      <c r="N15" s="49" t="s">
        <v>68</v>
      </c>
    </row>
    <row r="16" spans="1:14" ht="27" thickBot="1" x14ac:dyDescent="0.25">
      <c r="A16" s="263"/>
      <c r="B16" s="265"/>
      <c r="C16" s="267"/>
      <c r="D16" s="269"/>
      <c r="E16" s="23"/>
      <c r="F16" s="24"/>
      <c r="G16" s="25"/>
      <c r="H16" s="25"/>
      <c r="I16" s="271"/>
      <c r="K16" s="48">
        <f>SUM((D45/3)*20+D21)</f>
        <v>0</v>
      </c>
      <c r="L16" s="49" t="s">
        <v>67</v>
      </c>
      <c r="M16" s="49">
        <v>2707</v>
      </c>
      <c r="N16" s="49" t="s">
        <v>69</v>
      </c>
    </row>
    <row r="17" spans="1:14" ht="26.25" x14ac:dyDescent="0.2">
      <c r="A17" s="272" t="s">
        <v>55</v>
      </c>
      <c r="B17" s="273">
        <v>148</v>
      </c>
      <c r="C17" s="274" t="s">
        <v>10</v>
      </c>
      <c r="D17" s="268"/>
      <c r="E17" s="26"/>
      <c r="F17" s="27"/>
      <c r="G17" s="28"/>
      <c r="H17" s="36"/>
      <c r="I17" s="275"/>
      <c r="K17" s="48">
        <f>SUM(D25)</f>
        <v>0</v>
      </c>
      <c r="L17" s="49" t="s">
        <v>67</v>
      </c>
      <c r="M17" s="49">
        <v>2699</v>
      </c>
      <c r="N17" s="49" t="s">
        <v>70</v>
      </c>
    </row>
    <row r="18" spans="1:14" ht="27" thickBot="1" x14ac:dyDescent="0.25">
      <c r="A18" s="263"/>
      <c r="B18" s="265"/>
      <c r="C18" s="267"/>
      <c r="D18" s="269"/>
      <c r="E18" s="23"/>
      <c r="F18" s="24"/>
      <c r="G18" s="25"/>
      <c r="H18" s="25"/>
      <c r="I18" s="271"/>
      <c r="K18" s="48">
        <f>SUM(D27+D41)</f>
        <v>0</v>
      </c>
      <c r="L18" s="49" t="s">
        <v>67</v>
      </c>
      <c r="M18" s="49">
        <v>2657</v>
      </c>
      <c r="N18" s="49" t="s">
        <v>71</v>
      </c>
    </row>
    <row r="19" spans="1:14" ht="26.25" customHeight="1" x14ac:dyDescent="0.2">
      <c r="A19" s="280" t="s">
        <v>80</v>
      </c>
      <c r="B19" s="282">
        <v>150</v>
      </c>
      <c r="C19" s="276" t="s">
        <v>81</v>
      </c>
      <c r="D19" s="268"/>
      <c r="E19" s="26"/>
      <c r="F19" s="27"/>
      <c r="G19" s="28"/>
      <c r="H19" s="36"/>
      <c r="I19" s="278"/>
      <c r="K19" s="48">
        <f>SUM(D29*10)</f>
        <v>0</v>
      </c>
      <c r="L19" s="49" t="s">
        <v>67</v>
      </c>
      <c r="M19" s="49">
        <v>59</v>
      </c>
      <c r="N19" s="49" t="s">
        <v>72</v>
      </c>
    </row>
    <row r="20" spans="1:14" ht="27" thickBot="1" x14ac:dyDescent="0.25">
      <c r="A20" s="281"/>
      <c r="B20" s="283"/>
      <c r="C20" s="277"/>
      <c r="D20" s="269"/>
      <c r="E20" s="23"/>
      <c r="F20" s="24"/>
      <c r="G20" s="25"/>
      <c r="H20" s="25"/>
      <c r="I20" s="279"/>
    </row>
    <row r="21" spans="1:14" ht="26.25" x14ac:dyDescent="0.2">
      <c r="A21" s="280" t="s">
        <v>53</v>
      </c>
      <c r="B21" s="282">
        <v>6135</v>
      </c>
      <c r="C21" s="276" t="s">
        <v>56</v>
      </c>
      <c r="D21" s="268"/>
      <c r="E21" s="26"/>
      <c r="F21" s="27"/>
      <c r="G21" s="28"/>
      <c r="H21" s="36"/>
      <c r="I21" s="278"/>
    </row>
    <row r="22" spans="1:14" ht="27" thickBot="1" x14ac:dyDescent="0.25">
      <c r="A22" s="281"/>
      <c r="B22" s="283"/>
      <c r="C22" s="277"/>
      <c r="D22" s="269"/>
      <c r="E22" s="23"/>
      <c r="F22" s="24"/>
      <c r="G22" s="25"/>
      <c r="H22" s="25"/>
      <c r="I22" s="279"/>
    </row>
    <row r="23" spans="1:14" ht="26.25" x14ac:dyDescent="0.2">
      <c r="A23" s="280" t="s">
        <v>16</v>
      </c>
      <c r="B23" s="282">
        <v>2526</v>
      </c>
      <c r="C23" s="276" t="s">
        <v>23</v>
      </c>
      <c r="D23" s="268"/>
      <c r="E23" s="26"/>
      <c r="F23" s="27"/>
      <c r="G23" s="28"/>
      <c r="H23" s="29"/>
      <c r="I23" s="284"/>
    </row>
    <row r="24" spans="1:14" ht="27" thickBot="1" x14ac:dyDescent="0.25">
      <c r="A24" s="281"/>
      <c r="B24" s="283"/>
      <c r="C24" s="277"/>
      <c r="D24" s="269"/>
      <c r="E24" s="23"/>
      <c r="F24" s="24"/>
      <c r="G24" s="25"/>
      <c r="H24" s="30"/>
      <c r="I24" s="285"/>
    </row>
    <row r="25" spans="1:14" ht="26.25" x14ac:dyDescent="0.2">
      <c r="A25" s="280" t="s">
        <v>63</v>
      </c>
      <c r="B25" s="282">
        <v>2527</v>
      </c>
      <c r="C25" s="276" t="s">
        <v>24</v>
      </c>
      <c r="D25" s="268"/>
      <c r="E25" s="26"/>
      <c r="F25" s="27"/>
      <c r="G25" s="28"/>
      <c r="H25" s="29"/>
      <c r="I25" s="286"/>
    </row>
    <row r="26" spans="1:14" ht="27" thickBot="1" x14ac:dyDescent="0.25">
      <c r="A26" s="281"/>
      <c r="B26" s="283"/>
      <c r="C26" s="277"/>
      <c r="D26" s="269"/>
      <c r="E26" s="23"/>
      <c r="F26" s="24"/>
      <c r="G26" s="25"/>
      <c r="H26" s="30"/>
      <c r="I26" s="287"/>
    </row>
    <row r="27" spans="1:14" ht="26.25" x14ac:dyDescent="0.2">
      <c r="A27" s="280" t="s">
        <v>14</v>
      </c>
      <c r="B27" s="282">
        <v>3800</v>
      </c>
      <c r="C27" s="276" t="s">
        <v>45</v>
      </c>
      <c r="D27" s="268"/>
      <c r="E27" s="26"/>
      <c r="F27" s="27"/>
      <c r="G27" s="28"/>
      <c r="H27" s="29"/>
      <c r="I27" s="284"/>
    </row>
    <row r="28" spans="1:14" ht="27" thickBot="1" x14ac:dyDescent="0.25">
      <c r="A28" s="281"/>
      <c r="B28" s="283"/>
      <c r="C28" s="277"/>
      <c r="D28" s="269"/>
      <c r="E28" s="23"/>
      <c r="F28" s="24"/>
      <c r="G28" s="25"/>
      <c r="H28" s="32"/>
      <c r="I28" s="285"/>
    </row>
    <row r="29" spans="1:14" ht="26.25" x14ac:dyDescent="0.2">
      <c r="A29" s="280" t="s">
        <v>15</v>
      </c>
      <c r="B29" s="282">
        <v>3801</v>
      </c>
      <c r="C29" s="276" t="s">
        <v>25</v>
      </c>
      <c r="D29" s="268"/>
      <c r="E29" s="26"/>
      <c r="F29" s="27"/>
      <c r="G29" s="28"/>
      <c r="H29" s="29"/>
      <c r="I29" s="284"/>
    </row>
    <row r="30" spans="1:14" ht="27" thickBot="1" x14ac:dyDescent="0.25">
      <c r="A30" s="281"/>
      <c r="B30" s="283"/>
      <c r="C30" s="277"/>
      <c r="D30" s="269"/>
      <c r="E30" s="23"/>
      <c r="F30" s="24"/>
      <c r="G30" s="25"/>
      <c r="H30" s="30"/>
      <c r="I30" s="285"/>
    </row>
    <row r="31" spans="1:14" ht="26.25" customHeight="1" x14ac:dyDescent="0.2">
      <c r="A31" s="280" t="s">
        <v>17</v>
      </c>
      <c r="B31" s="282">
        <v>3802</v>
      </c>
      <c r="C31" s="276" t="s">
        <v>47</v>
      </c>
      <c r="D31" s="268"/>
      <c r="E31" s="26"/>
      <c r="F31" s="27"/>
      <c r="G31" s="28"/>
      <c r="H31" s="63"/>
      <c r="I31" s="284"/>
    </row>
    <row r="32" spans="1:14" ht="27" thickBot="1" x14ac:dyDescent="0.25">
      <c r="A32" s="281"/>
      <c r="B32" s="283"/>
      <c r="C32" s="277"/>
      <c r="D32" s="269"/>
      <c r="E32" s="23"/>
      <c r="F32" s="24"/>
      <c r="G32" s="25"/>
      <c r="H32" s="30"/>
      <c r="I32" s="285"/>
    </row>
    <row r="33" spans="1:9" ht="26.25" x14ac:dyDescent="0.2">
      <c r="A33" s="280" t="s">
        <v>18</v>
      </c>
      <c r="B33" s="282">
        <v>3805</v>
      </c>
      <c r="C33" s="276" t="s">
        <v>26</v>
      </c>
      <c r="D33" s="268"/>
      <c r="E33" s="26"/>
      <c r="F33" s="27"/>
      <c r="G33" s="28"/>
      <c r="H33" s="29"/>
      <c r="I33" s="284"/>
    </row>
    <row r="34" spans="1:9" ht="27" thickBot="1" x14ac:dyDescent="0.25">
      <c r="A34" s="281"/>
      <c r="B34" s="283"/>
      <c r="C34" s="277"/>
      <c r="D34" s="269"/>
      <c r="E34" s="23"/>
      <c r="F34" s="24"/>
      <c r="G34" s="25"/>
      <c r="H34" s="32"/>
      <c r="I34" s="285"/>
    </row>
    <row r="35" spans="1:9" ht="26.25" x14ac:dyDescent="0.2">
      <c r="A35" s="280" t="s">
        <v>57</v>
      </c>
      <c r="B35" s="282">
        <v>3808</v>
      </c>
      <c r="C35" s="276" t="s">
        <v>27</v>
      </c>
      <c r="D35" s="268"/>
      <c r="E35" s="26"/>
      <c r="F35" s="27"/>
      <c r="G35" s="28"/>
      <c r="H35" s="29"/>
      <c r="I35" s="284"/>
    </row>
    <row r="36" spans="1:9" ht="27" thickBot="1" x14ac:dyDescent="0.25">
      <c r="A36" s="281"/>
      <c r="B36" s="283"/>
      <c r="C36" s="277"/>
      <c r="D36" s="269"/>
      <c r="E36" s="23"/>
      <c r="F36" s="24"/>
      <c r="G36" s="25"/>
      <c r="H36" s="32"/>
      <c r="I36" s="285"/>
    </row>
    <row r="37" spans="1:9" ht="26.25" x14ac:dyDescent="0.2">
      <c r="A37" s="280" t="s">
        <v>21</v>
      </c>
      <c r="B37" s="282">
        <v>3810</v>
      </c>
      <c r="C37" s="276" t="s">
        <v>48</v>
      </c>
      <c r="D37" s="268"/>
      <c r="E37" s="26"/>
      <c r="F37" s="27"/>
      <c r="G37" s="28"/>
      <c r="H37" s="29"/>
      <c r="I37" s="288"/>
    </row>
    <row r="38" spans="1:9" ht="27" thickBot="1" x14ac:dyDescent="0.25">
      <c r="A38" s="281"/>
      <c r="B38" s="283"/>
      <c r="C38" s="277"/>
      <c r="D38" s="269"/>
      <c r="E38" s="23"/>
      <c r="F38" s="24"/>
      <c r="G38" s="25"/>
      <c r="H38" s="32"/>
      <c r="I38" s="289"/>
    </row>
    <row r="39" spans="1:9" ht="26.25" x14ac:dyDescent="0.2">
      <c r="A39" s="280" t="s">
        <v>64</v>
      </c>
      <c r="B39" s="282">
        <v>6056</v>
      </c>
      <c r="C39" s="276" t="s">
        <v>31</v>
      </c>
      <c r="D39" s="268"/>
      <c r="E39" s="33"/>
      <c r="F39" s="27"/>
      <c r="G39" s="28"/>
      <c r="H39" s="29"/>
      <c r="I39" s="288"/>
    </row>
    <row r="40" spans="1:9" ht="27" thickBot="1" x14ac:dyDescent="0.25">
      <c r="A40" s="281"/>
      <c r="B40" s="283"/>
      <c r="C40" s="277"/>
      <c r="D40" s="269"/>
      <c r="E40" s="34"/>
      <c r="F40" s="24"/>
      <c r="G40" s="25"/>
      <c r="H40" s="30"/>
      <c r="I40" s="289"/>
    </row>
    <row r="41" spans="1:9" ht="26.25" x14ac:dyDescent="0.2">
      <c r="A41" s="280" t="s">
        <v>19</v>
      </c>
      <c r="B41" s="282">
        <v>3820</v>
      </c>
      <c r="C41" s="276" t="s">
        <v>46</v>
      </c>
      <c r="D41" s="268"/>
      <c r="E41" s="26"/>
      <c r="F41" s="27"/>
      <c r="G41" s="28"/>
      <c r="H41" s="29"/>
      <c r="I41" s="288"/>
    </row>
    <row r="42" spans="1:9" ht="27" thickBot="1" x14ac:dyDescent="0.25">
      <c r="A42" s="290"/>
      <c r="B42" s="291"/>
      <c r="C42" s="292"/>
      <c r="D42" s="269"/>
      <c r="E42" s="23"/>
      <c r="F42" s="24"/>
      <c r="G42" s="25"/>
      <c r="H42" s="32"/>
      <c r="I42" s="289"/>
    </row>
    <row r="43" spans="1:9" ht="26.25" x14ac:dyDescent="0.2">
      <c r="A43" s="280" t="s">
        <v>20</v>
      </c>
      <c r="B43" s="282">
        <v>3821</v>
      </c>
      <c r="C43" s="276" t="s">
        <v>28</v>
      </c>
      <c r="D43" s="268"/>
      <c r="E43" s="26"/>
      <c r="F43" s="27"/>
      <c r="G43" s="28"/>
      <c r="H43" s="31"/>
      <c r="I43" s="288"/>
    </row>
    <row r="44" spans="1:9" ht="27" thickBot="1" x14ac:dyDescent="0.25">
      <c r="A44" s="281"/>
      <c r="B44" s="283"/>
      <c r="C44" s="277"/>
      <c r="D44" s="269"/>
      <c r="E44" s="23"/>
      <c r="F44" s="24"/>
      <c r="G44" s="25"/>
      <c r="H44" s="32"/>
      <c r="I44" s="289"/>
    </row>
    <row r="45" spans="1:9" ht="26.25" x14ac:dyDescent="0.2">
      <c r="A45" s="280" t="s">
        <v>58</v>
      </c>
      <c r="B45" s="282">
        <v>3822</v>
      </c>
      <c r="C45" s="276" t="s">
        <v>38</v>
      </c>
      <c r="D45" s="268"/>
      <c r="E45" s="26"/>
      <c r="F45" s="27"/>
      <c r="G45" s="28"/>
      <c r="H45" s="29"/>
      <c r="I45" s="284"/>
    </row>
    <row r="46" spans="1:9" ht="27" thickBot="1" x14ac:dyDescent="0.25">
      <c r="A46" s="281"/>
      <c r="B46" s="283"/>
      <c r="C46" s="277"/>
      <c r="D46" s="269"/>
      <c r="E46" s="23"/>
      <c r="F46" s="24"/>
      <c r="G46" s="25"/>
      <c r="H46" s="32"/>
      <c r="I46" s="285"/>
    </row>
    <row r="47" spans="1:9" ht="26.25" customHeight="1" x14ac:dyDescent="0.2">
      <c r="A47" s="280" t="s">
        <v>32</v>
      </c>
      <c r="B47" s="282">
        <v>3832</v>
      </c>
      <c r="C47" s="276" t="s">
        <v>37</v>
      </c>
      <c r="D47" s="268"/>
      <c r="E47" s="27"/>
      <c r="F47" s="27"/>
      <c r="G47" s="28"/>
      <c r="H47" s="31"/>
      <c r="I47" s="288"/>
    </row>
    <row r="48" spans="1:9" ht="27" thickBot="1" x14ac:dyDescent="0.25">
      <c r="A48" s="281"/>
      <c r="B48" s="283"/>
      <c r="C48" s="277"/>
      <c r="D48" s="269"/>
      <c r="E48" s="24"/>
      <c r="F48" s="24"/>
      <c r="G48" s="25"/>
      <c r="H48" s="32"/>
      <c r="I48" s="289"/>
    </row>
    <row r="49" spans="1:9" ht="26.25" x14ac:dyDescent="0.2">
      <c r="A49" s="280" t="s">
        <v>59</v>
      </c>
      <c r="B49" s="282">
        <v>4173</v>
      </c>
      <c r="C49" s="276" t="s">
        <v>12</v>
      </c>
      <c r="D49" s="268"/>
      <c r="E49" s="27"/>
      <c r="F49" s="27"/>
      <c r="G49" s="28"/>
      <c r="H49" s="31"/>
      <c r="I49" s="284"/>
    </row>
    <row r="50" spans="1:9" ht="27" thickBot="1" x14ac:dyDescent="0.25">
      <c r="A50" s="281"/>
      <c r="B50" s="283"/>
      <c r="C50" s="277"/>
      <c r="D50" s="269"/>
      <c r="E50" s="24"/>
      <c r="F50" s="24"/>
      <c r="G50" s="25"/>
      <c r="H50" s="32"/>
      <c r="I50" s="285"/>
    </row>
    <row r="51" spans="1:9" ht="26.25" x14ac:dyDescent="0.2">
      <c r="A51" s="280" t="s">
        <v>22</v>
      </c>
      <c r="B51" s="293">
        <v>2</v>
      </c>
      <c r="C51" s="276" t="s">
        <v>30</v>
      </c>
      <c r="D51" s="268"/>
      <c r="E51" s="27"/>
      <c r="F51" s="27"/>
      <c r="G51" s="31"/>
      <c r="H51" s="31"/>
      <c r="I51" s="288"/>
    </row>
    <row r="52" spans="1:9" ht="27" thickBot="1" x14ac:dyDescent="0.25">
      <c r="A52" s="281"/>
      <c r="B52" s="294"/>
      <c r="C52" s="277"/>
      <c r="D52" s="269"/>
      <c r="E52" s="24"/>
      <c r="F52" s="24"/>
      <c r="G52" s="32"/>
      <c r="H52" s="32"/>
      <c r="I52" s="289"/>
    </row>
    <row r="53" spans="1:9" ht="27" x14ac:dyDescent="0.2">
      <c r="A53" s="311" t="s">
        <v>13</v>
      </c>
      <c r="B53" s="311"/>
      <c r="C53" s="311"/>
      <c r="D53" s="311"/>
      <c r="E53" s="311"/>
      <c r="F53" s="311"/>
      <c r="G53" s="311"/>
      <c r="H53" s="311"/>
      <c r="I53" s="311"/>
    </row>
    <row r="54" spans="1:9" ht="18.75" x14ac:dyDescent="0.2">
      <c r="A54" s="11"/>
      <c r="B54" s="312"/>
      <c r="C54" s="312"/>
      <c r="D54" s="312"/>
      <c r="E54" s="312"/>
      <c r="F54" s="312"/>
      <c r="G54" s="312"/>
      <c r="H54" s="312"/>
      <c r="I54" s="12"/>
    </row>
    <row r="55" spans="1:9" ht="18.75" x14ac:dyDescent="0.2">
      <c r="A55" s="11"/>
      <c r="B55" s="13"/>
      <c r="C55" s="13"/>
      <c r="D55" s="13"/>
      <c r="E55" s="13"/>
      <c r="F55" s="13"/>
      <c r="G55" s="13"/>
      <c r="H55" s="13"/>
      <c r="I55" s="11"/>
    </row>
    <row r="56" spans="1:9" ht="18.75" x14ac:dyDescent="0.2">
      <c r="A56" s="11"/>
      <c r="B56" s="13"/>
      <c r="C56" s="13"/>
      <c r="D56" s="13"/>
      <c r="E56" s="13"/>
      <c r="F56" s="13"/>
      <c r="G56" s="13"/>
      <c r="H56" s="13"/>
      <c r="I56" s="11"/>
    </row>
    <row r="57" spans="1:9" ht="18.75" x14ac:dyDescent="0.2">
      <c r="A57" s="11"/>
      <c r="B57" s="13"/>
      <c r="C57" s="13"/>
      <c r="D57" s="13"/>
      <c r="E57" s="13"/>
      <c r="F57" s="13"/>
      <c r="G57" s="13"/>
      <c r="H57" s="13"/>
      <c r="I57" s="11"/>
    </row>
    <row r="58" spans="1:9" ht="18.75" x14ac:dyDescent="0.2">
      <c r="A58" s="14"/>
      <c r="B58" s="15"/>
      <c r="C58" s="16"/>
      <c r="D58" s="15"/>
      <c r="E58" s="15"/>
      <c r="F58" s="15"/>
      <c r="G58" s="16"/>
      <c r="H58" s="16"/>
      <c r="I58" s="16"/>
    </row>
    <row r="59" spans="1:9" ht="18.75" x14ac:dyDescent="0.2">
      <c r="A59" s="14"/>
      <c r="B59" s="313"/>
      <c r="C59" s="313"/>
      <c r="D59" s="17"/>
      <c r="E59" s="7"/>
      <c r="F59" s="16"/>
      <c r="G59" s="16"/>
      <c r="H59" s="4"/>
      <c r="I59" s="7"/>
    </row>
    <row r="60" spans="1:9" ht="20.25" x14ac:dyDescent="0.2">
      <c r="A60" s="42"/>
      <c r="B60" s="42"/>
      <c r="C60" s="43"/>
      <c r="D60" s="44"/>
      <c r="E60" s="43"/>
      <c r="F60" s="45"/>
      <c r="G60" s="45"/>
      <c r="H60" s="43"/>
      <c r="I60" s="43"/>
    </row>
    <row r="61" spans="1:9" ht="20.25" x14ac:dyDescent="0.2">
      <c r="A61" s="314" t="s">
        <v>73</v>
      </c>
      <c r="B61" s="314"/>
      <c r="C61" s="314"/>
      <c r="D61" s="46"/>
      <c r="E61" s="43"/>
      <c r="F61" s="315" t="s">
        <v>74</v>
      </c>
      <c r="G61" s="315"/>
      <c r="H61" s="315"/>
      <c r="I61" s="315"/>
    </row>
    <row r="62" spans="1:9" ht="20.25" x14ac:dyDescent="0.2">
      <c r="A62" s="310" t="s">
        <v>65</v>
      </c>
      <c r="B62" s="310"/>
      <c r="C62" s="310"/>
      <c r="D62" s="42"/>
      <c r="E62" s="43"/>
      <c r="F62" s="310" t="s">
        <v>44</v>
      </c>
      <c r="G62" s="310"/>
      <c r="H62" s="310"/>
      <c r="I62" s="310"/>
    </row>
    <row r="63" spans="1:9" ht="20.25" x14ac:dyDescent="0.2">
      <c r="A63" s="45"/>
      <c r="B63" s="45"/>
      <c r="C63" s="43"/>
      <c r="D63" s="45"/>
      <c r="E63" s="45"/>
      <c r="F63" s="43"/>
      <c r="G63" s="43"/>
      <c r="H63" s="43"/>
      <c r="I63" s="43"/>
    </row>
    <row r="64" spans="1:9" ht="20.25" x14ac:dyDescent="0.2">
      <c r="A64" s="45"/>
      <c r="B64" s="45"/>
      <c r="C64" s="43"/>
      <c r="D64" s="45"/>
      <c r="E64" s="45"/>
      <c r="F64" s="43"/>
      <c r="G64" s="43"/>
      <c r="H64" s="43"/>
      <c r="I64" s="43"/>
    </row>
    <row r="65" spans="1:9" ht="20.25" x14ac:dyDescent="0.2">
      <c r="A65" s="42"/>
      <c r="B65" s="42"/>
      <c r="C65" s="43"/>
      <c r="D65" s="42"/>
      <c r="E65" s="45"/>
      <c r="F65" s="43"/>
      <c r="G65" s="43"/>
      <c r="H65" s="43"/>
      <c r="I65" s="43"/>
    </row>
    <row r="66" spans="1:9" ht="20.25" x14ac:dyDescent="0.2">
      <c r="A66" s="42"/>
      <c r="B66" s="42" t="s">
        <v>75</v>
      </c>
      <c r="C66" s="43"/>
      <c r="D66" s="45"/>
      <c r="E66" s="47"/>
      <c r="F66" s="43"/>
      <c r="G66" s="43"/>
      <c r="H66" s="43"/>
      <c r="I66" s="46"/>
    </row>
    <row r="67" spans="1:9" ht="20.25" x14ac:dyDescent="0.2">
      <c r="A67" s="316" t="s">
        <v>66</v>
      </c>
      <c r="B67" s="316"/>
      <c r="C67" s="316"/>
      <c r="D67" s="46"/>
      <c r="E67" s="43"/>
      <c r="F67" s="314" t="s">
        <v>52</v>
      </c>
      <c r="G67" s="314"/>
      <c r="H67" s="314"/>
      <c r="I67" s="314"/>
    </row>
    <row r="68" spans="1:9" ht="20.25" x14ac:dyDescent="0.2">
      <c r="A68" s="310"/>
      <c r="B68" s="310"/>
      <c r="C68" s="310"/>
      <c r="D68" s="1"/>
      <c r="E68" s="2"/>
      <c r="F68" s="2"/>
      <c r="G68" s="2"/>
      <c r="H68" s="2"/>
      <c r="I68" s="4"/>
    </row>
    <row r="69" spans="1:9" x14ac:dyDescent="0.2">
      <c r="A69" s="4"/>
      <c r="B69" s="4"/>
      <c r="C69" s="4"/>
      <c r="D69" s="4"/>
      <c r="E69" s="2"/>
      <c r="F69" s="2"/>
      <c r="G69" s="2"/>
      <c r="H69" s="2"/>
      <c r="I69" s="4"/>
    </row>
    <row r="70" spans="1:9" x14ac:dyDescent="0.2">
      <c r="A70" s="4"/>
      <c r="B70" s="4"/>
      <c r="C70" s="4"/>
      <c r="D70" s="4"/>
      <c r="E70" s="2"/>
      <c r="F70" s="2"/>
      <c r="G70" s="2"/>
      <c r="H70" s="2"/>
      <c r="I70" s="4"/>
    </row>
    <row r="71" spans="1:9" x14ac:dyDescent="0.2">
      <c r="A71" s="4"/>
      <c r="B71" s="4"/>
      <c r="C71" s="4"/>
      <c r="D71" s="4"/>
      <c r="E71" s="2"/>
      <c r="F71" s="2"/>
      <c r="G71" s="2"/>
      <c r="H71" s="2"/>
      <c r="I71" s="4"/>
    </row>
    <row r="72" spans="1:9" x14ac:dyDescent="0.2">
      <c r="A72" s="4"/>
      <c r="B72" s="4"/>
      <c r="C72" s="4"/>
      <c r="D72" s="4"/>
      <c r="E72" s="4"/>
      <c r="F72" s="5"/>
      <c r="G72" s="4"/>
      <c r="H72" s="4"/>
      <c r="I72" s="4"/>
    </row>
    <row r="73" spans="1:9" x14ac:dyDescent="0.2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">
      <c r="A75" s="4"/>
      <c r="B75" s="4"/>
      <c r="C75" s="4"/>
      <c r="D75" s="4"/>
      <c r="E75" s="4"/>
      <c r="F75" s="4"/>
      <c r="G75" s="4"/>
      <c r="H75" s="4"/>
      <c r="I75" s="4"/>
    </row>
  </sheetData>
  <mergeCells count="117">
    <mergeCell ref="A1:I1"/>
    <mergeCell ref="A2:I2"/>
    <mergeCell ref="A3:I3"/>
    <mergeCell ref="A5:I5"/>
    <mergeCell ref="G7:H7"/>
    <mergeCell ref="D13:H13"/>
    <mergeCell ref="I19:I20"/>
    <mergeCell ref="I13:I14"/>
    <mergeCell ref="A68:C68"/>
    <mergeCell ref="A61:C61"/>
    <mergeCell ref="F61:I61"/>
    <mergeCell ref="A62:C62"/>
    <mergeCell ref="F62:I62"/>
    <mergeCell ref="G9:H9"/>
    <mergeCell ref="G11:H11"/>
    <mergeCell ref="A13:A14"/>
    <mergeCell ref="B13:B14"/>
    <mergeCell ref="C13:C14"/>
    <mergeCell ref="A67:C67"/>
    <mergeCell ref="F67:I67"/>
    <mergeCell ref="A17:A18"/>
    <mergeCell ref="B17:B18"/>
    <mergeCell ref="C17:C18"/>
    <mergeCell ref="D17:D18"/>
    <mergeCell ref="I17:I18"/>
    <mergeCell ref="C19:C20"/>
    <mergeCell ref="D19:D20"/>
    <mergeCell ref="A15:A16"/>
    <mergeCell ref="B15:B16"/>
    <mergeCell ref="C15:C16"/>
    <mergeCell ref="D15:D16"/>
    <mergeCell ref="I15:I16"/>
    <mergeCell ref="A19:A20"/>
    <mergeCell ref="B19:B20"/>
    <mergeCell ref="A21:A22"/>
    <mergeCell ref="B21:B22"/>
    <mergeCell ref="C21:C22"/>
    <mergeCell ref="D21:D22"/>
    <mergeCell ref="I21:I22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31:A32"/>
    <mergeCell ref="B31:B32"/>
    <mergeCell ref="C31:C32"/>
    <mergeCell ref="D31:D32"/>
    <mergeCell ref="I31:I32"/>
    <mergeCell ref="A33:A34"/>
    <mergeCell ref="B33:B34"/>
    <mergeCell ref="C33:C34"/>
    <mergeCell ref="D33:D34"/>
    <mergeCell ref="I33:I34"/>
    <mergeCell ref="A35:A36"/>
    <mergeCell ref="B35:B36"/>
    <mergeCell ref="C35:C36"/>
    <mergeCell ref="D35:D36"/>
    <mergeCell ref="I35:I36"/>
    <mergeCell ref="A37:A38"/>
    <mergeCell ref="B37:B38"/>
    <mergeCell ref="C37:C38"/>
    <mergeCell ref="D37:D38"/>
    <mergeCell ref="I37:I38"/>
    <mergeCell ref="A39:A40"/>
    <mergeCell ref="B39:B40"/>
    <mergeCell ref="C39:C40"/>
    <mergeCell ref="D39:D40"/>
    <mergeCell ref="I39:I40"/>
    <mergeCell ref="A41:A42"/>
    <mergeCell ref="B41:B42"/>
    <mergeCell ref="C41:C42"/>
    <mergeCell ref="D41:D42"/>
    <mergeCell ref="I41:I42"/>
    <mergeCell ref="A43:A44"/>
    <mergeCell ref="B43:B44"/>
    <mergeCell ref="C43:C44"/>
    <mergeCell ref="D43:D44"/>
    <mergeCell ref="I43:I44"/>
    <mergeCell ref="A45:A46"/>
    <mergeCell ref="B45:B46"/>
    <mergeCell ref="C45:C46"/>
    <mergeCell ref="D45:D46"/>
    <mergeCell ref="I45:I46"/>
    <mergeCell ref="A47:A48"/>
    <mergeCell ref="B47:B48"/>
    <mergeCell ref="C47:C48"/>
    <mergeCell ref="D47:D48"/>
    <mergeCell ref="I47:I48"/>
    <mergeCell ref="A53:I53"/>
    <mergeCell ref="B54:H54"/>
    <mergeCell ref="B59:C59"/>
    <mergeCell ref="A49:A50"/>
    <mergeCell ref="B49:B50"/>
    <mergeCell ref="C49:C50"/>
    <mergeCell ref="D49:D50"/>
    <mergeCell ref="I49:I50"/>
    <mergeCell ref="A51:A52"/>
    <mergeCell ref="B51:B52"/>
    <mergeCell ref="C51:C52"/>
    <mergeCell ref="D51:D52"/>
    <mergeCell ref="I51:I52"/>
  </mergeCells>
  <printOptions horizontalCentered="1" verticalCentered="1"/>
  <pageMargins left="0" right="0" top="1.0811811023622049" bottom="0" header="0" footer="0"/>
  <pageSetup paperSize="9" scale="3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75"/>
  <sheetViews>
    <sheetView zoomScale="50" zoomScaleNormal="50" workbookViewId="0">
      <selection activeCell="D17" sqref="D17:D18"/>
    </sheetView>
  </sheetViews>
  <sheetFormatPr baseColWidth="10" defaultRowHeight="12.75" x14ac:dyDescent="0.2"/>
  <cols>
    <col min="1" max="1" width="44.28515625" customWidth="1"/>
    <col min="2" max="2" width="12.85546875" customWidth="1"/>
    <col min="3" max="3" width="59" customWidth="1"/>
    <col min="4" max="4" width="18.140625" customWidth="1"/>
    <col min="5" max="5" width="16.42578125" customWidth="1"/>
    <col min="6" max="6" width="14.42578125" customWidth="1"/>
    <col min="7" max="7" width="42.28515625" customWidth="1"/>
    <col min="8" max="8" width="30.7109375" customWidth="1"/>
    <col min="9" max="9" width="41.42578125" customWidth="1"/>
    <col min="12" max="12" width="19.28515625" customWidth="1"/>
    <col min="14" max="14" width="26.42578125" customWidth="1"/>
  </cols>
  <sheetData>
    <row r="1" spans="1:14" ht="30" x14ac:dyDescent="0.2">
      <c r="A1" s="295" t="s">
        <v>49</v>
      </c>
      <c r="B1" s="295"/>
      <c r="C1" s="295"/>
      <c r="D1" s="295"/>
      <c r="E1" s="295"/>
      <c r="F1" s="295"/>
      <c r="G1" s="295"/>
      <c r="H1" s="295"/>
      <c r="I1" s="295"/>
    </row>
    <row r="2" spans="1:14" ht="30" x14ac:dyDescent="0.2">
      <c r="A2" s="295" t="s">
        <v>50</v>
      </c>
      <c r="B2" s="295"/>
      <c r="C2" s="295"/>
      <c r="D2" s="295"/>
      <c r="E2" s="295"/>
      <c r="F2" s="295"/>
      <c r="G2" s="295"/>
      <c r="H2" s="295"/>
      <c r="I2" s="295"/>
    </row>
    <row r="3" spans="1:14" ht="30" x14ac:dyDescent="0.2">
      <c r="A3" s="295"/>
      <c r="B3" s="295"/>
      <c r="C3" s="295"/>
      <c r="D3" s="295"/>
      <c r="E3" s="295"/>
      <c r="F3" s="295"/>
      <c r="G3" s="295"/>
      <c r="H3" s="295"/>
      <c r="I3" s="295"/>
    </row>
    <row r="4" spans="1:14" x14ac:dyDescent="0.2">
      <c r="A4" s="3"/>
      <c r="B4" s="3"/>
      <c r="C4" s="3"/>
      <c r="D4" s="3"/>
      <c r="E4" s="3"/>
      <c r="F4" s="3"/>
      <c r="G4" s="3"/>
      <c r="H4" s="3"/>
      <c r="I4" s="3"/>
    </row>
    <row r="5" spans="1:14" ht="30" x14ac:dyDescent="0.2">
      <c r="A5" s="295" t="s">
        <v>51</v>
      </c>
      <c r="B5" s="295"/>
      <c r="C5" s="295"/>
      <c r="D5" s="295"/>
      <c r="E5" s="295"/>
      <c r="F5" s="295"/>
      <c r="G5" s="295"/>
      <c r="H5" s="295"/>
      <c r="I5" s="295"/>
    </row>
    <row r="6" spans="1:14" x14ac:dyDescent="0.2">
      <c r="A6" s="3"/>
      <c r="B6" s="3"/>
      <c r="C6" s="3"/>
      <c r="D6" s="3"/>
      <c r="E6" s="3"/>
      <c r="F6" s="3"/>
      <c r="G6" s="3"/>
      <c r="H6" s="3"/>
      <c r="I6" s="3"/>
    </row>
    <row r="7" spans="1:14" ht="27" thickBot="1" x14ac:dyDescent="0.25">
      <c r="A7" s="50"/>
      <c r="B7" s="51" t="s">
        <v>35</v>
      </c>
      <c r="C7" s="296" t="s">
        <v>60</v>
      </c>
      <c r="D7" s="296"/>
      <c r="E7" s="50"/>
      <c r="F7" s="51" t="s">
        <v>1</v>
      </c>
      <c r="G7" s="296" t="s">
        <v>54</v>
      </c>
      <c r="H7" s="296"/>
      <c r="I7" s="50"/>
    </row>
    <row r="8" spans="1:14" ht="26.25" x14ac:dyDescent="0.2">
      <c r="A8" s="50"/>
      <c r="B8" s="51"/>
      <c r="C8" s="53"/>
      <c r="D8" s="50"/>
      <c r="E8" s="50"/>
      <c r="F8" s="54"/>
      <c r="G8" s="50"/>
      <c r="H8" s="50"/>
      <c r="I8" s="50"/>
    </row>
    <row r="9" spans="1:14" ht="27" thickBot="1" x14ac:dyDescent="0.25">
      <c r="A9" s="50"/>
      <c r="B9" s="51" t="s">
        <v>42</v>
      </c>
      <c r="C9" s="52"/>
      <c r="D9" s="50"/>
      <c r="E9" s="50"/>
      <c r="F9" s="51" t="s">
        <v>2</v>
      </c>
      <c r="G9" s="297"/>
      <c r="H9" s="297"/>
      <c r="I9" s="50"/>
    </row>
    <row r="10" spans="1:14" ht="26.25" x14ac:dyDescent="0.2">
      <c r="A10" s="50"/>
      <c r="B10" s="54"/>
      <c r="C10" s="53"/>
      <c r="D10" s="50"/>
      <c r="E10" s="50"/>
      <c r="F10" s="51"/>
      <c r="G10" s="50"/>
      <c r="H10" s="50"/>
      <c r="I10" s="50"/>
    </row>
    <row r="11" spans="1:14" ht="27" thickBot="1" x14ac:dyDescent="0.25">
      <c r="A11" s="50"/>
      <c r="B11" s="51" t="s">
        <v>36</v>
      </c>
      <c r="C11" s="52" t="s">
        <v>85</v>
      </c>
      <c r="D11" s="50"/>
      <c r="E11" s="50"/>
      <c r="F11" s="51" t="s">
        <v>39</v>
      </c>
      <c r="G11" s="298"/>
      <c r="H11" s="298"/>
      <c r="I11" s="50"/>
    </row>
    <row r="12" spans="1:14" ht="26.25" thickBot="1" x14ac:dyDescent="0.25">
      <c r="A12" s="55"/>
      <c r="B12" s="55"/>
      <c r="C12" s="55"/>
      <c r="D12" s="55"/>
      <c r="E12" s="55"/>
      <c r="F12" s="55"/>
      <c r="G12" s="55"/>
      <c r="H12" s="55"/>
      <c r="I12" s="55"/>
    </row>
    <row r="13" spans="1:14" ht="25.5" x14ac:dyDescent="0.2">
      <c r="A13" s="253" t="s">
        <v>3</v>
      </c>
      <c r="B13" s="255" t="s">
        <v>43</v>
      </c>
      <c r="C13" s="255" t="s">
        <v>4</v>
      </c>
      <c r="D13" s="257" t="s">
        <v>5</v>
      </c>
      <c r="E13" s="258"/>
      <c r="F13" s="258"/>
      <c r="G13" s="258"/>
      <c r="H13" s="259"/>
      <c r="I13" s="260" t="s">
        <v>34</v>
      </c>
    </row>
    <row r="14" spans="1:14" ht="51.75" thickBot="1" x14ac:dyDescent="0.25">
      <c r="A14" s="254"/>
      <c r="B14" s="256"/>
      <c r="C14" s="256"/>
      <c r="D14" s="57" t="s">
        <v>6</v>
      </c>
      <c r="E14" s="58" t="s">
        <v>7</v>
      </c>
      <c r="F14" s="58" t="s">
        <v>8</v>
      </c>
      <c r="G14" s="59" t="s">
        <v>9</v>
      </c>
      <c r="H14" s="60" t="s">
        <v>33</v>
      </c>
      <c r="I14" s="261"/>
    </row>
    <row r="15" spans="1:14" ht="26.25" customHeight="1" x14ac:dyDescent="0.2">
      <c r="A15" s="262" t="s">
        <v>41</v>
      </c>
      <c r="B15" s="264">
        <v>146</v>
      </c>
      <c r="C15" s="266" t="s">
        <v>29</v>
      </c>
      <c r="D15" s="268"/>
      <c r="E15" s="20"/>
      <c r="F15" s="21"/>
      <c r="G15" s="22"/>
      <c r="H15" s="35"/>
      <c r="I15" s="270"/>
      <c r="K15" s="48">
        <f>SUM(D15+(D45*10)+(D33*10)+D23+D35+(D37*10)+D49)</f>
        <v>0</v>
      </c>
      <c r="L15" s="49" t="s">
        <v>67</v>
      </c>
      <c r="M15" s="49">
        <v>2715</v>
      </c>
      <c r="N15" s="49" t="s">
        <v>68</v>
      </c>
    </row>
    <row r="16" spans="1:14" ht="27" thickBot="1" x14ac:dyDescent="0.25">
      <c r="A16" s="263"/>
      <c r="B16" s="265"/>
      <c r="C16" s="267"/>
      <c r="D16" s="269"/>
      <c r="E16" s="23"/>
      <c r="F16" s="24"/>
      <c r="G16" s="25"/>
      <c r="H16" s="25"/>
      <c r="I16" s="271"/>
      <c r="K16" s="48">
        <f>SUM((D45/3)*20+D21)</f>
        <v>0</v>
      </c>
      <c r="L16" s="49" t="s">
        <v>67</v>
      </c>
      <c r="M16" s="49">
        <v>2707</v>
      </c>
      <c r="N16" s="49" t="s">
        <v>69</v>
      </c>
    </row>
    <row r="17" spans="1:14" ht="26.25" x14ac:dyDescent="0.2">
      <c r="A17" s="272" t="s">
        <v>55</v>
      </c>
      <c r="B17" s="273">
        <v>148</v>
      </c>
      <c r="C17" s="274" t="s">
        <v>10</v>
      </c>
      <c r="D17" s="268"/>
      <c r="E17" s="26"/>
      <c r="F17" s="27"/>
      <c r="G17" s="28"/>
      <c r="H17" s="36"/>
      <c r="I17" s="275"/>
      <c r="K17" s="48">
        <f>SUM(D25)</f>
        <v>0</v>
      </c>
      <c r="L17" s="49" t="s">
        <v>67</v>
      </c>
      <c r="M17" s="49">
        <v>2699</v>
      </c>
      <c r="N17" s="49" t="s">
        <v>70</v>
      </c>
    </row>
    <row r="18" spans="1:14" ht="27" thickBot="1" x14ac:dyDescent="0.25">
      <c r="A18" s="263"/>
      <c r="B18" s="265"/>
      <c r="C18" s="267"/>
      <c r="D18" s="269"/>
      <c r="E18" s="23"/>
      <c r="F18" s="24"/>
      <c r="G18" s="25"/>
      <c r="H18" s="25"/>
      <c r="I18" s="271"/>
      <c r="K18" s="48">
        <f>SUM(D27+D41)</f>
        <v>0</v>
      </c>
      <c r="L18" s="49" t="s">
        <v>67</v>
      </c>
      <c r="M18" s="49">
        <v>2657</v>
      </c>
      <c r="N18" s="49" t="s">
        <v>71</v>
      </c>
    </row>
    <row r="19" spans="1:14" ht="26.25" customHeight="1" x14ac:dyDescent="0.2">
      <c r="A19" s="280" t="s">
        <v>80</v>
      </c>
      <c r="B19" s="282">
        <v>150</v>
      </c>
      <c r="C19" s="276" t="s">
        <v>81</v>
      </c>
      <c r="D19" s="268"/>
      <c r="E19" s="26"/>
      <c r="F19" s="27"/>
      <c r="G19" s="28"/>
      <c r="H19" s="36"/>
      <c r="I19" s="278"/>
      <c r="K19" s="48">
        <f>SUM(D29*10)</f>
        <v>0</v>
      </c>
      <c r="L19" s="49" t="s">
        <v>67</v>
      </c>
      <c r="M19" s="49">
        <v>59</v>
      </c>
      <c r="N19" s="49" t="s">
        <v>72</v>
      </c>
    </row>
    <row r="20" spans="1:14" ht="27" thickBot="1" x14ac:dyDescent="0.25">
      <c r="A20" s="281"/>
      <c r="B20" s="283"/>
      <c r="C20" s="277"/>
      <c r="D20" s="269"/>
      <c r="E20" s="23"/>
      <c r="F20" s="24"/>
      <c r="G20" s="25"/>
      <c r="H20" s="25"/>
      <c r="I20" s="279"/>
    </row>
    <row r="21" spans="1:14" ht="26.25" x14ac:dyDescent="0.2">
      <c r="A21" s="280" t="s">
        <v>53</v>
      </c>
      <c r="B21" s="282">
        <v>6135</v>
      </c>
      <c r="C21" s="276" t="s">
        <v>56</v>
      </c>
      <c r="D21" s="268"/>
      <c r="E21" s="26"/>
      <c r="F21" s="27"/>
      <c r="G21" s="36"/>
      <c r="H21" s="36"/>
      <c r="I21" s="278"/>
    </row>
    <row r="22" spans="1:14" ht="27" thickBot="1" x14ac:dyDescent="0.25">
      <c r="A22" s="281"/>
      <c r="B22" s="283"/>
      <c r="C22" s="277"/>
      <c r="D22" s="269"/>
      <c r="E22" s="23"/>
      <c r="F22" s="24"/>
      <c r="G22" s="25"/>
      <c r="H22" s="25"/>
      <c r="I22" s="279"/>
    </row>
    <row r="23" spans="1:14" ht="26.25" x14ac:dyDescent="0.2">
      <c r="A23" s="280" t="s">
        <v>16</v>
      </c>
      <c r="B23" s="282">
        <v>2526</v>
      </c>
      <c r="C23" s="276" t="s">
        <v>23</v>
      </c>
      <c r="D23" s="268"/>
      <c r="E23" s="26"/>
      <c r="F23" s="27"/>
      <c r="G23" s="28"/>
      <c r="H23" s="29"/>
      <c r="I23" s="284"/>
    </row>
    <row r="24" spans="1:14" ht="27" thickBot="1" x14ac:dyDescent="0.25">
      <c r="A24" s="281"/>
      <c r="B24" s="283"/>
      <c r="C24" s="277"/>
      <c r="D24" s="269"/>
      <c r="E24" s="23"/>
      <c r="F24" s="24"/>
      <c r="G24" s="25"/>
      <c r="H24" s="30"/>
      <c r="I24" s="285"/>
    </row>
    <row r="25" spans="1:14" ht="26.25" x14ac:dyDescent="0.2">
      <c r="A25" s="280" t="s">
        <v>63</v>
      </c>
      <c r="B25" s="282">
        <v>2527</v>
      </c>
      <c r="C25" s="276" t="s">
        <v>24</v>
      </c>
      <c r="D25" s="268"/>
      <c r="E25" s="26"/>
      <c r="F25" s="27"/>
      <c r="G25" s="28"/>
      <c r="H25" s="29"/>
      <c r="I25" s="286"/>
    </row>
    <row r="26" spans="1:14" ht="27" thickBot="1" x14ac:dyDescent="0.25">
      <c r="A26" s="281"/>
      <c r="B26" s="283"/>
      <c r="C26" s="277"/>
      <c r="D26" s="269"/>
      <c r="E26" s="23"/>
      <c r="F26" s="24"/>
      <c r="G26" s="25"/>
      <c r="H26" s="30"/>
      <c r="I26" s="287"/>
    </row>
    <row r="27" spans="1:14" ht="26.25" x14ac:dyDescent="0.2">
      <c r="A27" s="280" t="s">
        <v>14</v>
      </c>
      <c r="B27" s="282">
        <v>3800</v>
      </c>
      <c r="C27" s="276" t="s">
        <v>45</v>
      </c>
      <c r="D27" s="268"/>
      <c r="E27" s="26"/>
      <c r="F27" s="27"/>
      <c r="G27" s="28"/>
      <c r="H27" s="31"/>
      <c r="I27" s="284"/>
    </row>
    <row r="28" spans="1:14" ht="27" thickBot="1" x14ac:dyDescent="0.25">
      <c r="A28" s="281"/>
      <c r="B28" s="283"/>
      <c r="C28" s="277"/>
      <c r="D28" s="269"/>
      <c r="E28" s="23"/>
      <c r="F28" s="24"/>
      <c r="G28" s="25"/>
      <c r="H28" s="32"/>
      <c r="I28" s="285"/>
    </row>
    <row r="29" spans="1:14" ht="26.25" x14ac:dyDescent="0.2">
      <c r="A29" s="280" t="s">
        <v>15</v>
      </c>
      <c r="B29" s="282">
        <v>3801</v>
      </c>
      <c r="C29" s="276" t="s">
        <v>25</v>
      </c>
      <c r="D29" s="268"/>
      <c r="E29" s="26"/>
      <c r="F29" s="27"/>
      <c r="G29" s="28"/>
      <c r="H29" s="29"/>
      <c r="I29" s="284"/>
    </row>
    <row r="30" spans="1:14" ht="27" thickBot="1" x14ac:dyDescent="0.25">
      <c r="A30" s="281"/>
      <c r="B30" s="283"/>
      <c r="C30" s="277"/>
      <c r="D30" s="269"/>
      <c r="E30" s="23"/>
      <c r="F30" s="24"/>
      <c r="G30" s="25"/>
      <c r="H30" s="30"/>
      <c r="I30" s="285"/>
    </row>
    <row r="31" spans="1:14" ht="26.25" customHeight="1" x14ac:dyDescent="0.2">
      <c r="A31" s="280" t="s">
        <v>17</v>
      </c>
      <c r="B31" s="282">
        <v>3802</v>
      </c>
      <c r="C31" s="276" t="s">
        <v>47</v>
      </c>
      <c r="D31" s="268"/>
      <c r="E31" s="26"/>
      <c r="F31" s="27"/>
      <c r="G31" s="28"/>
      <c r="H31" s="63"/>
      <c r="I31" s="284"/>
    </row>
    <row r="32" spans="1:14" ht="27" thickBot="1" x14ac:dyDescent="0.25">
      <c r="A32" s="281"/>
      <c r="B32" s="283"/>
      <c r="C32" s="277"/>
      <c r="D32" s="269"/>
      <c r="E32" s="23"/>
      <c r="F32" s="24"/>
      <c r="G32" s="25"/>
      <c r="H32" s="30"/>
      <c r="I32" s="285"/>
    </row>
    <row r="33" spans="1:9" ht="26.25" x14ac:dyDescent="0.2">
      <c r="A33" s="280" t="s">
        <v>18</v>
      </c>
      <c r="B33" s="282">
        <v>3805</v>
      </c>
      <c r="C33" s="276" t="s">
        <v>26</v>
      </c>
      <c r="D33" s="268"/>
      <c r="E33" s="26"/>
      <c r="F33" s="27"/>
      <c r="G33" s="28"/>
      <c r="H33" s="29"/>
      <c r="I33" s="284"/>
    </row>
    <row r="34" spans="1:9" ht="27" thickBot="1" x14ac:dyDescent="0.25">
      <c r="A34" s="281"/>
      <c r="B34" s="283"/>
      <c r="C34" s="277"/>
      <c r="D34" s="269"/>
      <c r="E34" s="23"/>
      <c r="F34" s="24"/>
      <c r="G34" s="25"/>
      <c r="H34" s="32"/>
      <c r="I34" s="285"/>
    </row>
    <row r="35" spans="1:9" ht="26.25" x14ac:dyDescent="0.2">
      <c r="A35" s="280" t="s">
        <v>57</v>
      </c>
      <c r="B35" s="282">
        <v>3808</v>
      </c>
      <c r="C35" s="276" t="s">
        <v>27</v>
      </c>
      <c r="D35" s="268"/>
      <c r="E35" s="26"/>
      <c r="F35" s="27"/>
      <c r="G35" s="28"/>
      <c r="H35" s="36"/>
      <c r="I35" s="284"/>
    </row>
    <row r="36" spans="1:9" ht="27" thickBot="1" x14ac:dyDescent="0.25">
      <c r="A36" s="281"/>
      <c r="B36" s="283"/>
      <c r="C36" s="277"/>
      <c r="D36" s="269"/>
      <c r="E36" s="23"/>
      <c r="F36" s="24"/>
      <c r="G36" s="25"/>
      <c r="H36" s="32"/>
      <c r="I36" s="285"/>
    </row>
    <row r="37" spans="1:9" ht="26.25" x14ac:dyDescent="0.2">
      <c r="A37" s="280" t="s">
        <v>21</v>
      </c>
      <c r="B37" s="282">
        <v>3810</v>
      </c>
      <c r="C37" s="276" t="s">
        <v>48</v>
      </c>
      <c r="D37" s="268"/>
      <c r="E37" s="26"/>
      <c r="F37" s="27"/>
      <c r="G37" s="28"/>
      <c r="H37" s="29"/>
      <c r="I37" s="288"/>
    </row>
    <row r="38" spans="1:9" ht="27" thickBot="1" x14ac:dyDescent="0.25">
      <c r="A38" s="281"/>
      <c r="B38" s="283"/>
      <c r="C38" s="277"/>
      <c r="D38" s="269"/>
      <c r="E38" s="23"/>
      <c r="F38" s="24"/>
      <c r="G38" s="25"/>
      <c r="H38" s="32"/>
      <c r="I38" s="289"/>
    </row>
    <row r="39" spans="1:9" ht="26.25" x14ac:dyDescent="0.2">
      <c r="A39" s="280" t="s">
        <v>64</v>
      </c>
      <c r="B39" s="282">
        <v>6056</v>
      </c>
      <c r="C39" s="276" t="s">
        <v>31</v>
      </c>
      <c r="D39" s="268"/>
      <c r="E39" s="33"/>
      <c r="F39" s="27"/>
      <c r="G39" s="28"/>
      <c r="H39" s="29"/>
      <c r="I39" s="288"/>
    </row>
    <row r="40" spans="1:9" ht="27" thickBot="1" x14ac:dyDescent="0.25">
      <c r="A40" s="281"/>
      <c r="B40" s="283"/>
      <c r="C40" s="277"/>
      <c r="D40" s="269"/>
      <c r="E40" s="34"/>
      <c r="F40" s="24"/>
      <c r="G40" s="25"/>
      <c r="H40" s="30"/>
      <c r="I40" s="289"/>
    </row>
    <row r="41" spans="1:9" ht="26.25" x14ac:dyDescent="0.2">
      <c r="A41" s="280" t="s">
        <v>19</v>
      </c>
      <c r="B41" s="282">
        <v>3820</v>
      </c>
      <c r="C41" s="276" t="s">
        <v>46</v>
      </c>
      <c r="D41" s="268"/>
      <c r="E41" s="26"/>
      <c r="F41" s="27"/>
      <c r="G41" s="28"/>
      <c r="H41" s="29"/>
      <c r="I41" s="288"/>
    </row>
    <row r="42" spans="1:9" ht="27" thickBot="1" x14ac:dyDescent="0.25">
      <c r="A42" s="290"/>
      <c r="B42" s="291"/>
      <c r="C42" s="292"/>
      <c r="D42" s="269"/>
      <c r="E42" s="23"/>
      <c r="F42" s="24"/>
      <c r="G42" s="25"/>
      <c r="H42" s="32"/>
      <c r="I42" s="289"/>
    </row>
    <row r="43" spans="1:9" ht="26.25" x14ac:dyDescent="0.2">
      <c r="A43" s="280" t="s">
        <v>20</v>
      </c>
      <c r="B43" s="282">
        <v>3821</v>
      </c>
      <c r="C43" s="276" t="s">
        <v>28</v>
      </c>
      <c r="D43" s="268"/>
      <c r="E43" s="26"/>
      <c r="F43" s="27"/>
      <c r="G43" s="28"/>
      <c r="H43" s="31"/>
      <c r="I43" s="288"/>
    </row>
    <row r="44" spans="1:9" ht="27" thickBot="1" x14ac:dyDescent="0.25">
      <c r="A44" s="281"/>
      <c r="B44" s="283"/>
      <c r="C44" s="277"/>
      <c r="D44" s="269"/>
      <c r="E44" s="23"/>
      <c r="F44" s="24"/>
      <c r="G44" s="25"/>
      <c r="H44" s="32"/>
      <c r="I44" s="289"/>
    </row>
    <row r="45" spans="1:9" ht="26.25" x14ac:dyDescent="0.2">
      <c r="A45" s="280" t="s">
        <v>58</v>
      </c>
      <c r="B45" s="282">
        <v>3822</v>
      </c>
      <c r="C45" s="276" t="s">
        <v>38</v>
      </c>
      <c r="D45" s="268"/>
      <c r="E45" s="26"/>
      <c r="F45" s="27"/>
      <c r="G45" s="28"/>
      <c r="H45" s="29"/>
      <c r="I45" s="284"/>
    </row>
    <row r="46" spans="1:9" ht="27" thickBot="1" x14ac:dyDescent="0.25">
      <c r="A46" s="281"/>
      <c r="B46" s="283"/>
      <c r="C46" s="277"/>
      <c r="D46" s="269"/>
      <c r="E46" s="23"/>
      <c r="F46" s="24"/>
      <c r="G46" s="25"/>
      <c r="H46" s="32"/>
      <c r="I46" s="285"/>
    </row>
    <row r="47" spans="1:9" ht="26.25" customHeight="1" x14ac:dyDescent="0.2">
      <c r="A47" s="280" t="s">
        <v>32</v>
      </c>
      <c r="B47" s="282">
        <v>3832</v>
      </c>
      <c r="C47" s="276" t="s">
        <v>37</v>
      </c>
      <c r="D47" s="268"/>
      <c r="E47" s="27"/>
      <c r="F47" s="27"/>
      <c r="G47" s="28"/>
      <c r="H47" s="31"/>
      <c r="I47" s="288"/>
    </row>
    <row r="48" spans="1:9" ht="27" thickBot="1" x14ac:dyDescent="0.25">
      <c r="A48" s="281"/>
      <c r="B48" s="283"/>
      <c r="C48" s="277"/>
      <c r="D48" s="269"/>
      <c r="E48" s="24"/>
      <c r="F48" s="24"/>
      <c r="G48" s="25"/>
      <c r="H48" s="32"/>
      <c r="I48" s="289"/>
    </row>
    <row r="49" spans="1:9" ht="26.25" x14ac:dyDescent="0.2">
      <c r="A49" s="280" t="s">
        <v>59</v>
      </c>
      <c r="B49" s="282">
        <v>4173</v>
      </c>
      <c r="C49" s="276" t="s">
        <v>12</v>
      </c>
      <c r="D49" s="268"/>
      <c r="E49" s="27"/>
      <c r="F49" s="27"/>
      <c r="G49" s="28"/>
      <c r="H49" s="31"/>
      <c r="I49" s="284"/>
    </row>
    <row r="50" spans="1:9" ht="27" thickBot="1" x14ac:dyDescent="0.25">
      <c r="A50" s="281"/>
      <c r="B50" s="283"/>
      <c r="C50" s="277"/>
      <c r="D50" s="269"/>
      <c r="E50" s="24"/>
      <c r="F50" s="24"/>
      <c r="G50" s="25"/>
      <c r="H50" s="32"/>
      <c r="I50" s="285"/>
    </row>
    <row r="51" spans="1:9" ht="26.25" x14ac:dyDescent="0.2">
      <c r="A51" s="280" t="s">
        <v>22</v>
      </c>
      <c r="B51" s="293">
        <v>2</v>
      </c>
      <c r="C51" s="276" t="s">
        <v>30</v>
      </c>
      <c r="D51" s="268"/>
      <c r="E51" s="27"/>
      <c r="F51" s="27"/>
      <c r="G51" s="31"/>
      <c r="H51" s="31"/>
      <c r="I51" s="288"/>
    </row>
    <row r="52" spans="1:9" ht="27" thickBot="1" x14ac:dyDescent="0.25">
      <c r="A52" s="281"/>
      <c r="B52" s="294"/>
      <c r="C52" s="277"/>
      <c r="D52" s="269"/>
      <c r="E52" s="24"/>
      <c r="F52" s="24"/>
      <c r="G52" s="32"/>
      <c r="H52" s="32"/>
      <c r="I52" s="289"/>
    </row>
    <row r="53" spans="1:9" ht="27" x14ac:dyDescent="0.2">
      <c r="A53" s="311" t="s">
        <v>13</v>
      </c>
      <c r="B53" s="311"/>
      <c r="C53" s="311"/>
      <c r="D53" s="311"/>
      <c r="E53" s="311"/>
      <c r="F53" s="311"/>
      <c r="G53" s="311"/>
      <c r="H53" s="311"/>
      <c r="I53" s="311"/>
    </row>
    <row r="54" spans="1:9" ht="18.75" x14ac:dyDescent="0.2">
      <c r="A54" s="11"/>
      <c r="B54" s="312"/>
      <c r="C54" s="312"/>
      <c r="D54" s="312"/>
      <c r="E54" s="312"/>
      <c r="F54" s="312"/>
      <c r="G54" s="312"/>
      <c r="H54" s="312"/>
      <c r="I54" s="12"/>
    </row>
    <row r="55" spans="1:9" ht="18.75" x14ac:dyDescent="0.2">
      <c r="A55" s="11"/>
      <c r="B55" s="13"/>
      <c r="C55" s="13"/>
      <c r="D55" s="13"/>
      <c r="E55" s="13"/>
      <c r="F55" s="13"/>
      <c r="G55" s="13"/>
      <c r="H55" s="13"/>
      <c r="I55" s="11"/>
    </row>
    <row r="56" spans="1:9" ht="18.75" x14ac:dyDescent="0.2">
      <c r="A56" s="11"/>
      <c r="B56" s="13"/>
      <c r="C56" s="13"/>
      <c r="D56" s="13"/>
      <c r="E56" s="13"/>
      <c r="F56" s="13"/>
      <c r="G56" s="13"/>
      <c r="H56" s="13"/>
      <c r="I56" s="11"/>
    </row>
    <row r="57" spans="1:9" ht="18.75" x14ac:dyDescent="0.2">
      <c r="A57" s="11"/>
      <c r="B57" s="13"/>
      <c r="C57" s="13"/>
      <c r="D57" s="13"/>
      <c r="E57" s="13"/>
      <c r="F57" s="13"/>
      <c r="G57" s="13"/>
      <c r="H57" s="13"/>
      <c r="I57" s="11"/>
    </row>
    <row r="58" spans="1:9" ht="18.75" x14ac:dyDescent="0.2">
      <c r="A58" s="14"/>
      <c r="B58" s="15"/>
      <c r="C58" s="16"/>
      <c r="D58" s="15"/>
      <c r="E58" s="15"/>
      <c r="F58" s="15"/>
      <c r="G58" s="16"/>
      <c r="H58" s="16"/>
      <c r="I58" s="16"/>
    </row>
    <row r="59" spans="1:9" ht="18.75" x14ac:dyDescent="0.2">
      <c r="A59" s="14"/>
      <c r="B59" s="313"/>
      <c r="C59" s="313"/>
      <c r="D59" s="17"/>
      <c r="E59" s="7"/>
      <c r="F59" s="16"/>
      <c r="G59" s="16"/>
      <c r="H59" s="4"/>
      <c r="I59" s="7"/>
    </row>
    <row r="60" spans="1:9" ht="20.25" x14ac:dyDescent="0.2">
      <c r="A60" s="42"/>
      <c r="B60" s="42"/>
      <c r="C60" s="43"/>
      <c r="D60" s="44"/>
      <c r="E60" s="43"/>
      <c r="F60" s="45"/>
      <c r="G60" s="45"/>
      <c r="H60" s="43"/>
      <c r="I60" s="43"/>
    </row>
    <row r="61" spans="1:9" ht="20.25" x14ac:dyDescent="0.2">
      <c r="A61" s="314" t="s">
        <v>73</v>
      </c>
      <c r="B61" s="314"/>
      <c r="C61" s="314"/>
      <c r="D61" s="46"/>
      <c r="E61" s="43"/>
      <c r="F61" s="315" t="s">
        <v>74</v>
      </c>
      <c r="G61" s="315"/>
      <c r="H61" s="315"/>
      <c r="I61" s="315"/>
    </row>
    <row r="62" spans="1:9" ht="20.25" x14ac:dyDescent="0.2">
      <c r="A62" s="310" t="s">
        <v>65</v>
      </c>
      <c r="B62" s="310"/>
      <c r="C62" s="310"/>
      <c r="D62" s="42"/>
      <c r="E62" s="43"/>
      <c r="F62" s="310" t="s">
        <v>44</v>
      </c>
      <c r="G62" s="310"/>
      <c r="H62" s="310"/>
      <c r="I62" s="310"/>
    </row>
    <row r="63" spans="1:9" ht="20.25" x14ac:dyDescent="0.2">
      <c r="A63" s="45"/>
      <c r="B63" s="45"/>
      <c r="C63" s="43"/>
      <c r="D63" s="45"/>
      <c r="E63" s="45"/>
      <c r="F63" s="43"/>
      <c r="G63" s="43"/>
      <c r="H63" s="43"/>
      <c r="I63" s="43"/>
    </row>
    <row r="64" spans="1:9" ht="20.25" x14ac:dyDescent="0.2">
      <c r="A64" s="45"/>
      <c r="B64" s="45"/>
      <c r="C64" s="43"/>
      <c r="D64" s="45"/>
      <c r="E64" s="45"/>
      <c r="F64" s="43"/>
      <c r="G64" s="43"/>
      <c r="H64" s="43"/>
      <c r="I64" s="43"/>
    </row>
    <row r="65" spans="1:9" ht="20.25" x14ac:dyDescent="0.2">
      <c r="A65" s="42"/>
      <c r="B65" s="42"/>
      <c r="C65" s="43"/>
      <c r="D65" s="42"/>
      <c r="E65" s="45"/>
      <c r="F65" s="43"/>
      <c r="G65" s="43"/>
      <c r="H65" s="43"/>
      <c r="I65" s="43"/>
    </row>
    <row r="66" spans="1:9" ht="20.25" x14ac:dyDescent="0.2">
      <c r="A66" s="42"/>
      <c r="B66" s="42" t="s">
        <v>75</v>
      </c>
      <c r="C66" s="43"/>
      <c r="D66" s="45"/>
      <c r="E66" s="47"/>
      <c r="F66" s="43"/>
      <c r="G66" s="43"/>
      <c r="H66" s="43"/>
      <c r="I66" s="46"/>
    </row>
    <row r="67" spans="1:9" ht="20.25" x14ac:dyDescent="0.2">
      <c r="A67" s="316" t="s">
        <v>66</v>
      </c>
      <c r="B67" s="316"/>
      <c r="C67" s="316"/>
      <c r="D67" s="46"/>
      <c r="E67" s="43"/>
      <c r="F67" s="314" t="s">
        <v>52</v>
      </c>
      <c r="G67" s="314"/>
      <c r="H67" s="314"/>
      <c r="I67" s="314"/>
    </row>
    <row r="68" spans="1:9" ht="20.25" x14ac:dyDescent="0.2">
      <c r="A68" s="310"/>
      <c r="B68" s="310"/>
      <c r="C68" s="310"/>
      <c r="D68" s="1"/>
      <c r="E68" s="2"/>
      <c r="F68" s="2"/>
      <c r="G68" s="2"/>
      <c r="H68" s="2"/>
      <c r="I68" s="4"/>
    </row>
    <row r="69" spans="1:9" x14ac:dyDescent="0.2">
      <c r="A69" s="4"/>
      <c r="B69" s="4"/>
      <c r="C69" s="4"/>
      <c r="D69" s="4"/>
      <c r="E69" s="2"/>
      <c r="F69" s="2"/>
      <c r="G69" s="2"/>
      <c r="H69" s="2"/>
      <c r="I69" s="4"/>
    </row>
    <row r="70" spans="1:9" x14ac:dyDescent="0.2">
      <c r="A70" s="4"/>
      <c r="B70" s="4"/>
      <c r="C70" s="4"/>
      <c r="D70" s="4"/>
      <c r="E70" s="2"/>
      <c r="F70" s="2"/>
      <c r="G70" s="2"/>
      <c r="H70" s="2"/>
      <c r="I70" s="4"/>
    </row>
    <row r="71" spans="1:9" x14ac:dyDescent="0.2">
      <c r="A71" s="4"/>
      <c r="B71" s="4"/>
      <c r="C71" s="4"/>
      <c r="D71" s="4"/>
      <c r="E71" s="2"/>
      <c r="F71" s="2"/>
      <c r="G71" s="2"/>
      <c r="H71" s="2"/>
      <c r="I71" s="4"/>
    </row>
    <row r="72" spans="1:9" x14ac:dyDescent="0.2">
      <c r="A72" s="4"/>
      <c r="B72" s="4"/>
      <c r="C72" s="4"/>
      <c r="D72" s="4"/>
      <c r="E72" s="4"/>
      <c r="F72" s="5"/>
      <c r="G72" s="4"/>
      <c r="H72" s="4"/>
      <c r="I72" s="4"/>
    </row>
    <row r="73" spans="1:9" x14ac:dyDescent="0.2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">
      <c r="A75" s="4"/>
      <c r="B75" s="4"/>
      <c r="C75" s="4"/>
      <c r="D75" s="4"/>
      <c r="E75" s="4"/>
      <c r="F75" s="4"/>
      <c r="G75" s="4"/>
      <c r="H75" s="4"/>
      <c r="I75" s="4"/>
    </row>
  </sheetData>
  <mergeCells count="118">
    <mergeCell ref="A68:C68"/>
    <mergeCell ref="A61:C61"/>
    <mergeCell ref="F61:I61"/>
    <mergeCell ref="A62:C62"/>
    <mergeCell ref="F62:I62"/>
    <mergeCell ref="A67:C67"/>
    <mergeCell ref="F67:I67"/>
    <mergeCell ref="G9:H9"/>
    <mergeCell ref="G11:H11"/>
    <mergeCell ref="A13:A14"/>
    <mergeCell ref="B13:B14"/>
    <mergeCell ref="C13:C14"/>
    <mergeCell ref="D13:H13"/>
    <mergeCell ref="C19:C20"/>
    <mergeCell ref="D19:D20"/>
    <mergeCell ref="I19:I20"/>
    <mergeCell ref="A19:A20"/>
    <mergeCell ref="B19:B20"/>
    <mergeCell ref="A21:A22"/>
    <mergeCell ref="B21:B22"/>
    <mergeCell ref="C21:C22"/>
    <mergeCell ref="D21:D22"/>
    <mergeCell ref="I21:I22"/>
    <mergeCell ref="A23:A24"/>
    <mergeCell ref="A1:I1"/>
    <mergeCell ref="A2:I2"/>
    <mergeCell ref="A3:I3"/>
    <mergeCell ref="A5:I5"/>
    <mergeCell ref="C7:D7"/>
    <mergeCell ref="G7:H7"/>
    <mergeCell ref="A17:A18"/>
    <mergeCell ref="B17:B18"/>
    <mergeCell ref="C17:C18"/>
    <mergeCell ref="D17:D18"/>
    <mergeCell ref="I17:I18"/>
    <mergeCell ref="I13:I14"/>
    <mergeCell ref="A15:A16"/>
    <mergeCell ref="B15:B16"/>
    <mergeCell ref="C15:C16"/>
    <mergeCell ref="D15:D16"/>
    <mergeCell ref="I15:I16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31:A32"/>
    <mergeCell ref="B31:B32"/>
    <mergeCell ref="C31:C32"/>
    <mergeCell ref="D31:D32"/>
    <mergeCell ref="I31:I32"/>
    <mergeCell ref="A33:A34"/>
    <mergeCell ref="B33:B34"/>
    <mergeCell ref="C33:C34"/>
    <mergeCell ref="D33:D34"/>
    <mergeCell ref="I33:I34"/>
    <mergeCell ref="A35:A36"/>
    <mergeCell ref="B35:B36"/>
    <mergeCell ref="C35:C36"/>
    <mergeCell ref="D35:D36"/>
    <mergeCell ref="I35:I36"/>
    <mergeCell ref="A37:A38"/>
    <mergeCell ref="B37:B38"/>
    <mergeCell ref="C37:C38"/>
    <mergeCell ref="D37:D38"/>
    <mergeCell ref="I37:I38"/>
    <mergeCell ref="A39:A40"/>
    <mergeCell ref="B39:B40"/>
    <mergeCell ref="C39:C40"/>
    <mergeCell ref="D39:D40"/>
    <mergeCell ref="I39:I40"/>
    <mergeCell ref="A41:A42"/>
    <mergeCell ref="B41:B42"/>
    <mergeCell ref="C41:C42"/>
    <mergeCell ref="D41:D42"/>
    <mergeCell ref="I41:I42"/>
    <mergeCell ref="A43:A44"/>
    <mergeCell ref="B43:B44"/>
    <mergeCell ref="C43:C44"/>
    <mergeCell ref="D43:D44"/>
    <mergeCell ref="I43:I44"/>
    <mergeCell ref="A45:A46"/>
    <mergeCell ref="B45:B46"/>
    <mergeCell ref="C45:C46"/>
    <mergeCell ref="D45:D46"/>
    <mergeCell ref="I45:I46"/>
    <mergeCell ref="A47:A48"/>
    <mergeCell ref="B47:B48"/>
    <mergeCell ref="C47:C48"/>
    <mergeCell ref="D47:D48"/>
    <mergeCell ref="I47:I48"/>
    <mergeCell ref="A53:I53"/>
    <mergeCell ref="B54:H54"/>
    <mergeCell ref="B59:C59"/>
    <mergeCell ref="A49:A50"/>
    <mergeCell ref="B49:B50"/>
    <mergeCell ref="C49:C50"/>
    <mergeCell ref="D49:D50"/>
    <mergeCell ref="I49:I50"/>
    <mergeCell ref="A51:A52"/>
    <mergeCell ref="B51:B52"/>
    <mergeCell ref="C51:C52"/>
    <mergeCell ref="D51:D52"/>
    <mergeCell ref="I51:I52"/>
  </mergeCells>
  <printOptions horizontalCentered="1" verticalCentered="1"/>
  <pageMargins left="0" right="0" top="0.55118110236220474" bottom="0" header="0" footer="0"/>
  <pageSetup paperSize="9" scale="3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75"/>
  <sheetViews>
    <sheetView topLeftCell="A25" zoomScale="50" zoomScaleNormal="50" workbookViewId="0">
      <selection activeCell="E22" sqref="E22"/>
    </sheetView>
  </sheetViews>
  <sheetFormatPr baseColWidth="10" defaultRowHeight="12.75" x14ac:dyDescent="0.2"/>
  <cols>
    <col min="1" max="1" width="43.140625" customWidth="1"/>
    <col min="2" max="2" width="16" customWidth="1"/>
    <col min="3" max="3" width="62.85546875" customWidth="1"/>
    <col min="4" max="4" width="21.85546875" customWidth="1"/>
    <col min="5" max="5" width="16.7109375" customWidth="1"/>
    <col min="6" max="6" width="15.42578125" customWidth="1"/>
    <col min="7" max="7" width="34.42578125" customWidth="1"/>
    <col min="8" max="8" width="22.42578125" customWidth="1"/>
    <col min="9" max="9" width="40.42578125" customWidth="1"/>
    <col min="12" max="12" width="17.42578125" customWidth="1"/>
    <col min="14" max="14" width="24.28515625" customWidth="1"/>
  </cols>
  <sheetData>
    <row r="1" spans="1:14" ht="30" x14ac:dyDescent="0.2">
      <c r="A1" s="295" t="s">
        <v>49</v>
      </c>
      <c r="B1" s="295"/>
      <c r="C1" s="295"/>
      <c r="D1" s="295"/>
      <c r="E1" s="295"/>
      <c r="F1" s="295"/>
      <c r="G1" s="295"/>
      <c r="H1" s="295"/>
      <c r="I1" s="295"/>
    </row>
    <row r="2" spans="1:14" ht="30" x14ac:dyDescent="0.2">
      <c r="A2" s="295" t="s">
        <v>50</v>
      </c>
      <c r="B2" s="295"/>
      <c r="C2" s="295"/>
      <c r="D2" s="295"/>
      <c r="E2" s="295"/>
      <c r="F2" s="295"/>
      <c r="G2" s="295"/>
      <c r="H2" s="295"/>
      <c r="I2" s="295"/>
    </row>
    <row r="3" spans="1:14" ht="30" x14ac:dyDescent="0.2">
      <c r="A3" s="295"/>
      <c r="B3" s="295"/>
      <c r="C3" s="295"/>
      <c r="D3" s="295"/>
      <c r="E3" s="295"/>
      <c r="F3" s="295"/>
      <c r="G3" s="295"/>
      <c r="H3" s="295"/>
      <c r="I3" s="295"/>
    </row>
    <row r="4" spans="1:14" x14ac:dyDescent="0.2">
      <c r="A4" s="3"/>
      <c r="B4" s="3"/>
      <c r="C4" s="3"/>
      <c r="D4" s="3"/>
      <c r="E4" s="3"/>
      <c r="F4" s="3"/>
      <c r="G4" s="3"/>
      <c r="H4" s="3"/>
      <c r="I4" s="3"/>
    </row>
    <row r="5" spans="1:14" ht="30" x14ac:dyDescent="0.2">
      <c r="A5" s="295" t="s">
        <v>51</v>
      </c>
      <c r="B5" s="295"/>
      <c r="C5" s="295"/>
      <c r="D5" s="295"/>
      <c r="E5" s="295"/>
      <c r="F5" s="295"/>
      <c r="G5" s="295"/>
      <c r="H5" s="295"/>
      <c r="I5" s="295"/>
    </row>
    <row r="6" spans="1:14" x14ac:dyDescent="0.2">
      <c r="A6" s="3"/>
      <c r="B6" s="3"/>
      <c r="C6" s="3"/>
      <c r="D6" s="3"/>
      <c r="E6" s="3"/>
      <c r="F6" s="3"/>
      <c r="G6" s="3"/>
      <c r="H6" s="3"/>
      <c r="I6" s="3"/>
    </row>
    <row r="7" spans="1:14" ht="27" thickBot="1" x14ac:dyDescent="0.25">
      <c r="A7" s="50"/>
      <c r="B7" s="51" t="s">
        <v>35</v>
      </c>
      <c r="C7" s="296" t="s">
        <v>82</v>
      </c>
      <c r="D7" s="296"/>
      <c r="E7" s="50"/>
      <c r="F7" s="51" t="s">
        <v>1</v>
      </c>
      <c r="G7" s="325" t="s">
        <v>54</v>
      </c>
      <c r="H7" s="325"/>
      <c r="I7" s="50"/>
    </row>
    <row r="8" spans="1:14" ht="26.25" x14ac:dyDescent="0.2">
      <c r="A8" s="50"/>
      <c r="B8" s="51"/>
      <c r="C8" s="53"/>
      <c r="D8" s="50"/>
      <c r="E8" s="50"/>
      <c r="F8" s="54"/>
      <c r="G8" s="50"/>
      <c r="H8" s="50"/>
      <c r="I8" s="50"/>
    </row>
    <row r="9" spans="1:14" ht="27" thickBot="1" x14ac:dyDescent="0.25">
      <c r="A9" s="50"/>
      <c r="B9" s="51" t="s">
        <v>42</v>
      </c>
      <c r="C9" s="52"/>
      <c r="D9" s="50"/>
      <c r="E9" s="50"/>
      <c r="F9" s="51" t="s">
        <v>2</v>
      </c>
      <c r="G9" s="297"/>
      <c r="H9" s="297"/>
      <c r="I9" s="50"/>
    </row>
    <row r="10" spans="1:14" ht="26.25" x14ac:dyDescent="0.2">
      <c r="A10" s="50"/>
      <c r="B10" s="54"/>
      <c r="C10" s="53"/>
      <c r="D10" s="50"/>
      <c r="E10" s="50"/>
      <c r="F10" s="51"/>
      <c r="G10" s="50"/>
      <c r="H10" s="50"/>
      <c r="I10" s="50"/>
    </row>
    <row r="11" spans="1:14" ht="27" thickBot="1" x14ac:dyDescent="0.25">
      <c r="A11" s="50"/>
      <c r="B11" s="51" t="s">
        <v>36</v>
      </c>
      <c r="C11" s="52" t="s">
        <v>85</v>
      </c>
      <c r="D11" s="50"/>
      <c r="E11" s="50"/>
      <c r="F11" s="51" t="s">
        <v>39</v>
      </c>
      <c r="G11" s="298"/>
      <c r="H11" s="298"/>
      <c r="I11" s="50"/>
    </row>
    <row r="12" spans="1:14" ht="26.25" thickBot="1" x14ac:dyDescent="0.25">
      <c r="A12" s="55"/>
      <c r="B12" s="55"/>
      <c r="C12" s="55"/>
      <c r="D12" s="55"/>
      <c r="E12" s="55"/>
      <c r="F12" s="55"/>
      <c r="G12" s="55"/>
      <c r="H12" s="55"/>
      <c r="I12" s="55"/>
    </row>
    <row r="13" spans="1:14" ht="25.5" x14ac:dyDescent="0.2">
      <c r="A13" s="253" t="s">
        <v>3</v>
      </c>
      <c r="B13" s="255" t="s">
        <v>43</v>
      </c>
      <c r="C13" s="255" t="s">
        <v>4</v>
      </c>
      <c r="D13" s="257" t="s">
        <v>5</v>
      </c>
      <c r="E13" s="258"/>
      <c r="F13" s="258"/>
      <c r="G13" s="258"/>
      <c r="H13" s="259"/>
      <c r="I13" s="260" t="s">
        <v>34</v>
      </c>
    </row>
    <row r="14" spans="1:14" ht="51.75" thickBot="1" x14ac:dyDescent="0.25">
      <c r="A14" s="254"/>
      <c r="B14" s="256"/>
      <c r="C14" s="256"/>
      <c r="D14" s="57" t="s">
        <v>6</v>
      </c>
      <c r="E14" s="58" t="s">
        <v>7</v>
      </c>
      <c r="F14" s="58" t="s">
        <v>8</v>
      </c>
      <c r="G14" s="59" t="s">
        <v>9</v>
      </c>
      <c r="H14" s="59" t="s">
        <v>33</v>
      </c>
      <c r="I14" s="261"/>
    </row>
    <row r="15" spans="1:14" ht="26.25" x14ac:dyDescent="0.2">
      <c r="A15" s="262" t="s">
        <v>41</v>
      </c>
      <c r="B15" s="264">
        <v>146</v>
      </c>
      <c r="C15" s="266" t="s">
        <v>29</v>
      </c>
      <c r="D15" s="268"/>
      <c r="E15" s="20"/>
      <c r="F15" s="21"/>
      <c r="G15" s="22"/>
      <c r="H15" s="35"/>
      <c r="I15" s="270"/>
      <c r="K15" s="48">
        <f>SUM(D15+(D45*10)+(D33*10)+D23+D35+(D37*10)+D49)</f>
        <v>0</v>
      </c>
      <c r="L15" s="49" t="s">
        <v>67</v>
      </c>
      <c r="M15" s="49">
        <v>2715</v>
      </c>
      <c r="N15" s="49" t="s">
        <v>68</v>
      </c>
    </row>
    <row r="16" spans="1:14" ht="27" thickBot="1" x14ac:dyDescent="0.25">
      <c r="A16" s="263"/>
      <c r="B16" s="265"/>
      <c r="C16" s="267"/>
      <c r="D16" s="269"/>
      <c r="E16" s="23"/>
      <c r="F16" s="24"/>
      <c r="G16" s="25"/>
      <c r="H16" s="25"/>
      <c r="I16" s="271"/>
      <c r="K16" s="48">
        <f>SUM((D45/3)*20+D21)</f>
        <v>0</v>
      </c>
      <c r="L16" s="49" t="s">
        <v>67</v>
      </c>
      <c r="M16" s="49">
        <v>2707</v>
      </c>
      <c r="N16" s="49" t="s">
        <v>69</v>
      </c>
    </row>
    <row r="17" spans="1:14" ht="26.25" x14ac:dyDescent="0.2">
      <c r="A17" s="272" t="s">
        <v>55</v>
      </c>
      <c r="B17" s="273">
        <v>148</v>
      </c>
      <c r="C17" s="274" t="s">
        <v>10</v>
      </c>
      <c r="D17" s="268"/>
      <c r="E17" s="26"/>
      <c r="F17" s="27"/>
      <c r="G17" s="28"/>
      <c r="H17" s="36"/>
      <c r="I17" s="275"/>
      <c r="K17" s="48">
        <f>SUM(D25)</f>
        <v>0</v>
      </c>
      <c r="L17" s="49" t="s">
        <v>67</v>
      </c>
      <c r="M17" s="49">
        <v>2699</v>
      </c>
      <c r="N17" s="49" t="s">
        <v>70</v>
      </c>
    </row>
    <row r="18" spans="1:14" ht="27" thickBot="1" x14ac:dyDescent="0.25">
      <c r="A18" s="263"/>
      <c r="B18" s="265"/>
      <c r="C18" s="267"/>
      <c r="D18" s="269"/>
      <c r="E18" s="23"/>
      <c r="F18" s="24"/>
      <c r="G18" s="25"/>
      <c r="H18" s="25"/>
      <c r="I18" s="271"/>
      <c r="K18" s="48">
        <f>SUM(D27+D41)</f>
        <v>0</v>
      </c>
      <c r="L18" s="49" t="s">
        <v>67</v>
      </c>
      <c r="M18" s="49">
        <v>2657</v>
      </c>
      <c r="N18" s="49" t="s">
        <v>71</v>
      </c>
    </row>
    <row r="19" spans="1:14" ht="24.95" customHeight="1" x14ac:dyDescent="0.2">
      <c r="A19" s="280" t="s">
        <v>80</v>
      </c>
      <c r="B19" s="282">
        <v>150</v>
      </c>
      <c r="C19" s="276" t="s">
        <v>81</v>
      </c>
      <c r="D19" s="268"/>
      <c r="E19" s="26"/>
      <c r="F19" s="27"/>
      <c r="G19" s="28"/>
      <c r="H19" s="36"/>
      <c r="I19" s="278"/>
      <c r="K19" s="48">
        <f>SUM(D29*10)</f>
        <v>0</v>
      </c>
      <c r="L19" s="49" t="s">
        <v>67</v>
      </c>
      <c r="M19" s="49">
        <v>59</v>
      </c>
      <c r="N19" s="49" t="s">
        <v>72</v>
      </c>
    </row>
    <row r="20" spans="1:14" ht="27" thickBot="1" x14ac:dyDescent="0.25">
      <c r="A20" s="281"/>
      <c r="B20" s="283"/>
      <c r="C20" s="277"/>
      <c r="D20" s="269"/>
      <c r="E20" s="23"/>
      <c r="F20" s="24"/>
      <c r="G20" s="25"/>
      <c r="H20" s="25"/>
      <c r="I20" s="279"/>
    </row>
    <row r="21" spans="1:14" ht="26.25" x14ac:dyDescent="0.2">
      <c r="A21" s="280" t="s">
        <v>53</v>
      </c>
      <c r="B21" s="282">
        <v>6135</v>
      </c>
      <c r="C21" s="276" t="s">
        <v>56</v>
      </c>
      <c r="D21" s="268"/>
      <c r="E21" s="26"/>
      <c r="F21" s="27"/>
      <c r="G21" s="28"/>
      <c r="H21" s="36"/>
      <c r="I21" s="278"/>
    </row>
    <row r="22" spans="1:14" ht="27" thickBot="1" x14ac:dyDescent="0.25">
      <c r="A22" s="281"/>
      <c r="B22" s="283"/>
      <c r="C22" s="277"/>
      <c r="D22" s="269"/>
      <c r="E22" s="23"/>
      <c r="F22" s="24"/>
      <c r="G22" s="25"/>
      <c r="H22" s="25"/>
      <c r="I22" s="279"/>
    </row>
    <row r="23" spans="1:14" ht="26.25" x14ac:dyDescent="0.2">
      <c r="A23" s="280" t="s">
        <v>16</v>
      </c>
      <c r="B23" s="282">
        <v>2526</v>
      </c>
      <c r="C23" s="276" t="s">
        <v>23</v>
      </c>
      <c r="D23" s="268"/>
      <c r="E23" s="26"/>
      <c r="F23" s="27"/>
      <c r="G23" s="36"/>
      <c r="H23" s="36"/>
      <c r="I23" s="284"/>
    </row>
    <row r="24" spans="1:14" ht="27" thickBot="1" x14ac:dyDescent="0.25">
      <c r="A24" s="281"/>
      <c r="B24" s="283"/>
      <c r="C24" s="277"/>
      <c r="D24" s="269"/>
      <c r="E24" s="23"/>
      <c r="F24" s="24"/>
      <c r="G24" s="25"/>
      <c r="H24" s="30"/>
      <c r="I24" s="285"/>
    </row>
    <row r="25" spans="1:14" ht="26.25" x14ac:dyDescent="0.2">
      <c r="A25" s="280" t="s">
        <v>63</v>
      </c>
      <c r="B25" s="282">
        <v>2527</v>
      </c>
      <c r="C25" s="276" t="s">
        <v>24</v>
      </c>
      <c r="D25" s="268"/>
      <c r="E25" s="26"/>
      <c r="F25" s="27"/>
      <c r="G25" s="28"/>
      <c r="H25" s="29"/>
      <c r="I25" s="286"/>
    </row>
    <row r="26" spans="1:14" ht="27" thickBot="1" x14ac:dyDescent="0.25">
      <c r="A26" s="281"/>
      <c r="B26" s="283"/>
      <c r="C26" s="277"/>
      <c r="D26" s="269"/>
      <c r="E26" s="23"/>
      <c r="F26" s="24"/>
      <c r="G26" s="25"/>
      <c r="H26" s="30"/>
      <c r="I26" s="287"/>
    </row>
    <row r="27" spans="1:14" ht="26.25" x14ac:dyDescent="0.2">
      <c r="A27" s="280" t="s">
        <v>14</v>
      </c>
      <c r="B27" s="282">
        <v>3800</v>
      </c>
      <c r="C27" s="276" t="s">
        <v>45</v>
      </c>
      <c r="D27" s="268"/>
      <c r="E27" s="26"/>
      <c r="F27" s="27"/>
      <c r="G27" s="28"/>
      <c r="H27" s="31"/>
      <c r="I27" s="284"/>
    </row>
    <row r="28" spans="1:14" ht="27" thickBot="1" x14ac:dyDescent="0.25">
      <c r="A28" s="281"/>
      <c r="B28" s="283"/>
      <c r="C28" s="277"/>
      <c r="D28" s="269"/>
      <c r="E28" s="23"/>
      <c r="F28" s="24"/>
      <c r="G28" s="25"/>
      <c r="H28" s="32"/>
      <c r="I28" s="285"/>
    </row>
    <row r="29" spans="1:14" ht="26.25" x14ac:dyDescent="0.2">
      <c r="A29" s="280" t="s">
        <v>15</v>
      </c>
      <c r="B29" s="282">
        <v>3801</v>
      </c>
      <c r="C29" s="276" t="s">
        <v>25</v>
      </c>
      <c r="D29" s="268"/>
      <c r="E29" s="26"/>
      <c r="F29" s="27"/>
      <c r="G29" s="28"/>
      <c r="H29" s="29"/>
      <c r="I29" s="284"/>
    </row>
    <row r="30" spans="1:14" ht="27" thickBot="1" x14ac:dyDescent="0.25">
      <c r="A30" s="281"/>
      <c r="B30" s="283"/>
      <c r="C30" s="277"/>
      <c r="D30" s="269"/>
      <c r="E30" s="23"/>
      <c r="F30" s="24"/>
      <c r="G30" s="25"/>
      <c r="H30" s="30"/>
      <c r="I30" s="285"/>
    </row>
    <row r="31" spans="1:14" ht="26.25" x14ac:dyDescent="0.2">
      <c r="A31" s="280" t="s">
        <v>17</v>
      </c>
      <c r="B31" s="282">
        <v>3802</v>
      </c>
      <c r="C31" s="276" t="s">
        <v>47</v>
      </c>
      <c r="D31" s="268"/>
      <c r="E31" s="26"/>
      <c r="F31" s="27"/>
      <c r="G31" s="28"/>
      <c r="H31" s="63"/>
      <c r="I31" s="284"/>
    </row>
    <row r="32" spans="1:14" ht="27" thickBot="1" x14ac:dyDescent="0.25">
      <c r="A32" s="281"/>
      <c r="B32" s="283"/>
      <c r="C32" s="277"/>
      <c r="D32" s="269"/>
      <c r="E32" s="23"/>
      <c r="F32" s="24"/>
      <c r="G32" s="25"/>
      <c r="H32" s="30"/>
      <c r="I32" s="285"/>
    </row>
    <row r="33" spans="1:9" ht="26.25" x14ac:dyDescent="0.2">
      <c r="A33" s="280" t="s">
        <v>18</v>
      </c>
      <c r="B33" s="282">
        <v>3805</v>
      </c>
      <c r="C33" s="276" t="s">
        <v>26</v>
      </c>
      <c r="D33" s="268"/>
      <c r="E33" s="26"/>
      <c r="F33" s="27"/>
      <c r="G33" s="28"/>
      <c r="H33" s="29"/>
      <c r="I33" s="284"/>
    </row>
    <row r="34" spans="1:9" ht="27" thickBot="1" x14ac:dyDescent="0.25">
      <c r="A34" s="281"/>
      <c r="B34" s="283"/>
      <c r="C34" s="277"/>
      <c r="D34" s="269"/>
      <c r="E34" s="23"/>
      <c r="F34" s="24"/>
      <c r="G34" s="25"/>
      <c r="H34" s="32"/>
      <c r="I34" s="285"/>
    </row>
    <row r="35" spans="1:9" ht="26.25" x14ac:dyDescent="0.2">
      <c r="A35" s="280" t="s">
        <v>57</v>
      </c>
      <c r="B35" s="282">
        <v>3808</v>
      </c>
      <c r="C35" s="276" t="s">
        <v>27</v>
      </c>
      <c r="D35" s="268"/>
      <c r="E35" s="26"/>
      <c r="F35" s="27"/>
      <c r="G35" s="28"/>
      <c r="H35" s="29"/>
      <c r="I35" s="284"/>
    </row>
    <row r="36" spans="1:9" ht="27" thickBot="1" x14ac:dyDescent="0.25">
      <c r="A36" s="281"/>
      <c r="B36" s="283"/>
      <c r="C36" s="277"/>
      <c r="D36" s="269"/>
      <c r="E36" s="23"/>
      <c r="F36" s="24"/>
      <c r="G36" s="25"/>
      <c r="H36" s="32"/>
      <c r="I36" s="285"/>
    </row>
    <row r="37" spans="1:9" ht="26.25" x14ac:dyDescent="0.2">
      <c r="A37" s="280" t="s">
        <v>21</v>
      </c>
      <c r="B37" s="282">
        <v>3810</v>
      </c>
      <c r="C37" s="276" t="s">
        <v>48</v>
      </c>
      <c r="D37" s="268"/>
      <c r="E37" s="26"/>
      <c r="F37" s="27"/>
      <c r="G37" s="28"/>
      <c r="H37" s="29"/>
      <c r="I37" s="288"/>
    </row>
    <row r="38" spans="1:9" ht="27" thickBot="1" x14ac:dyDescent="0.25">
      <c r="A38" s="281"/>
      <c r="B38" s="283"/>
      <c r="C38" s="277"/>
      <c r="D38" s="269"/>
      <c r="E38" s="23"/>
      <c r="F38" s="24"/>
      <c r="G38" s="25"/>
      <c r="H38" s="32"/>
      <c r="I38" s="289"/>
    </row>
    <row r="39" spans="1:9" ht="26.25" x14ac:dyDescent="0.2">
      <c r="A39" s="280" t="s">
        <v>64</v>
      </c>
      <c r="B39" s="282">
        <v>6056</v>
      </c>
      <c r="C39" s="276" t="s">
        <v>31</v>
      </c>
      <c r="D39" s="268"/>
      <c r="E39" s="33"/>
      <c r="F39" s="27"/>
      <c r="G39" s="28"/>
      <c r="H39" s="29"/>
      <c r="I39" s="288"/>
    </row>
    <row r="40" spans="1:9" ht="27" thickBot="1" x14ac:dyDescent="0.25">
      <c r="A40" s="281"/>
      <c r="B40" s="283"/>
      <c r="C40" s="277"/>
      <c r="D40" s="269"/>
      <c r="E40" s="34"/>
      <c r="F40" s="24"/>
      <c r="G40" s="25"/>
      <c r="H40" s="30"/>
      <c r="I40" s="289"/>
    </row>
    <row r="41" spans="1:9" ht="26.25" x14ac:dyDescent="0.2">
      <c r="A41" s="280" t="s">
        <v>19</v>
      </c>
      <c r="B41" s="282">
        <v>3820</v>
      </c>
      <c r="C41" s="276" t="s">
        <v>46</v>
      </c>
      <c r="D41" s="268"/>
      <c r="E41" s="26"/>
      <c r="F41" s="27"/>
      <c r="G41" s="28"/>
      <c r="H41" s="29"/>
      <c r="I41" s="288"/>
    </row>
    <row r="42" spans="1:9" ht="27" thickBot="1" x14ac:dyDescent="0.25">
      <c r="A42" s="290"/>
      <c r="B42" s="291"/>
      <c r="C42" s="292"/>
      <c r="D42" s="269"/>
      <c r="E42" s="23"/>
      <c r="F42" s="24"/>
      <c r="G42" s="25"/>
      <c r="H42" s="32"/>
      <c r="I42" s="289"/>
    </row>
    <row r="43" spans="1:9" ht="26.25" x14ac:dyDescent="0.2">
      <c r="A43" s="280" t="s">
        <v>20</v>
      </c>
      <c r="B43" s="282">
        <v>3821</v>
      </c>
      <c r="C43" s="276" t="s">
        <v>28</v>
      </c>
      <c r="D43" s="268"/>
      <c r="E43" s="26"/>
      <c r="F43" s="27"/>
      <c r="G43" s="28"/>
      <c r="H43" s="31"/>
      <c r="I43" s="288"/>
    </row>
    <row r="44" spans="1:9" ht="27" thickBot="1" x14ac:dyDescent="0.25">
      <c r="A44" s="281"/>
      <c r="B44" s="283"/>
      <c r="C44" s="277"/>
      <c r="D44" s="269"/>
      <c r="E44" s="23"/>
      <c r="F44" s="24"/>
      <c r="G44" s="25"/>
      <c r="H44" s="32"/>
      <c r="I44" s="289"/>
    </row>
    <row r="45" spans="1:9" ht="26.25" x14ac:dyDescent="0.2">
      <c r="A45" s="280" t="s">
        <v>58</v>
      </c>
      <c r="B45" s="282">
        <v>3822</v>
      </c>
      <c r="C45" s="276" t="s">
        <v>38</v>
      </c>
      <c r="D45" s="268"/>
      <c r="E45" s="26"/>
      <c r="F45" s="27"/>
      <c r="G45" s="28"/>
      <c r="H45" s="29"/>
      <c r="I45" s="284"/>
    </row>
    <row r="46" spans="1:9" ht="27" thickBot="1" x14ac:dyDescent="0.25">
      <c r="A46" s="281"/>
      <c r="B46" s="283"/>
      <c r="C46" s="277"/>
      <c r="D46" s="269"/>
      <c r="E46" s="23"/>
      <c r="F46" s="24"/>
      <c r="G46" s="25"/>
      <c r="H46" s="32"/>
      <c r="I46" s="285"/>
    </row>
    <row r="47" spans="1:9" ht="26.25" customHeight="1" x14ac:dyDescent="0.2">
      <c r="A47" s="280" t="s">
        <v>32</v>
      </c>
      <c r="B47" s="282">
        <v>3832</v>
      </c>
      <c r="C47" s="276" t="s">
        <v>37</v>
      </c>
      <c r="D47" s="268"/>
      <c r="E47" s="27"/>
      <c r="F47" s="27"/>
      <c r="G47" s="28"/>
      <c r="H47" s="31"/>
      <c r="I47" s="288"/>
    </row>
    <row r="48" spans="1:9" ht="27" thickBot="1" x14ac:dyDescent="0.25">
      <c r="A48" s="281"/>
      <c r="B48" s="283"/>
      <c r="C48" s="277"/>
      <c r="D48" s="269"/>
      <c r="E48" s="24"/>
      <c r="F48" s="24"/>
      <c r="G48" s="25"/>
      <c r="H48" s="32"/>
      <c r="I48" s="289"/>
    </row>
    <row r="49" spans="1:9" ht="26.25" x14ac:dyDescent="0.2">
      <c r="A49" s="280" t="s">
        <v>59</v>
      </c>
      <c r="B49" s="282">
        <v>4173</v>
      </c>
      <c r="C49" s="276" t="s">
        <v>12</v>
      </c>
      <c r="D49" s="268"/>
      <c r="E49" s="27"/>
      <c r="F49" s="27"/>
      <c r="G49" s="28"/>
      <c r="H49" s="31"/>
      <c r="I49" s="284"/>
    </row>
    <row r="50" spans="1:9" ht="27" thickBot="1" x14ac:dyDescent="0.25">
      <c r="A50" s="281"/>
      <c r="B50" s="283"/>
      <c r="C50" s="277"/>
      <c r="D50" s="269"/>
      <c r="E50" s="24"/>
      <c r="F50" s="24"/>
      <c r="G50" s="25"/>
      <c r="H50" s="32"/>
      <c r="I50" s="285"/>
    </row>
    <row r="51" spans="1:9" ht="26.25" x14ac:dyDescent="0.2">
      <c r="A51" s="280" t="s">
        <v>22</v>
      </c>
      <c r="B51" s="293">
        <v>2</v>
      </c>
      <c r="C51" s="276" t="s">
        <v>30</v>
      </c>
      <c r="D51" s="268"/>
      <c r="E51" s="27"/>
      <c r="F51" s="27"/>
      <c r="G51" s="31"/>
      <c r="H51" s="31"/>
      <c r="I51" s="288"/>
    </row>
    <row r="52" spans="1:9" ht="27" thickBot="1" x14ac:dyDescent="0.25">
      <c r="A52" s="281"/>
      <c r="B52" s="294"/>
      <c r="C52" s="277"/>
      <c r="D52" s="269"/>
      <c r="E52" s="24"/>
      <c r="F52" s="24"/>
      <c r="G52" s="32"/>
      <c r="H52" s="32"/>
      <c r="I52" s="289"/>
    </row>
    <row r="53" spans="1:9" ht="27" x14ac:dyDescent="0.2">
      <c r="A53" s="311" t="s">
        <v>13</v>
      </c>
      <c r="B53" s="311"/>
      <c r="C53" s="311"/>
      <c r="D53" s="311"/>
      <c r="E53" s="311"/>
      <c r="F53" s="311"/>
      <c r="G53" s="311"/>
      <c r="H53" s="311"/>
      <c r="I53" s="311"/>
    </row>
    <row r="54" spans="1:9" ht="18.75" x14ac:dyDescent="0.2">
      <c r="A54" s="11"/>
      <c r="B54" s="312"/>
      <c r="C54" s="312"/>
      <c r="D54" s="312"/>
      <c r="E54" s="312"/>
      <c r="F54" s="312"/>
      <c r="G54" s="312"/>
      <c r="H54" s="312"/>
      <c r="I54" s="12"/>
    </row>
    <row r="55" spans="1:9" ht="18.75" x14ac:dyDescent="0.2">
      <c r="A55" s="11"/>
      <c r="B55" s="13"/>
      <c r="C55" s="13"/>
      <c r="D55" s="13"/>
      <c r="E55" s="13"/>
      <c r="F55" s="13"/>
      <c r="G55" s="13"/>
      <c r="H55" s="13"/>
      <c r="I55" s="11"/>
    </row>
    <row r="56" spans="1:9" ht="18.75" x14ac:dyDescent="0.2">
      <c r="A56" s="11"/>
      <c r="B56" s="13"/>
      <c r="C56" s="13"/>
      <c r="D56" s="13"/>
      <c r="E56" s="13"/>
      <c r="F56" s="13"/>
      <c r="G56" s="13"/>
      <c r="H56" s="13"/>
      <c r="I56" s="11"/>
    </row>
    <row r="57" spans="1:9" ht="18.75" x14ac:dyDescent="0.2">
      <c r="A57" s="11"/>
      <c r="B57" s="13"/>
      <c r="C57" s="13"/>
      <c r="D57" s="13"/>
      <c r="E57" s="13"/>
      <c r="F57" s="13"/>
      <c r="G57" s="13"/>
      <c r="H57" s="13"/>
      <c r="I57" s="11"/>
    </row>
    <row r="58" spans="1:9" ht="18.75" x14ac:dyDescent="0.2">
      <c r="A58" s="14"/>
      <c r="B58" s="15"/>
      <c r="C58" s="16"/>
      <c r="D58" s="15"/>
      <c r="E58" s="15"/>
      <c r="F58" s="15"/>
      <c r="G58" s="16"/>
      <c r="H58" s="16"/>
      <c r="I58" s="16"/>
    </row>
    <row r="59" spans="1:9" ht="18.75" x14ac:dyDescent="0.2">
      <c r="A59" s="14"/>
      <c r="B59" s="313"/>
      <c r="C59" s="313"/>
      <c r="D59" s="17"/>
      <c r="E59" s="7"/>
      <c r="F59" s="16"/>
      <c r="G59" s="16"/>
      <c r="H59" s="4"/>
      <c r="I59" s="7"/>
    </row>
    <row r="60" spans="1:9" ht="20.25" x14ac:dyDescent="0.2">
      <c r="A60" s="42"/>
      <c r="B60" s="42"/>
      <c r="C60" s="43"/>
      <c r="D60" s="44"/>
      <c r="E60" s="43"/>
      <c r="F60" s="45"/>
      <c r="G60" s="45"/>
      <c r="H60" s="43"/>
      <c r="I60" s="43"/>
    </row>
    <row r="61" spans="1:9" ht="20.25" x14ac:dyDescent="0.2">
      <c r="A61" s="314" t="s">
        <v>73</v>
      </c>
      <c r="B61" s="314"/>
      <c r="C61" s="314"/>
      <c r="D61" s="46"/>
      <c r="E61" s="43"/>
      <c r="F61" s="315" t="s">
        <v>74</v>
      </c>
      <c r="G61" s="315"/>
      <c r="H61" s="315"/>
      <c r="I61" s="315"/>
    </row>
    <row r="62" spans="1:9" ht="20.25" x14ac:dyDescent="0.2">
      <c r="A62" s="310" t="s">
        <v>65</v>
      </c>
      <c r="B62" s="310"/>
      <c r="C62" s="310"/>
      <c r="D62" s="42"/>
      <c r="E62" s="43"/>
      <c r="F62" s="310" t="s">
        <v>44</v>
      </c>
      <c r="G62" s="310"/>
      <c r="H62" s="310"/>
      <c r="I62" s="310"/>
    </row>
    <row r="63" spans="1:9" ht="20.25" x14ac:dyDescent="0.2">
      <c r="A63" s="45"/>
      <c r="B63" s="45"/>
      <c r="C63" s="43"/>
      <c r="D63" s="45"/>
      <c r="E63" s="45"/>
      <c r="F63" s="43"/>
      <c r="G63" s="43"/>
      <c r="H63" s="43"/>
      <c r="I63" s="43"/>
    </row>
    <row r="64" spans="1:9" ht="20.25" x14ac:dyDescent="0.2">
      <c r="A64" s="45"/>
      <c r="B64" s="45"/>
      <c r="C64" s="43"/>
      <c r="D64" s="45"/>
      <c r="E64" s="45"/>
      <c r="F64" s="43"/>
      <c r="G64" s="43"/>
      <c r="H64" s="43"/>
      <c r="I64" s="43"/>
    </row>
    <row r="65" spans="1:9" ht="20.25" x14ac:dyDescent="0.2">
      <c r="A65" s="42"/>
      <c r="B65" s="42"/>
      <c r="C65" s="43"/>
      <c r="D65" s="42"/>
      <c r="E65" s="45"/>
      <c r="F65" s="43"/>
      <c r="G65" s="43"/>
      <c r="H65" s="43"/>
      <c r="I65" s="43"/>
    </row>
    <row r="66" spans="1:9" ht="20.25" x14ac:dyDescent="0.2">
      <c r="A66" s="42"/>
      <c r="B66" s="42" t="s">
        <v>75</v>
      </c>
      <c r="C66" s="43"/>
      <c r="D66" s="45"/>
      <c r="E66" s="47"/>
      <c r="F66" s="43"/>
      <c r="G66" s="43"/>
      <c r="H66" s="43"/>
      <c r="I66" s="46"/>
    </row>
    <row r="67" spans="1:9" ht="20.25" x14ac:dyDescent="0.2">
      <c r="A67" s="316" t="s">
        <v>66</v>
      </c>
      <c r="B67" s="316"/>
      <c r="C67" s="316"/>
      <c r="D67" s="46"/>
      <c r="E67" s="43"/>
      <c r="F67" s="314" t="s">
        <v>52</v>
      </c>
      <c r="G67" s="314"/>
      <c r="H67" s="314"/>
      <c r="I67" s="314"/>
    </row>
    <row r="68" spans="1:9" ht="20.25" x14ac:dyDescent="0.2">
      <c r="A68" s="310"/>
      <c r="B68" s="310"/>
      <c r="C68" s="310"/>
      <c r="D68" s="1"/>
      <c r="E68" s="2"/>
      <c r="F68" s="2"/>
      <c r="G68" s="2"/>
      <c r="H68" s="2"/>
      <c r="I68" s="4"/>
    </row>
    <row r="69" spans="1:9" x14ac:dyDescent="0.2">
      <c r="A69" s="4"/>
      <c r="B69" s="4"/>
      <c r="C69" s="4"/>
      <c r="D69" s="4"/>
      <c r="E69" s="2"/>
      <c r="F69" s="2"/>
      <c r="G69" s="2"/>
      <c r="H69" s="2"/>
      <c r="I69" s="4"/>
    </row>
    <row r="70" spans="1:9" x14ac:dyDescent="0.2">
      <c r="A70" s="4"/>
      <c r="B70" s="4"/>
      <c r="C70" s="4"/>
      <c r="D70" s="4"/>
      <c r="E70" s="2"/>
      <c r="F70" s="2"/>
      <c r="G70" s="2"/>
      <c r="H70" s="2"/>
      <c r="I70" s="4"/>
    </row>
    <row r="71" spans="1:9" x14ac:dyDescent="0.2">
      <c r="A71" s="4"/>
      <c r="B71" s="4"/>
      <c r="C71" s="4"/>
      <c r="D71" s="4"/>
      <c r="E71" s="2"/>
      <c r="F71" s="2"/>
      <c r="G71" s="2"/>
      <c r="H71" s="2"/>
      <c r="I71" s="4"/>
    </row>
    <row r="72" spans="1:9" x14ac:dyDescent="0.2">
      <c r="A72" s="4"/>
      <c r="B72" s="4"/>
      <c r="C72" s="4"/>
      <c r="D72" s="4"/>
      <c r="E72" s="4"/>
      <c r="F72" s="5"/>
      <c r="G72" s="4"/>
      <c r="H72" s="4"/>
      <c r="I72" s="4"/>
    </row>
    <row r="73" spans="1:9" x14ac:dyDescent="0.2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">
      <c r="A75" s="4"/>
      <c r="B75" s="4"/>
      <c r="C75" s="4"/>
      <c r="D75" s="4"/>
      <c r="E75" s="4"/>
      <c r="F75" s="4"/>
      <c r="G75" s="4"/>
      <c r="H75" s="4"/>
      <c r="I75" s="4"/>
    </row>
  </sheetData>
  <mergeCells count="118">
    <mergeCell ref="A68:C68"/>
    <mergeCell ref="A61:C61"/>
    <mergeCell ref="F61:I61"/>
    <mergeCell ref="A62:C62"/>
    <mergeCell ref="F62:I62"/>
    <mergeCell ref="A67:C67"/>
    <mergeCell ref="F67:I67"/>
    <mergeCell ref="A53:I53"/>
    <mergeCell ref="B54:H54"/>
    <mergeCell ref="B59:C59"/>
    <mergeCell ref="A49:A50"/>
    <mergeCell ref="B49:B50"/>
    <mergeCell ref="C49:C50"/>
    <mergeCell ref="D49:D50"/>
    <mergeCell ref="I49:I50"/>
    <mergeCell ref="A51:A52"/>
    <mergeCell ref="B51:B52"/>
    <mergeCell ref="C51:C52"/>
    <mergeCell ref="D51:D52"/>
    <mergeCell ref="I51:I52"/>
    <mergeCell ref="A45:A46"/>
    <mergeCell ref="B45:B46"/>
    <mergeCell ref="C45:C46"/>
    <mergeCell ref="D45:D46"/>
    <mergeCell ref="I45:I46"/>
    <mergeCell ref="A47:A48"/>
    <mergeCell ref="B47:B48"/>
    <mergeCell ref="C47:C48"/>
    <mergeCell ref="D47:D48"/>
    <mergeCell ref="I47:I48"/>
    <mergeCell ref="A41:A42"/>
    <mergeCell ref="B41:B42"/>
    <mergeCell ref="C41:C42"/>
    <mergeCell ref="D41:D42"/>
    <mergeCell ref="I41:I42"/>
    <mergeCell ref="A43:A44"/>
    <mergeCell ref="B43:B44"/>
    <mergeCell ref="C43:C44"/>
    <mergeCell ref="D43:D44"/>
    <mergeCell ref="I43:I44"/>
    <mergeCell ref="A37:A38"/>
    <mergeCell ref="B37:B38"/>
    <mergeCell ref="C37:C38"/>
    <mergeCell ref="D37:D38"/>
    <mergeCell ref="I37:I38"/>
    <mergeCell ref="A39:A40"/>
    <mergeCell ref="B39:B40"/>
    <mergeCell ref="C39:C40"/>
    <mergeCell ref="D39:D40"/>
    <mergeCell ref="I39:I40"/>
    <mergeCell ref="A33:A34"/>
    <mergeCell ref="B33:B34"/>
    <mergeCell ref="C33:C34"/>
    <mergeCell ref="D33:D34"/>
    <mergeCell ref="I33:I34"/>
    <mergeCell ref="A35:A36"/>
    <mergeCell ref="B35:B36"/>
    <mergeCell ref="C35:C36"/>
    <mergeCell ref="D35:D36"/>
    <mergeCell ref="I35:I36"/>
    <mergeCell ref="A29:A30"/>
    <mergeCell ref="B29:B30"/>
    <mergeCell ref="C29:C30"/>
    <mergeCell ref="D29:D30"/>
    <mergeCell ref="I29:I30"/>
    <mergeCell ref="A31:A32"/>
    <mergeCell ref="B31:B32"/>
    <mergeCell ref="C31:C32"/>
    <mergeCell ref="D31:D32"/>
    <mergeCell ref="I31:I32"/>
    <mergeCell ref="A25:A26"/>
    <mergeCell ref="B25:B26"/>
    <mergeCell ref="C25:C26"/>
    <mergeCell ref="D25:D26"/>
    <mergeCell ref="I25:I26"/>
    <mergeCell ref="A27:A28"/>
    <mergeCell ref="B27:B28"/>
    <mergeCell ref="C27:C28"/>
    <mergeCell ref="D27:D28"/>
    <mergeCell ref="I27:I28"/>
    <mergeCell ref="A21:A22"/>
    <mergeCell ref="B21:B22"/>
    <mergeCell ref="C21:C22"/>
    <mergeCell ref="D21:D22"/>
    <mergeCell ref="I21:I22"/>
    <mergeCell ref="A23:A24"/>
    <mergeCell ref="B23:B24"/>
    <mergeCell ref="C23:C24"/>
    <mergeCell ref="D23:D24"/>
    <mergeCell ref="I23:I24"/>
    <mergeCell ref="A17:A18"/>
    <mergeCell ref="B17:B18"/>
    <mergeCell ref="C17:C18"/>
    <mergeCell ref="D17:D18"/>
    <mergeCell ref="I17:I18"/>
    <mergeCell ref="C19:C20"/>
    <mergeCell ref="D19:D20"/>
    <mergeCell ref="I19:I20"/>
    <mergeCell ref="I13:I14"/>
    <mergeCell ref="A15:A16"/>
    <mergeCell ref="B15:B16"/>
    <mergeCell ref="C15:C16"/>
    <mergeCell ref="D15:D16"/>
    <mergeCell ref="I15:I16"/>
    <mergeCell ref="A19:A20"/>
    <mergeCell ref="B19:B20"/>
    <mergeCell ref="A1:I1"/>
    <mergeCell ref="A2:I2"/>
    <mergeCell ref="A3:I3"/>
    <mergeCell ref="A5:I5"/>
    <mergeCell ref="C7:D7"/>
    <mergeCell ref="G7:H7"/>
    <mergeCell ref="G9:H9"/>
    <mergeCell ref="G11:H11"/>
    <mergeCell ref="A13:A14"/>
    <mergeCell ref="B13:B14"/>
    <mergeCell ref="C13:C14"/>
    <mergeCell ref="D13:H13"/>
  </mergeCells>
  <printOptions horizontalCentered="1" verticalCentered="1"/>
  <pageMargins left="0" right="0" top="0.54" bottom="0" header="0" footer="0"/>
  <pageSetup paperSize="9" scale="3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B531-723B-4FF1-B019-DC24AF81D51E}">
  <sheetPr>
    <tabColor theme="6" tint="-0.249977111117893"/>
    <pageSetUpPr fitToPage="1"/>
  </sheetPr>
  <dimension ref="A1:P85"/>
  <sheetViews>
    <sheetView zoomScale="50" zoomScaleNormal="50" workbookViewId="0">
      <selection activeCell="H11" sqref="H11"/>
    </sheetView>
  </sheetViews>
  <sheetFormatPr baseColWidth="10" defaultRowHeight="12.75" x14ac:dyDescent="0.2"/>
  <cols>
    <col min="1" max="1" width="45.28515625" customWidth="1"/>
    <col min="2" max="2" width="22" customWidth="1"/>
    <col min="3" max="3" width="64.28515625" customWidth="1"/>
    <col min="4" max="4" width="30.28515625" customWidth="1"/>
    <col min="5" max="5" width="30.85546875" customWidth="1"/>
    <col min="6" max="6" width="24.85546875" customWidth="1"/>
    <col min="7" max="7" width="25.85546875" customWidth="1"/>
    <col min="8" max="8" width="19.7109375" customWidth="1"/>
    <col min="9" max="9" width="37.28515625" customWidth="1"/>
    <col min="10" max="10" width="22" customWidth="1"/>
    <col min="11" max="11" width="41.85546875" customWidth="1"/>
    <col min="14" max="14" width="21.42578125" customWidth="1"/>
    <col min="16" max="16" width="25.7109375" customWidth="1"/>
  </cols>
  <sheetData>
    <row r="1" spans="1:16" s="69" customFormat="1" ht="30" x14ac:dyDescent="0.2">
      <c r="A1" s="295" t="s">
        <v>49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68"/>
    </row>
    <row r="2" spans="1:16" s="69" customFormat="1" ht="30" x14ac:dyDescent="0.2">
      <c r="A2" s="295" t="s">
        <v>50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70"/>
    </row>
    <row r="3" spans="1:16" s="69" customFormat="1" ht="30" customHeight="1" x14ac:dyDescent="0.2">
      <c r="A3" s="295" t="s">
        <v>90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70"/>
    </row>
    <row r="4" spans="1:16" s="69" customFormat="1" ht="30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70"/>
    </row>
    <row r="5" spans="1:16" s="69" customFormat="1" ht="30" customHeight="1" x14ac:dyDescent="0.2">
      <c r="A5" s="295" t="s">
        <v>91</v>
      </c>
      <c r="B5" s="295"/>
      <c r="C5" s="295"/>
      <c r="D5" s="295"/>
      <c r="E5" s="295"/>
      <c r="F5" s="295"/>
      <c r="G5" s="295"/>
      <c r="H5" s="295"/>
      <c r="I5" s="295"/>
      <c r="J5" s="295"/>
      <c r="K5" s="295"/>
    </row>
    <row r="6" spans="1:16" s="69" customFormat="1" ht="30" customHeight="1" x14ac:dyDescent="0.2">
      <c r="A6" s="67"/>
      <c r="B6" s="67"/>
      <c r="C6" s="67"/>
      <c r="D6" s="67"/>
      <c r="E6" s="71"/>
      <c r="F6" s="67"/>
      <c r="G6" s="67"/>
      <c r="H6" s="67"/>
      <c r="I6" s="67"/>
      <c r="J6" s="67"/>
      <c r="K6" s="71"/>
    </row>
    <row r="7" spans="1:16" s="76" customFormat="1" ht="39.950000000000003" customHeight="1" x14ac:dyDescent="0.4">
      <c r="A7" s="72" t="s">
        <v>92</v>
      </c>
      <c r="B7" s="340" t="s">
        <v>93</v>
      </c>
      <c r="C7" s="340"/>
      <c r="D7" s="340"/>
      <c r="E7" s="73"/>
      <c r="F7" s="74"/>
      <c r="G7" s="72" t="s">
        <v>1</v>
      </c>
      <c r="H7" s="340" t="s">
        <v>94</v>
      </c>
      <c r="I7" s="340"/>
      <c r="J7" s="340"/>
      <c r="K7" s="75"/>
    </row>
    <row r="8" spans="1:16" s="76" customFormat="1" ht="39.950000000000003" customHeight="1" x14ac:dyDescent="0.4">
      <c r="A8" s="72" t="s">
        <v>95</v>
      </c>
      <c r="B8" s="352" t="s">
        <v>96</v>
      </c>
      <c r="C8" s="352"/>
      <c r="D8" s="352"/>
      <c r="E8" s="77"/>
      <c r="F8" s="74"/>
      <c r="G8" s="72" t="s">
        <v>97</v>
      </c>
      <c r="H8" s="353"/>
      <c r="I8" s="353"/>
      <c r="J8" s="353"/>
      <c r="K8" s="75"/>
    </row>
    <row r="9" spans="1:16" s="76" customFormat="1" ht="39.950000000000003" customHeight="1" x14ac:dyDescent="0.4">
      <c r="A9" s="72" t="s">
        <v>98</v>
      </c>
      <c r="B9" s="340" t="s">
        <v>121</v>
      </c>
      <c r="C9" s="340"/>
      <c r="D9" s="340"/>
      <c r="E9" s="73"/>
      <c r="F9" s="74"/>
      <c r="G9" s="72" t="s">
        <v>39</v>
      </c>
      <c r="H9" s="354"/>
      <c r="I9" s="354"/>
      <c r="J9" s="354"/>
      <c r="K9" s="75"/>
    </row>
    <row r="10" spans="1:16" s="76" customFormat="1" ht="39.950000000000003" customHeight="1" x14ac:dyDescent="0.4">
      <c r="A10" s="72" t="s">
        <v>95</v>
      </c>
      <c r="B10" s="355" t="s">
        <v>122</v>
      </c>
      <c r="C10" s="355"/>
      <c r="D10" s="355"/>
      <c r="E10" s="77"/>
      <c r="F10" s="74"/>
      <c r="G10" s="72" t="s">
        <v>36</v>
      </c>
      <c r="H10" s="354" t="e">
        <f>#REF!</f>
        <v>#REF!</v>
      </c>
      <c r="I10" s="354"/>
      <c r="J10" s="354"/>
      <c r="K10" s="75"/>
    </row>
    <row r="11" spans="1:16" s="66" customFormat="1" ht="12.75" customHeight="1" x14ac:dyDescent="0.2"/>
    <row r="12" spans="1:16" ht="26.25" thickBot="1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</row>
    <row r="13" spans="1:16" ht="25.5" customHeight="1" x14ac:dyDescent="0.2">
      <c r="A13" s="341" t="s">
        <v>3</v>
      </c>
      <c r="B13" s="343" t="s">
        <v>43</v>
      </c>
      <c r="C13" s="345" t="s">
        <v>4</v>
      </c>
      <c r="D13" s="343" t="s">
        <v>106</v>
      </c>
      <c r="E13" s="105" t="s">
        <v>107</v>
      </c>
      <c r="F13" s="347" t="s">
        <v>5</v>
      </c>
      <c r="G13" s="348"/>
      <c r="H13" s="348"/>
      <c r="I13" s="348"/>
      <c r="J13" s="349"/>
      <c r="K13" s="350" t="s">
        <v>34</v>
      </c>
    </row>
    <row r="14" spans="1:16" ht="21" thickBot="1" x14ac:dyDescent="0.25">
      <c r="A14" s="342"/>
      <c r="B14" s="344"/>
      <c r="C14" s="346"/>
      <c r="D14" s="344"/>
      <c r="E14" s="106" t="s">
        <v>108</v>
      </c>
      <c r="F14" s="107" t="s">
        <v>6</v>
      </c>
      <c r="G14" s="107" t="s">
        <v>7</v>
      </c>
      <c r="H14" s="107" t="s">
        <v>8</v>
      </c>
      <c r="I14" s="65" t="s">
        <v>9</v>
      </c>
      <c r="J14" s="65" t="s">
        <v>33</v>
      </c>
      <c r="K14" s="351"/>
    </row>
    <row r="15" spans="1:16" ht="26.25" x14ac:dyDescent="0.2">
      <c r="A15" s="262" t="s">
        <v>41</v>
      </c>
      <c r="B15" s="264">
        <v>146</v>
      </c>
      <c r="C15" s="266" t="s">
        <v>29</v>
      </c>
      <c r="D15" s="332" t="s">
        <v>109</v>
      </c>
      <c r="E15" s="336" t="s">
        <v>110</v>
      </c>
      <c r="F15" s="268"/>
      <c r="G15" s="20"/>
      <c r="H15" s="21"/>
      <c r="I15" s="22"/>
      <c r="J15" s="35"/>
      <c r="K15" s="270"/>
      <c r="M15" s="48">
        <f>SUM(F15+(F45*10)+(F33*10)+F23+F35+(F37*10)+F49)</f>
        <v>0</v>
      </c>
      <c r="N15" s="49" t="s">
        <v>67</v>
      </c>
      <c r="O15" s="49">
        <v>2715</v>
      </c>
      <c r="P15" s="49" t="s">
        <v>68</v>
      </c>
    </row>
    <row r="16" spans="1:16" ht="27" thickBot="1" x14ac:dyDescent="0.25">
      <c r="A16" s="263"/>
      <c r="B16" s="265"/>
      <c r="C16" s="267"/>
      <c r="D16" s="333"/>
      <c r="E16" s="337"/>
      <c r="F16" s="269"/>
      <c r="G16" s="23"/>
      <c r="H16" s="24"/>
      <c r="I16" s="25"/>
      <c r="J16" s="25"/>
      <c r="K16" s="271"/>
      <c r="M16" s="48">
        <f>SUM((F45/3)*20+F21)</f>
        <v>0</v>
      </c>
      <c r="N16" s="49" t="s">
        <v>67</v>
      </c>
      <c r="O16" s="49">
        <v>2707</v>
      </c>
      <c r="P16" s="49" t="s">
        <v>69</v>
      </c>
    </row>
    <row r="17" spans="1:16" ht="26.25" x14ac:dyDescent="0.2">
      <c r="A17" s="272" t="s">
        <v>55</v>
      </c>
      <c r="B17" s="273">
        <v>148</v>
      </c>
      <c r="C17" s="274" t="s">
        <v>10</v>
      </c>
      <c r="D17" s="332" t="s">
        <v>109</v>
      </c>
      <c r="E17" s="336" t="s">
        <v>111</v>
      </c>
      <c r="F17" s="268"/>
      <c r="G17" s="26"/>
      <c r="H17" s="27"/>
      <c r="I17" s="28"/>
      <c r="J17" s="36"/>
      <c r="K17" s="275"/>
      <c r="M17" s="48">
        <f>SUM(F25)</f>
        <v>0</v>
      </c>
      <c r="N17" s="49" t="s">
        <v>67</v>
      </c>
      <c r="O17" s="49">
        <v>2699</v>
      </c>
      <c r="P17" s="49" t="s">
        <v>70</v>
      </c>
    </row>
    <row r="18" spans="1:16" ht="27" thickBot="1" x14ac:dyDescent="0.25">
      <c r="A18" s="263"/>
      <c r="B18" s="265"/>
      <c r="C18" s="267"/>
      <c r="D18" s="333"/>
      <c r="E18" s="337"/>
      <c r="F18" s="269"/>
      <c r="G18" s="23"/>
      <c r="H18" s="24"/>
      <c r="I18" s="25"/>
      <c r="J18" s="25"/>
      <c r="K18" s="271"/>
      <c r="M18" s="48">
        <f>SUM(F27+F41)</f>
        <v>0</v>
      </c>
      <c r="N18" s="49" t="s">
        <v>67</v>
      </c>
      <c r="O18" s="49">
        <v>2657</v>
      </c>
      <c r="P18" s="49" t="s">
        <v>71</v>
      </c>
    </row>
    <row r="19" spans="1:16" ht="26.25" customHeight="1" x14ac:dyDescent="0.2">
      <c r="A19" s="280" t="s">
        <v>80</v>
      </c>
      <c r="B19" s="282">
        <v>150</v>
      </c>
      <c r="C19" s="276" t="s">
        <v>81</v>
      </c>
      <c r="D19" s="332" t="s">
        <v>109</v>
      </c>
      <c r="E19" s="336" t="s">
        <v>111</v>
      </c>
      <c r="F19" s="268"/>
      <c r="G19" s="26"/>
      <c r="H19" s="27"/>
      <c r="I19" s="28"/>
      <c r="J19" s="36"/>
      <c r="K19" s="278"/>
      <c r="M19" s="48">
        <f>SUM(F29*10)</f>
        <v>0</v>
      </c>
      <c r="N19" s="49" t="s">
        <v>67</v>
      </c>
      <c r="O19" s="49">
        <v>59</v>
      </c>
      <c r="P19" s="49" t="s">
        <v>72</v>
      </c>
    </row>
    <row r="20" spans="1:16" ht="27" thickBot="1" x14ac:dyDescent="0.25">
      <c r="A20" s="281"/>
      <c r="B20" s="283"/>
      <c r="C20" s="277"/>
      <c r="D20" s="333"/>
      <c r="E20" s="337"/>
      <c r="F20" s="269"/>
      <c r="G20" s="23"/>
      <c r="H20" s="24"/>
      <c r="I20" s="25"/>
      <c r="J20" s="25"/>
      <c r="K20" s="279"/>
    </row>
    <row r="21" spans="1:16" ht="26.25" x14ac:dyDescent="0.2">
      <c r="A21" s="280" t="s">
        <v>53</v>
      </c>
      <c r="B21" s="282">
        <v>6135</v>
      </c>
      <c r="C21" s="276" t="s">
        <v>56</v>
      </c>
      <c r="D21" s="332" t="s">
        <v>109</v>
      </c>
      <c r="E21" s="336" t="s">
        <v>110</v>
      </c>
      <c r="F21" s="268"/>
      <c r="G21" s="26"/>
      <c r="H21" s="27"/>
      <c r="I21" s="28"/>
      <c r="J21" s="36"/>
      <c r="K21" s="278"/>
    </row>
    <row r="22" spans="1:16" ht="27" thickBot="1" x14ac:dyDescent="0.25">
      <c r="A22" s="281"/>
      <c r="B22" s="283"/>
      <c r="C22" s="277"/>
      <c r="D22" s="333"/>
      <c r="E22" s="337"/>
      <c r="F22" s="269"/>
      <c r="G22" s="23"/>
      <c r="H22" s="24"/>
      <c r="I22" s="25"/>
      <c r="J22" s="25"/>
      <c r="K22" s="279"/>
    </row>
    <row r="23" spans="1:16" ht="26.25" x14ac:dyDescent="0.2">
      <c r="A23" s="280" t="s">
        <v>16</v>
      </c>
      <c r="B23" s="282">
        <v>2526</v>
      </c>
      <c r="C23" s="276" t="s">
        <v>23</v>
      </c>
      <c r="D23" s="332" t="s">
        <v>112</v>
      </c>
      <c r="E23" s="336" t="s">
        <v>110</v>
      </c>
      <c r="F23" s="268"/>
      <c r="G23" s="26"/>
      <c r="H23" s="27"/>
      <c r="I23" s="28"/>
      <c r="J23" s="29"/>
      <c r="K23" s="284"/>
    </row>
    <row r="24" spans="1:16" ht="27" thickBot="1" x14ac:dyDescent="0.25">
      <c r="A24" s="281"/>
      <c r="B24" s="283"/>
      <c r="C24" s="277"/>
      <c r="D24" s="333"/>
      <c r="E24" s="337"/>
      <c r="F24" s="269"/>
      <c r="G24" s="23"/>
      <c r="H24" s="24"/>
      <c r="I24" s="25"/>
      <c r="J24" s="30"/>
      <c r="K24" s="285"/>
    </row>
    <row r="25" spans="1:16" ht="26.25" x14ac:dyDescent="0.2">
      <c r="A25" s="280" t="s">
        <v>63</v>
      </c>
      <c r="B25" s="282">
        <v>2527</v>
      </c>
      <c r="C25" s="276" t="s">
        <v>24</v>
      </c>
      <c r="D25" s="332" t="s">
        <v>109</v>
      </c>
      <c r="E25" s="336" t="s">
        <v>110</v>
      </c>
      <c r="F25" s="268"/>
      <c r="G25" s="26"/>
      <c r="H25" s="27"/>
      <c r="I25" s="28"/>
      <c r="J25" s="29"/>
      <c r="K25" s="286"/>
    </row>
    <row r="26" spans="1:16" ht="27" thickBot="1" x14ac:dyDescent="0.25">
      <c r="A26" s="281"/>
      <c r="B26" s="283"/>
      <c r="C26" s="277"/>
      <c r="D26" s="333"/>
      <c r="E26" s="337"/>
      <c r="F26" s="269"/>
      <c r="G26" s="23"/>
      <c r="H26" s="24"/>
      <c r="I26" s="25"/>
      <c r="J26" s="30"/>
      <c r="K26" s="287"/>
    </row>
    <row r="27" spans="1:16" ht="26.25" x14ac:dyDescent="0.2">
      <c r="A27" s="280" t="s">
        <v>14</v>
      </c>
      <c r="B27" s="282">
        <v>3800</v>
      </c>
      <c r="C27" s="276" t="s">
        <v>45</v>
      </c>
      <c r="D27" s="332" t="s">
        <v>112</v>
      </c>
      <c r="E27" s="338" t="s">
        <v>113</v>
      </c>
      <c r="F27" s="268"/>
      <c r="G27" s="26"/>
      <c r="H27" s="27"/>
      <c r="I27" s="26"/>
      <c r="J27" s="29"/>
      <c r="K27" s="284"/>
    </row>
    <row r="28" spans="1:16" ht="27" thickBot="1" x14ac:dyDescent="0.25">
      <c r="A28" s="281"/>
      <c r="B28" s="283"/>
      <c r="C28" s="277"/>
      <c r="D28" s="333"/>
      <c r="E28" s="339"/>
      <c r="F28" s="269"/>
      <c r="G28" s="23"/>
      <c r="H28" s="24"/>
      <c r="I28" s="25"/>
      <c r="J28" s="32"/>
      <c r="K28" s="285"/>
    </row>
    <row r="29" spans="1:16" ht="26.25" x14ac:dyDescent="0.2">
      <c r="A29" s="280" t="s">
        <v>15</v>
      </c>
      <c r="B29" s="282">
        <v>3801</v>
      </c>
      <c r="C29" s="276" t="s">
        <v>25</v>
      </c>
      <c r="D29" s="332" t="s">
        <v>112</v>
      </c>
      <c r="E29" s="338" t="s">
        <v>113</v>
      </c>
      <c r="F29" s="268"/>
      <c r="G29" s="26"/>
      <c r="H29" s="27"/>
      <c r="I29" s="28"/>
      <c r="J29" s="29"/>
      <c r="K29" s="284"/>
    </row>
    <row r="30" spans="1:16" ht="27" thickBot="1" x14ac:dyDescent="0.25">
      <c r="A30" s="281"/>
      <c r="B30" s="283"/>
      <c r="C30" s="277"/>
      <c r="D30" s="333"/>
      <c r="E30" s="339"/>
      <c r="F30" s="269"/>
      <c r="G30" s="23"/>
      <c r="H30" s="24"/>
      <c r="I30" s="25"/>
      <c r="J30" s="30"/>
      <c r="K30" s="285"/>
    </row>
    <row r="31" spans="1:16" ht="26.25" customHeight="1" x14ac:dyDescent="0.2">
      <c r="A31" s="280" t="s">
        <v>17</v>
      </c>
      <c r="B31" s="282">
        <v>3802</v>
      </c>
      <c r="C31" s="276" t="s">
        <v>47</v>
      </c>
      <c r="D31" s="332" t="s">
        <v>112</v>
      </c>
      <c r="E31" s="336" t="s">
        <v>114</v>
      </c>
      <c r="F31" s="268"/>
      <c r="G31" s="26"/>
      <c r="H31" s="27"/>
      <c r="I31" s="28"/>
      <c r="J31" s="63"/>
      <c r="K31" s="284"/>
    </row>
    <row r="32" spans="1:16" ht="27" thickBot="1" x14ac:dyDescent="0.25">
      <c r="A32" s="281"/>
      <c r="B32" s="283"/>
      <c r="C32" s="277"/>
      <c r="D32" s="333"/>
      <c r="E32" s="337"/>
      <c r="F32" s="269"/>
      <c r="G32" s="23"/>
      <c r="H32" s="24"/>
      <c r="I32" s="25"/>
      <c r="J32" s="30"/>
      <c r="K32" s="285"/>
    </row>
    <row r="33" spans="1:11" ht="26.25" x14ac:dyDescent="0.2">
      <c r="A33" s="280" t="s">
        <v>18</v>
      </c>
      <c r="B33" s="282">
        <v>3805</v>
      </c>
      <c r="C33" s="276" t="s">
        <v>26</v>
      </c>
      <c r="D33" s="332" t="s">
        <v>112</v>
      </c>
      <c r="E33" s="336" t="s">
        <v>110</v>
      </c>
      <c r="F33" s="268"/>
      <c r="G33" s="26"/>
      <c r="H33" s="27"/>
      <c r="I33" s="28"/>
      <c r="J33" s="29"/>
      <c r="K33" s="284"/>
    </row>
    <row r="34" spans="1:11" ht="27" thickBot="1" x14ac:dyDescent="0.25">
      <c r="A34" s="281"/>
      <c r="B34" s="283"/>
      <c r="C34" s="277"/>
      <c r="D34" s="333"/>
      <c r="E34" s="337"/>
      <c r="F34" s="269"/>
      <c r="G34" s="23"/>
      <c r="H34" s="24"/>
      <c r="I34" s="25"/>
      <c r="J34" s="32"/>
      <c r="K34" s="285"/>
    </row>
    <row r="35" spans="1:11" ht="26.25" x14ac:dyDescent="0.2">
      <c r="A35" s="280" t="s">
        <v>57</v>
      </c>
      <c r="B35" s="282">
        <v>3808</v>
      </c>
      <c r="C35" s="276" t="s">
        <v>27</v>
      </c>
      <c r="D35" s="332" t="s">
        <v>109</v>
      </c>
      <c r="E35" s="336" t="s">
        <v>110</v>
      </c>
      <c r="F35" s="268"/>
      <c r="G35" s="26"/>
      <c r="H35" s="27"/>
      <c r="I35" s="28"/>
      <c r="J35" s="29"/>
      <c r="K35" s="284"/>
    </row>
    <row r="36" spans="1:11" ht="27" thickBot="1" x14ac:dyDescent="0.25">
      <c r="A36" s="281"/>
      <c r="B36" s="283"/>
      <c r="C36" s="277"/>
      <c r="D36" s="333"/>
      <c r="E36" s="337"/>
      <c r="F36" s="269"/>
      <c r="G36" s="23"/>
      <c r="H36" s="24"/>
      <c r="I36" s="25"/>
      <c r="J36" s="32"/>
      <c r="K36" s="285"/>
    </row>
    <row r="37" spans="1:11" ht="26.25" x14ac:dyDescent="0.2">
      <c r="A37" s="280" t="s">
        <v>21</v>
      </c>
      <c r="B37" s="282">
        <v>3810</v>
      </c>
      <c r="C37" s="276" t="s">
        <v>48</v>
      </c>
      <c r="D37" s="332" t="s">
        <v>112</v>
      </c>
      <c r="E37" s="336" t="s">
        <v>110</v>
      </c>
      <c r="F37" s="268"/>
      <c r="G37" s="26"/>
      <c r="H37" s="27"/>
      <c r="I37" s="28"/>
      <c r="J37" s="29"/>
      <c r="K37" s="288"/>
    </row>
    <row r="38" spans="1:11" ht="27" thickBot="1" x14ac:dyDescent="0.25">
      <c r="A38" s="281"/>
      <c r="B38" s="283"/>
      <c r="C38" s="277"/>
      <c r="D38" s="333"/>
      <c r="E38" s="337"/>
      <c r="F38" s="269"/>
      <c r="G38" s="23"/>
      <c r="H38" s="24"/>
      <c r="I38" s="25"/>
      <c r="J38" s="32"/>
      <c r="K38" s="289"/>
    </row>
    <row r="39" spans="1:11" ht="26.25" x14ac:dyDescent="0.2">
      <c r="A39" s="280" t="s">
        <v>64</v>
      </c>
      <c r="B39" s="282">
        <v>6056</v>
      </c>
      <c r="C39" s="276" t="s">
        <v>31</v>
      </c>
      <c r="D39" s="332" t="s">
        <v>109</v>
      </c>
      <c r="E39" s="338" t="s">
        <v>113</v>
      </c>
      <c r="F39" s="268"/>
      <c r="G39" s="33"/>
      <c r="H39" s="27"/>
      <c r="I39" s="28"/>
      <c r="J39" s="29"/>
      <c r="K39" s="288"/>
    </row>
    <row r="40" spans="1:11" ht="27" thickBot="1" x14ac:dyDescent="0.25">
      <c r="A40" s="281"/>
      <c r="B40" s="283"/>
      <c r="C40" s="277"/>
      <c r="D40" s="333"/>
      <c r="E40" s="339"/>
      <c r="F40" s="269"/>
      <c r="G40" s="34"/>
      <c r="H40" s="24"/>
      <c r="I40" s="25"/>
      <c r="J40" s="30"/>
      <c r="K40" s="289"/>
    </row>
    <row r="41" spans="1:11" ht="26.25" x14ac:dyDescent="0.2">
      <c r="A41" s="280" t="s">
        <v>19</v>
      </c>
      <c r="B41" s="282">
        <v>3820</v>
      </c>
      <c r="C41" s="276" t="s">
        <v>46</v>
      </c>
      <c r="D41" s="332" t="s">
        <v>109</v>
      </c>
      <c r="E41" s="338" t="s">
        <v>113</v>
      </c>
      <c r="F41" s="268"/>
      <c r="G41" s="26"/>
      <c r="H41" s="27"/>
      <c r="I41" s="28"/>
      <c r="J41" s="29"/>
      <c r="K41" s="288"/>
    </row>
    <row r="42" spans="1:11" ht="27" thickBot="1" x14ac:dyDescent="0.25">
      <c r="A42" s="290"/>
      <c r="B42" s="291"/>
      <c r="C42" s="292"/>
      <c r="D42" s="333"/>
      <c r="E42" s="339"/>
      <c r="F42" s="269"/>
      <c r="G42" s="23"/>
      <c r="H42" s="24"/>
      <c r="I42" s="25"/>
      <c r="J42" s="32"/>
      <c r="K42" s="289"/>
    </row>
    <row r="43" spans="1:11" ht="26.25" x14ac:dyDescent="0.2">
      <c r="A43" s="280" t="s">
        <v>20</v>
      </c>
      <c r="B43" s="282">
        <v>3821</v>
      </c>
      <c r="C43" s="276" t="s">
        <v>28</v>
      </c>
      <c r="D43" s="332" t="s">
        <v>112</v>
      </c>
      <c r="E43" s="338" t="s">
        <v>113</v>
      </c>
      <c r="F43" s="268"/>
      <c r="G43" s="26"/>
      <c r="H43" s="27"/>
      <c r="I43" s="28"/>
      <c r="J43" s="31"/>
      <c r="K43" s="288"/>
    </row>
    <row r="44" spans="1:11" ht="27" thickBot="1" x14ac:dyDescent="0.25">
      <c r="A44" s="281"/>
      <c r="B44" s="283"/>
      <c r="C44" s="277"/>
      <c r="D44" s="333"/>
      <c r="E44" s="339"/>
      <c r="F44" s="269"/>
      <c r="G44" s="23"/>
      <c r="H44" s="24"/>
      <c r="I44" s="25"/>
      <c r="J44" s="32"/>
      <c r="K44" s="289"/>
    </row>
    <row r="45" spans="1:11" ht="26.25" x14ac:dyDescent="0.2">
      <c r="A45" s="280" t="s">
        <v>58</v>
      </c>
      <c r="B45" s="282">
        <v>3822</v>
      </c>
      <c r="C45" s="276" t="s">
        <v>38</v>
      </c>
      <c r="D45" s="332" t="s">
        <v>112</v>
      </c>
      <c r="E45" s="336" t="s">
        <v>110</v>
      </c>
      <c r="F45" s="268"/>
      <c r="G45" s="26"/>
      <c r="H45" s="27"/>
      <c r="I45" s="28"/>
      <c r="J45" s="29"/>
      <c r="K45" s="284"/>
    </row>
    <row r="46" spans="1:11" ht="27" thickBot="1" x14ac:dyDescent="0.25">
      <c r="A46" s="281"/>
      <c r="B46" s="283"/>
      <c r="C46" s="277"/>
      <c r="D46" s="333"/>
      <c r="E46" s="337"/>
      <c r="F46" s="269"/>
      <c r="G46" s="23"/>
      <c r="H46" s="24"/>
      <c r="I46" s="25"/>
      <c r="J46" s="32"/>
      <c r="K46" s="285"/>
    </row>
    <row r="47" spans="1:11" ht="26.25" customHeight="1" x14ac:dyDescent="0.2">
      <c r="A47" s="280" t="s">
        <v>32</v>
      </c>
      <c r="B47" s="282">
        <v>3832</v>
      </c>
      <c r="C47" s="276" t="s">
        <v>37</v>
      </c>
      <c r="D47" s="332" t="s">
        <v>109</v>
      </c>
      <c r="E47" s="336" t="s">
        <v>110</v>
      </c>
      <c r="F47" s="268"/>
      <c r="G47" s="27"/>
      <c r="H47" s="27"/>
      <c r="I47" s="28"/>
      <c r="J47" s="31"/>
      <c r="K47" s="288"/>
    </row>
    <row r="48" spans="1:11" ht="27" thickBot="1" x14ac:dyDescent="0.25">
      <c r="A48" s="281"/>
      <c r="B48" s="283"/>
      <c r="C48" s="277"/>
      <c r="D48" s="333"/>
      <c r="E48" s="337"/>
      <c r="F48" s="269"/>
      <c r="G48" s="24"/>
      <c r="H48" s="24"/>
      <c r="I48" s="25"/>
      <c r="J48" s="32"/>
      <c r="K48" s="289"/>
    </row>
    <row r="49" spans="1:13" ht="26.25" x14ac:dyDescent="0.2">
      <c r="A49" s="280" t="s">
        <v>59</v>
      </c>
      <c r="B49" s="282">
        <v>4173</v>
      </c>
      <c r="C49" s="276" t="s">
        <v>12</v>
      </c>
      <c r="D49" s="332" t="s">
        <v>109</v>
      </c>
      <c r="E49" s="336" t="s">
        <v>110</v>
      </c>
      <c r="F49" s="268"/>
      <c r="G49" s="27"/>
      <c r="H49" s="27"/>
      <c r="I49" s="28"/>
      <c r="J49" s="31"/>
      <c r="K49" s="284"/>
    </row>
    <row r="50" spans="1:13" ht="27" thickBot="1" x14ac:dyDescent="0.25">
      <c r="A50" s="281"/>
      <c r="B50" s="283"/>
      <c r="C50" s="277"/>
      <c r="D50" s="333"/>
      <c r="E50" s="337"/>
      <c r="F50" s="269"/>
      <c r="G50" s="24"/>
      <c r="H50" s="24"/>
      <c r="I50" s="25"/>
      <c r="J50" s="32"/>
      <c r="K50" s="285"/>
    </row>
    <row r="51" spans="1:13" ht="26.25" x14ac:dyDescent="0.2">
      <c r="A51" s="280" t="s">
        <v>22</v>
      </c>
      <c r="B51" s="293">
        <v>2</v>
      </c>
      <c r="C51" s="276" t="s">
        <v>30</v>
      </c>
      <c r="D51" s="332" t="s">
        <v>109</v>
      </c>
      <c r="E51" s="334" t="s">
        <v>115</v>
      </c>
      <c r="F51" s="268"/>
      <c r="G51" s="27"/>
      <c r="H51" s="27"/>
      <c r="I51" s="31"/>
      <c r="J51" s="31"/>
      <c r="K51" s="288"/>
    </row>
    <row r="52" spans="1:13" ht="27" thickBot="1" x14ac:dyDescent="0.25">
      <c r="A52" s="281"/>
      <c r="B52" s="294"/>
      <c r="C52" s="277"/>
      <c r="D52" s="333"/>
      <c r="E52" s="335"/>
      <c r="F52" s="269"/>
      <c r="G52" s="24"/>
      <c r="H52" s="24"/>
      <c r="I52" s="32"/>
      <c r="J52" s="32"/>
      <c r="K52" s="289"/>
    </row>
    <row r="53" spans="1:13" s="80" customFormat="1" ht="25.5" customHeight="1" x14ac:dyDescent="0.2">
      <c r="A53" s="78"/>
      <c r="B53" s="329" t="s">
        <v>99</v>
      </c>
      <c r="C53" s="329"/>
      <c r="D53" s="329"/>
      <c r="E53" s="329"/>
      <c r="F53" s="329"/>
      <c r="G53" s="329"/>
      <c r="H53" s="329"/>
      <c r="I53" s="329"/>
      <c r="J53" s="329"/>
      <c r="K53" s="79"/>
    </row>
    <row r="54" spans="1:13" s="76" customFormat="1" ht="25.5" customHeight="1" x14ac:dyDescent="0.2">
      <c r="A54" s="81"/>
      <c r="B54" s="82"/>
      <c r="C54" s="83"/>
      <c r="D54" s="84"/>
      <c r="E54" s="84"/>
      <c r="F54" s="84"/>
      <c r="G54" s="85"/>
      <c r="H54" s="85"/>
      <c r="I54" s="86"/>
      <c r="J54" s="87"/>
      <c r="K54" s="88"/>
    </row>
    <row r="55" spans="1:13" s="76" customFormat="1" ht="25.5" customHeight="1" thickBot="1" x14ac:dyDescent="0.25">
      <c r="A55" s="81"/>
      <c r="C55" s="89" t="s">
        <v>100</v>
      </c>
      <c r="D55" s="90"/>
      <c r="E55" s="86"/>
      <c r="F55" s="84"/>
      <c r="G55" s="330" t="s">
        <v>101</v>
      </c>
      <c r="H55" s="330"/>
      <c r="I55" s="91"/>
      <c r="J55" s="87"/>
      <c r="K55" s="88"/>
    </row>
    <row r="56" spans="1:13" s="76" customFormat="1" ht="25.5" customHeight="1" x14ac:dyDescent="0.2">
      <c r="A56" s="81"/>
      <c r="B56" s="82"/>
      <c r="C56" s="83"/>
      <c r="D56" s="84"/>
      <c r="E56" s="84"/>
      <c r="F56" s="84"/>
      <c r="G56" s="85"/>
      <c r="H56" s="85"/>
      <c r="I56" s="86"/>
      <c r="J56" s="87"/>
      <c r="K56" s="88"/>
    </row>
    <row r="57" spans="1:13" s="76" customFormat="1" ht="30" customHeight="1" x14ac:dyDescent="0.2">
      <c r="A57" s="331" t="s">
        <v>13</v>
      </c>
      <c r="B57" s="331"/>
      <c r="C57" s="331"/>
      <c r="D57" s="331"/>
      <c r="E57" s="331"/>
      <c r="F57" s="331"/>
      <c r="G57" s="331"/>
      <c r="H57" s="331"/>
      <c r="I57" s="331"/>
      <c r="J57" s="331"/>
      <c r="K57" s="331"/>
      <c r="M57" s="76" t="s">
        <v>0</v>
      </c>
    </row>
    <row r="58" spans="1:13" s="76" customFormat="1" ht="30" customHeight="1" x14ac:dyDescent="0.2">
      <c r="A58" s="92"/>
      <c r="B58" s="327"/>
      <c r="C58" s="327"/>
      <c r="D58" s="327"/>
      <c r="E58" s="327"/>
      <c r="F58" s="327"/>
      <c r="G58" s="327"/>
      <c r="H58" s="327"/>
      <c r="I58" s="327"/>
      <c r="J58" s="327"/>
      <c r="K58" s="93"/>
    </row>
    <row r="59" spans="1:13" s="76" customFormat="1" ht="30" customHeight="1" x14ac:dyDescent="0.2">
      <c r="A59" s="92"/>
      <c r="B59" s="327"/>
      <c r="C59" s="327"/>
      <c r="D59" s="327"/>
      <c r="E59" s="327"/>
      <c r="F59" s="327"/>
      <c r="G59" s="327"/>
      <c r="H59" s="327"/>
      <c r="I59" s="327"/>
      <c r="J59" s="327"/>
      <c r="K59" s="92"/>
      <c r="L59" s="92"/>
    </row>
    <row r="60" spans="1:13" s="76" customFormat="1" ht="30" customHeight="1" x14ac:dyDescent="0.2">
      <c r="A60" s="92"/>
      <c r="B60" s="327"/>
      <c r="C60" s="327"/>
      <c r="D60" s="327"/>
      <c r="E60" s="327"/>
      <c r="F60" s="327"/>
      <c r="G60" s="327"/>
      <c r="H60" s="327"/>
      <c r="I60" s="327"/>
      <c r="J60" s="327"/>
      <c r="K60" s="92"/>
      <c r="L60" s="83"/>
    </row>
    <row r="61" spans="1:13" s="76" customFormat="1" ht="30" customHeight="1" x14ac:dyDescent="0.2">
      <c r="A61" s="94"/>
      <c r="B61" s="95"/>
      <c r="C61" s="96"/>
      <c r="D61" s="96"/>
      <c r="E61" s="96"/>
      <c r="F61" s="95"/>
      <c r="G61" s="95"/>
      <c r="H61" s="95"/>
      <c r="I61" s="96"/>
      <c r="J61" s="96"/>
      <c r="K61" s="96"/>
    </row>
    <row r="62" spans="1:13" s="76" customFormat="1" ht="30" customHeight="1" x14ac:dyDescent="0.2">
      <c r="A62" s="94"/>
      <c r="B62" s="95"/>
      <c r="C62" s="96"/>
      <c r="D62" s="96"/>
      <c r="E62" s="96"/>
      <c r="F62" s="95"/>
      <c r="H62" s="95"/>
      <c r="I62" s="95"/>
    </row>
    <row r="63" spans="1:13" s="76" customFormat="1" ht="30" customHeight="1" x14ac:dyDescent="0.2">
      <c r="A63" s="97"/>
      <c r="B63" s="42"/>
      <c r="C63" s="45"/>
      <c r="D63" s="45"/>
      <c r="E63" s="45"/>
      <c r="F63" s="42"/>
      <c r="G63" s="43"/>
      <c r="H63" s="42"/>
      <c r="I63" s="42"/>
      <c r="J63" s="43"/>
      <c r="K63" s="43"/>
    </row>
    <row r="64" spans="1:13" s="75" customFormat="1" ht="20.100000000000001" customHeight="1" x14ac:dyDescent="0.2">
      <c r="A64" s="314" t="s">
        <v>102</v>
      </c>
      <c r="B64" s="314"/>
      <c r="C64" s="314"/>
      <c r="D64" s="46"/>
      <c r="E64" s="46"/>
      <c r="F64" s="42"/>
      <c r="G64" s="98"/>
      <c r="H64" s="315" t="s">
        <v>74</v>
      </c>
      <c r="I64" s="315"/>
      <c r="J64" s="315"/>
      <c r="K64" s="315"/>
      <c r="L64" s="99"/>
    </row>
    <row r="65" spans="1:12" s="75" customFormat="1" ht="20.100000000000001" customHeight="1" x14ac:dyDescent="0.2">
      <c r="A65" s="310" t="s">
        <v>103</v>
      </c>
      <c r="B65" s="310"/>
      <c r="C65" s="310"/>
      <c r="D65" s="42"/>
      <c r="E65" s="42"/>
      <c r="F65" s="42"/>
      <c r="G65" s="98"/>
      <c r="H65" s="310" t="s">
        <v>44</v>
      </c>
      <c r="I65" s="310"/>
      <c r="J65" s="310"/>
      <c r="K65" s="310"/>
    </row>
    <row r="66" spans="1:12" s="75" customFormat="1" ht="30" customHeight="1" x14ac:dyDescent="0.2">
      <c r="A66" s="42"/>
      <c r="B66" s="42"/>
      <c r="C66" s="42"/>
      <c r="D66" s="42"/>
      <c r="E66" s="42"/>
      <c r="F66" s="42"/>
      <c r="G66" s="98"/>
      <c r="H66" s="42"/>
      <c r="I66" s="42"/>
      <c r="J66" s="42"/>
      <c r="K66" s="42"/>
    </row>
    <row r="67" spans="1:12" s="75" customFormat="1" ht="30" customHeight="1" x14ac:dyDescent="0.2">
      <c r="A67" s="42"/>
      <c r="B67" s="42"/>
      <c r="C67" s="42"/>
      <c r="D67" s="42"/>
      <c r="E67" s="42"/>
      <c r="F67" s="42"/>
      <c r="G67" s="98"/>
      <c r="H67" s="42"/>
      <c r="I67" s="42"/>
      <c r="J67" s="42"/>
      <c r="K67" s="42"/>
    </row>
    <row r="68" spans="1:12" s="75" customFormat="1" ht="30" customHeight="1" x14ac:dyDescent="0.2">
      <c r="A68" s="42"/>
      <c r="B68" s="42"/>
      <c r="C68" s="42"/>
      <c r="D68" s="42"/>
      <c r="E68" s="42"/>
      <c r="F68" s="42"/>
      <c r="G68" s="98"/>
      <c r="H68" s="42"/>
      <c r="I68" s="42"/>
      <c r="J68" s="42"/>
      <c r="K68" s="42"/>
    </row>
    <row r="69" spans="1:12" s="75" customFormat="1" ht="30" customHeight="1" x14ac:dyDescent="0.2">
      <c r="A69" s="42"/>
      <c r="B69" s="42"/>
      <c r="C69" s="98"/>
      <c r="D69" s="98"/>
      <c r="E69" s="98"/>
      <c r="F69" s="42"/>
      <c r="G69" s="98"/>
      <c r="H69" s="42"/>
      <c r="I69" s="42"/>
      <c r="J69" s="98"/>
      <c r="K69" s="98"/>
    </row>
    <row r="70" spans="1:12" s="76" customFormat="1" ht="30" customHeight="1" x14ac:dyDescent="0.2">
      <c r="A70" s="328" t="s">
        <v>116</v>
      </c>
      <c r="B70" s="328"/>
      <c r="C70" s="328"/>
      <c r="D70" s="43"/>
      <c r="E70" s="43"/>
      <c r="F70" s="45"/>
      <c r="G70" s="47"/>
      <c r="H70" s="328"/>
      <c r="I70" s="328"/>
      <c r="J70" s="328"/>
      <c r="K70" s="328"/>
      <c r="L70" s="100"/>
    </row>
    <row r="71" spans="1:12" s="76" customFormat="1" ht="30" customHeight="1" x14ac:dyDescent="0.2">
      <c r="A71" s="316" t="s">
        <v>104</v>
      </c>
      <c r="B71" s="316"/>
      <c r="C71" s="316"/>
      <c r="D71" s="42"/>
      <c r="E71" s="42"/>
      <c r="F71" s="46"/>
      <c r="G71" s="43"/>
      <c r="H71" s="314" t="s">
        <v>105</v>
      </c>
      <c r="I71" s="314"/>
      <c r="J71" s="314"/>
      <c r="K71" s="314"/>
      <c r="L71" s="100"/>
    </row>
    <row r="72" spans="1:12" s="69" customFormat="1" ht="30" customHeight="1" x14ac:dyDescent="0.2">
      <c r="A72" s="310"/>
      <c r="B72" s="310"/>
      <c r="C72" s="310"/>
      <c r="D72" s="42"/>
      <c r="E72" s="42"/>
      <c r="F72" s="1"/>
      <c r="G72" s="2"/>
      <c r="H72" s="2"/>
      <c r="I72" s="2"/>
      <c r="J72" s="2"/>
      <c r="K72" s="4"/>
      <c r="L72" s="101"/>
    </row>
    <row r="73" spans="1:12" s="69" customFormat="1" ht="30" customHeight="1" x14ac:dyDescent="0.2">
      <c r="B73" s="326"/>
      <c r="C73" s="326"/>
      <c r="D73" s="102"/>
      <c r="E73" s="102"/>
      <c r="G73" s="103"/>
      <c r="H73" s="103"/>
      <c r="I73" s="103"/>
      <c r="J73" s="103"/>
    </row>
    <row r="74" spans="1:12" s="69" customFormat="1" ht="30" customHeight="1" x14ac:dyDescent="0.2">
      <c r="G74" s="103"/>
      <c r="H74" s="103"/>
      <c r="I74" s="103"/>
      <c r="J74" s="103"/>
    </row>
    <row r="75" spans="1:12" s="69" customFormat="1" ht="30" customHeight="1" x14ac:dyDescent="0.2">
      <c r="G75" s="103"/>
      <c r="H75" s="103"/>
      <c r="I75" s="103"/>
      <c r="J75" s="103"/>
    </row>
    <row r="76" spans="1:12" s="69" customFormat="1" ht="30" customHeight="1" x14ac:dyDescent="0.2">
      <c r="G76" s="103"/>
      <c r="H76" s="103"/>
      <c r="I76" s="103"/>
      <c r="J76" s="103"/>
    </row>
    <row r="77" spans="1:12" s="69" customFormat="1" ht="30" customHeight="1" x14ac:dyDescent="0.2">
      <c r="G77" s="103"/>
      <c r="H77" s="103"/>
      <c r="I77" s="103"/>
      <c r="J77" s="103"/>
    </row>
    <row r="78" spans="1:12" s="69" customFormat="1" ht="30" customHeight="1" x14ac:dyDescent="0.2">
      <c r="G78" s="103"/>
      <c r="H78" s="103"/>
      <c r="I78" s="103"/>
      <c r="J78" s="103"/>
    </row>
    <row r="79" spans="1:12" s="69" customFormat="1" ht="30" customHeight="1" x14ac:dyDescent="0.2">
      <c r="G79" s="103"/>
      <c r="H79" s="103"/>
      <c r="I79" s="103"/>
      <c r="J79" s="103"/>
    </row>
    <row r="80" spans="1:12" s="69" customFormat="1" ht="30" customHeight="1" x14ac:dyDescent="0.2">
      <c r="G80" s="103"/>
      <c r="H80" s="103"/>
      <c r="I80" s="103"/>
      <c r="J80" s="103"/>
    </row>
    <row r="81" spans="7:10" s="69" customFormat="1" ht="30" customHeight="1" x14ac:dyDescent="0.2">
      <c r="G81" s="103"/>
      <c r="H81" s="103"/>
      <c r="I81" s="103"/>
      <c r="J81" s="103"/>
    </row>
    <row r="82" spans="7:10" s="69" customFormat="1" ht="30" customHeight="1" x14ac:dyDescent="0.2">
      <c r="G82" s="103"/>
      <c r="H82" s="103"/>
      <c r="I82" s="103"/>
      <c r="J82" s="103"/>
    </row>
    <row r="83" spans="7:10" s="69" customFormat="1" ht="30" customHeight="1" x14ac:dyDescent="0.2">
      <c r="G83" s="103"/>
      <c r="H83" s="103"/>
      <c r="I83" s="103"/>
      <c r="J83" s="103"/>
    </row>
    <row r="84" spans="7:10" s="69" customFormat="1" ht="30" customHeight="1" x14ac:dyDescent="0.2">
      <c r="G84" s="103"/>
      <c r="H84" s="103"/>
      <c r="I84" s="103"/>
      <c r="J84" s="103"/>
    </row>
    <row r="85" spans="7:10" s="69" customFormat="1" ht="30" customHeight="1" x14ac:dyDescent="0.2">
      <c r="H85" s="104"/>
    </row>
  </sheetData>
  <mergeCells count="167">
    <mergeCell ref="A1:K1"/>
    <mergeCell ref="A2:K2"/>
    <mergeCell ref="A3:K3"/>
    <mergeCell ref="A5:K5"/>
    <mergeCell ref="B7:D7"/>
    <mergeCell ref="H7:J7"/>
    <mergeCell ref="A13:A14"/>
    <mergeCell ref="B13:B14"/>
    <mergeCell ref="C13:C14"/>
    <mergeCell ref="D13:D14"/>
    <mergeCell ref="F13:J13"/>
    <mergeCell ref="K13:K14"/>
    <mergeCell ref="B8:D8"/>
    <mergeCell ref="H8:J8"/>
    <mergeCell ref="B9:D9"/>
    <mergeCell ref="H9:J9"/>
    <mergeCell ref="B10:D10"/>
    <mergeCell ref="H10:J10"/>
    <mergeCell ref="K15:K16"/>
    <mergeCell ref="A17:A18"/>
    <mergeCell ref="B17:B18"/>
    <mergeCell ref="C17:C18"/>
    <mergeCell ref="D17:D18"/>
    <mergeCell ref="E17:E18"/>
    <mergeCell ref="F17:F18"/>
    <mergeCell ref="K17:K18"/>
    <mergeCell ref="A15:A16"/>
    <mergeCell ref="B15:B16"/>
    <mergeCell ref="C15:C16"/>
    <mergeCell ref="D15:D16"/>
    <mergeCell ref="E15:E16"/>
    <mergeCell ref="F15:F16"/>
    <mergeCell ref="K19:K20"/>
    <mergeCell ref="A21:A22"/>
    <mergeCell ref="B21:B22"/>
    <mergeCell ref="C21:C22"/>
    <mergeCell ref="D21:D22"/>
    <mergeCell ref="E21:E22"/>
    <mergeCell ref="F21:F22"/>
    <mergeCell ref="K21:K22"/>
    <mergeCell ref="A19:A20"/>
    <mergeCell ref="B19:B20"/>
    <mergeCell ref="C19:C20"/>
    <mergeCell ref="D19:D20"/>
    <mergeCell ref="E19:E20"/>
    <mergeCell ref="F19:F20"/>
    <mergeCell ref="K23:K24"/>
    <mergeCell ref="A25:A26"/>
    <mergeCell ref="B25:B26"/>
    <mergeCell ref="C25:C26"/>
    <mergeCell ref="D25:D26"/>
    <mergeCell ref="E25:E26"/>
    <mergeCell ref="F25:F26"/>
    <mergeCell ref="K25:K26"/>
    <mergeCell ref="A23:A24"/>
    <mergeCell ref="B23:B24"/>
    <mergeCell ref="C23:C24"/>
    <mergeCell ref="D23:D24"/>
    <mergeCell ref="E23:E24"/>
    <mergeCell ref="F23:F24"/>
    <mergeCell ref="K27:K28"/>
    <mergeCell ref="A29:A30"/>
    <mergeCell ref="B29:B30"/>
    <mergeCell ref="C29:C30"/>
    <mergeCell ref="D29:D30"/>
    <mergeCell ref="E29:E30"/>
    <mergeCell ref="F29:F30"/>
    <mergeCell ref="K29:K30"/>
    <mergeCell ref="A27:A28"/>
    <mergeCell ref="B27:B28"/>
    <mergeCell ref="C27:C28"/>
    <mergeCell ref="D27:D28"/>
    <mergeCell ref="E27:E28"/>
    <mergeCell ref="F27:F28"/>
    <mergeCell ref="K31:K32"/>
    <mergeCell ref="A33:A34"/>
    <mergeCell ref="B33:B34"/>
    <mergeCell ref="C33:C34"/>
    <mergeCell ref="D33:D34"/>
    <mergeCell ref="E33:E34"/>
    <mergeCell ref="F33:F34"/>
    <mergeCell ref="K33:K34"/>
    <mergeCell ref="A31:A32"/>
    <mergeCell ref="B31:B32"/>
    <mergeCell ref="C31:C32"/>
    <mergeCell ref="D31:D32"/>
    <mergeCell ref="E31:E32"/>
    <mergeCell ref="F31:F32"/>
    <mergeCell ref="K35:K36"/>
    <mergeCell ref="A37:A38"/>
    <mergeCell ref="B37:B38"/>
    <mergeCell ref="C37:C38"/>
    <mergeCell ref="D37:D38"/>
    <mergeCell ref="E37:E38"/>
    <mergeCell ref="F37:F38"/>
    <mergeCell ref="K37:K38"/>
    <mergeCell ref="A35:A36"/>
    <mergeCell ref="B35:B36"/>
    <mergeCell ref="C35:C36"/>
    <mergeCell ref="D35:D36"/>
    <mergeCell ref="E35:E36"/>
    <mergeCell ref="F35:F36"/>
    <mergeCell ref="K39:K40"/>
    <mergeCell ref="A41:A42"/>
    <mergeCell ref="B41:B42"/>
    <mergeCell ref="C41:C42"/>
    <mergeCell ref="D41:D42"/>
    <mergeCell ref="E41:E42"/>
    <mergeCell ref="F41:F42"/>
    <mergeCell ref="K41:K42"/>
    <mergeCell ref="A39:A40"/>
    <mergeCell ref="B39:B40"/>
    <mergeCell ref="C39:C40"/>
    <mergeCell ref="D39:D40"/>
    <mergeCell ref="E39:E40"/>
    <mergeCell ref="F39:F40"/>
    <mergeCell ref="K43:K44"/>
    <mergeCell ref="A45:A46"/>
    <mergeCell ref="B45:B46"/>
    <mergeCell ref="C45:C46"/>
    <mergeCell ref="D45:D46"/>
    <mergeCell ref="E45:E46"/>
    <mergeCell ref="F45:F46"/>
    <mergeCell ref="K45:K46"/>
    <mergeCell ref="A43:A44"/>
    <mergeCell ref="B43:B44"/>
    <mergeCell ref="C43:C44"/>
    <mergeCell ref="D43:D44"/>
    <mergeCell ref="E43:E44"/>
    <mergeCell ref="F43:F44"/>
    <mergeCell ref="K47:K48"/>
    <mergeCell ref="A49:A50"/>
    <mergeCell ref="B49:B50"/>
    <mergeCell ref="C49:C50"/>
    <mergeCell ref="D49:D50"/>
    <mergeCell ref="E49:E50"/>
    <mergeCell ref="F49:F50"/>
    <mergeCell ref="K49:K50"/>
    <mergeCell ref="A47:A48"/>
    <mergeCell ref="B47:B48"/>
    <mergeCell ref="C47:C48"/>
    <mergeCell ref="D47:D48"/>
    <mergeCell ref="E47:E48"/>
    <mergeCell ref="F47:F48"/>
    <mergeCell ref="K51:K52"/>
    <mergeCell ref="B53:J53"/>
    <mergeCell ref="G55:H55"/>
    <mergeCell ref="A57:K57"/>
    <mergeCell ref="B58:J58"/>
    <mergeCell ref="B59:J59"/>
    <mergeCell ref="A51:A52"/>
    <mergeCell ref="B51:B52"/>
    <mergeCell ref="C51:C52"/>
    <mergeCell ref="D51:D52"/>
    <mergeCell ref="E51:E52"/>
    <mergeCell ref="F51:F52"/>
    <mergeCell ref="A71:C71"/>
    <mergeCell ref="H71:K71"/>
    <mergeCell ref="A72:C72"/>
    <mergeCell ref="B73:C73"/>
    <mergeCell ref="B60:J60"/>
    <mergeCell ref="A64:C64"/>
    <mergeCell ref="H64:K64"/>
    <mergeCell ref="A65:C65"/>
    <mergeCell ref="H65:K65"/>
    <mergeCell ref="A70:C70"/>
    <mergeCell ref="H70:K70"/>
  </mergeCells>
  <printOptions horizontalCentered="1" verticalCentered="1"/>
  <pageMargins left="0" right="0" top="0.54" bottom="0" header="0" footer="0"/>
  <pageSetup scale="2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05FC-1490-4504-81F6-DE1BD51B4514}">
  <sheetPr>
    <tabColor theme="6" tint="-0.249977111117893"/>
    <pageSetUpPr fitToPage="1"/>
  </sheetPr>
  <dimension ref="A1:P85"/>
  <sheetViews>
    <sheetView zoomScale="50" zoomScaleNormal="50" workbookViewId="0">
      <selection activeCell="H11" sqref="H11"/>
    </sheetView>
  </sheetViews>
  <sheetFormatPr baseColWidth="10" defaultRowHeight="12.75" x14ac:dyDescent="0.2"/>
  <cols>
    <col min="1" max="1" width="45.28515625" customWidth="1"/>
    <col min="2" max="2" width="22" customWidth="1"/>
    <col min="3" max="3" width="64.28515625" customWidth="1"/>
    <col min="4" max="4" width="30.28515625" customWidth="1"/>
    <col min="5" max="5" width="30.85546875" customWidth="1"/>
    <col min="6" max="6" width="24.85546875" customWidth="1"/>
    <col min="7" max="7" width="25.85546875" customWidth="1"/>
    <col min="8" max="8" width="19.7109375" customWidth="1"/>
    <col min="9" max="9" width="37.28515625" customWidth="1"/>
    <col min="10" max="10" width="22" customWidth="1"/>
    <col min="11" max="11" width="41.85546875" customWidth="1"/>
    <col min="14" max="14" width="21.42578125" customWidth="1"/>
    <col min="16" max="16" width="25.7109375" customWidth="1"/>
  </cols>
  <sheetData>
    <row r="1" spans="1:16" s="69" customFormat="1" ht="30" x14ac:dyDescent="0.2">
      <c r="A1" s="295" t="s">
        <v>49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68"/>
    </row>
    <row r="2" spans="1:16" s="69" customFormat="1" ht="30" x14ac:dyDescent="0.2">
      <c r="A2" s="295" t="s">
        <v>50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70"/>
    </row>
    <row r="3" spans="1:16" s="69" customFormat="1" ht="30" customHeight="1" x14ac:dyDescent="0.2">
      <c r="A3" s="295" t="s">
        <v>90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70"/>
    </row>
    <row r="4" spans="1:16" s="69" customFormat="1" ht="30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70"/>
    </row>
    <row r="5" spans="1:16" s="69" customFormat="1" ht="30" customHeight="1" x14ac:dyDescent="0.2">
      <c r="A5" s="295" t="s">
        <v>91</v>
      </c>
      <c r="B5" s="295"/>
      <c r="C5" s="295"/>
      <c r="D5" s="295"/>
      <c r="E5" s="295"/>
      <c r="F5" s="295"/>
      <c r="G5" s="295"/>
      <c r="H5" s="295"/>
      <c r="I5" s="295"/>
      <c r="J5" s="295"/>
      <c r="K5" s="295"/>
    </row>
    <row r="6" spans="1:16" s="69" customFormat="1" ht="30" customHeight="1" x14ac:dyDescent="0.2">
      <c r="A6" s="67"/>
      <c r="B6" s="67"/>
      <c r="C6" s="67"/>
      <c r="D6" s="67"/>
      <c r="E6" s="71"/>
      <c r="F6" s="67"/>
      <c r="G6" s="67"/>
      <c r="H6" s="67"/>
      <c r="I6" s="67"/>
      <c r="J6" s="67"/>
      <c r="K6" s="71"/>
    </row>
    <row r="7" spans="1:16" s="76" customFormat="1" ht="39.950000000000003" customHeight="1" x14ac:dyDescent="0.4">
      <c r="A7" s="72" t="s">
        <v>92</v>
      </c>
      <c r="B7" s="340" t="s">
        <v>93</v>
      </c>
      <c r="C7" s="340"/>
      <c r="D7" s="340"/>
      <c r="E7" s="73"/>
      <c r="F7" s="74"/>
      <c r="G7" s="72" t="s">
        <v>1</v>
      </c>
      <c r="H7" s="340" t="s">
        <v>94</v>
      </c>
      <c r="I7" s="340"/>
      <c r="J7" s="340"/>
      <c r="K7" s="75"/>
    </row>
    <row r="8" spans="1:16" s="76" customFormat="1" ht="39.950000000000003" customHeight="1" x14ac:dyDescent="0.4">
      <c r="A8" s="72" t="s">
        <v>95</v>
      </c>
      <c r="B8" s="352" t="s">
        <v>96</v>
      </c>
      <c r="C8" s="352"/>
      <c r="D8" s="352"/>
      <c r="E8" s="77"/>
      <c r="F8" s="74"/>
      <c r="G8" s="72" t="s">
        <v>97</v>
      </c>
      <c r="H8" s="353"/>
      <c r="I8" s="353"/>
      <c r="J8" s="353"/>
      <c r="K8" s="75"/>
    </row>
    <row r="9" spans="1:16" s="76" customFormat="1" ht="39.950000000000003" customHeight="1" x14ac:dyDescent="0.4">
      <c r="A9" s="72" t="s">
        <v>98</v>
      </c>
      <c r="B9" s="340" t="s">
        <v>119</v>
      </c>
      <c r="C9" s="340"/>
      <c r="D9" s="340"/>
      <c r="E9" s="73"/>
      <c r="F9" s="74"/>
      <c r="G9" s="72" t="s">
        <v>39</v>
      </c>
      <c r="H9" s="354"/>
      <c r="I9" s="354"/>
      <c r="J9" s="354"/>
      <c r="K9" s="75"/>
    </row>
    <row r="10" spans="1:16" s="76" customFormat="1" ht="39.950000000000003" customHeight="1" x14ac:dyDescent="0.4">
      <c r="A10" s="72" t="s">
        <v>95</v>
      </c>
      <c r="B10" s="355" t="s">
        <v>120</v>
      </c>
      <c r="C10" s="355"/>
      <c r="D10" s="355"/>
      <c r="E10" s="77"/>
      <c r="F10" s="74"/>
      <c r="G10" s="72" t="s">
        <v>36</v>
      </c>
      <c r="H10" s="354" t="e">
        <f>#REF!</f>
        <v>#REF!</v>
      </c>
      <c r="I10" s="354"/>
      <c r="J10" s="354"/>
      <c r="K10" s="75"/>
    </row>
    <row r="11" spans="1:16" s="66" customFormat="1" ht="12.75" customHeight="1" x14ac:dyDescent="0.2"/>
    <row r="12" spans="1:16" ht="26.25" thickBot="1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</row>
    <row r="13" spans="1:16" ht="25.5" customHeight="1" x14ac:dyDescent="0.2">
      <c r="A13" s="341" t="s">
        <v>3</v>
      </c>
      <c r="B13" s="343" t="s">
        <v>43</v>
      </c>
      <c r="C13" s="345" t="s">
        <v>4</v>
      </c>
      <c r="D13" s="343" t="s">
        <v>106</v>
      </c>
      <c r="E13" s="105" t="s">
        <v>107</v>
      </c>
      <c r="F13" s="347" t="s">
        <v>5</v>
      </c>
      <c r="G13" s="348"/>
      <c r="H13" s="348"/>
      <c r="I13" s="348"/>
      <c r="J13" s="349"/>
      <c r="K13" s="350" t="s">
        <v>34</v>
      </c>
    </row>
    <row r="14" spans="1:16" ht="21" thickBot="1" x14ac:dyDescent="0.25">
      <c r="A14" s="342"/>
      <c r="B14" s="344"/>
      <c r="C14" s="346"/>
      <c r="D14" s="344"/>
      <c r="E14" s="106" t="s">
        <v>108</v>
      </c>
      <c r="F14" s="107" t="s">
        <v>6</v>
      </c>
      <c r="G14" s="107" t="s">
        <v>7</v>
      </c>
      <c r="H14" s="107" t="s">
        <v>8</v>
      </c>
      <c r="I14" s="65" t="s">
        <v>9</v>
      </c>
      <c r="J14" s="65" t="s">
        <v>33</v>
      </c>
      <c r="K14" s="351"/>
    </row>
    <row r="15" spans="1:16" ht="26.25" x14ac:dyDescent="0.2">
      <c r="A15" s="262" t="s">
        <v>41</v>
      </c>
      <c r="B15" s="264">
        <v>146</v>
      </c>
      <c r="C15" s="266" t="s">
        <v>29</v>
      </c>
      <c r="D15" s="332" t="s">
        <v>109</v>
      </c>
      <c r="E15" s="336" t="s">
        <v>110</v>
      </c>
      <c r="F15" s="268"/>
      <c r="G15" s="20"/>
      <c r="H15" s="21"/>
      <c r="I15" s="22"/>
      <c r="J15" s="35"/>
      <c r="K15" s="270"/>
      <c r="M15" s="48">
        <f>SUM(F15+(F45*10)+(F33*10)+F23+F35+(F37*10)+F49)</f>
        <v>0</v>
      </c>
      <c r="N15" s="49" t="s">
        <v>67</v>
      </c>
      <c r="O15" s="49">
        <v>2715</v>
      </c>
      <c r="P15" s="49" t="s">
        <v>68</v>
      </c>
    </row>
    <row r="16" spans="1:16" ht="27" thickBot="1" x14ac:dyDescent="0.25">
      <c r="A16" s="263"/>
      <c r="B16" s="265"/>
      <c r="C16" s="267"/>
      <c r="D16" s="333"/>
      <c r="E16" s="337"/>
      <c r="F16" s="269"/>
      <c r="G16" s="23"/>
      <c r="H16" s="24"/>
      <c r="I16" s="25"/>
      <c r="J16" s="25"/>
      <c r="K16" s="271"/>
      <c r="M16" s="48">
        <f>SUM((F45/3)*20+F21)</f>
        <v>0</v>
      </c>
      <c r="N16" s="49" t="s">
        <v>67</v>
      </c>
      <c r="O16" s="49">
        <v>2707</v>
      </c>
      <c r="P16" s="49" t="s">
        <v>69</v>
      </c>
    </row>
    <row r="17" spans="1:16" ht="26.25" x14ac:dyDescent="0.2">
      <c r="A17" s="272" t="s">
        <v>55</v>
      </c>
      <c r="B17" s="273">
        <v>148</v>
      </c>
      <c r="C17" s="274" t="s">
        <v>10</v>
      </c>
      <c r="D17" s="332" t="s">
        <v>109</v>
      </c>
      <c r="E17" s="336" t="s">
        <v>111</v>
      </c>
      <c r="F17" s="268"/>
      <c r="G17" s="26"/>
      <c r="H17" s="27"/>
      <c r="I17" s="28"/>
      <c r="J17" s="36"/>
      <c r="K17" s="275"/>
      <c r="M17" s="48">
        <f>SUM(F25)</f>
        <v>0</v>
      </c>
      <c r="N17" s="49" t="s">
        <v>67</v>
      </c>
      <c r="O17" s="49">
        <v>2699</v>
      </c>
      <c r="P17" s="49" t="s">
        <v>70</v>
      </c>
    </row>
    <row r="18" spans="1:16" ht="27" thickBot="1" x14ac:dyDescent="0.25">
      <c r="A18" s="263"/>
      <c r="B18" s="265"/>
      <c r="C18" s="267"/>
      <c r="D18" s="333"/>
      <c r="E18" s="337"/>
      <c r="F18" s="269"/>
      <c r="G18" s="23"/>
      <c r="H18" s="24"/>
      <c r="I18" s="25"/>
      <c r="J18" s="25"/>
      <c r="K18" s="271"/>
      <c r="M18" s="48">
        <f>SUM(F27+F41)</f>
        <v>0</v>
      </c>
      <c r="N18" s="49" t="s">
        <v>67</v>
      </c>
      <c r="O18" s="49">
        <v>2657</v>
      </c>
      <c r="P18" s="49" t="s">
        <v>71</v>
      </c>
    </row>
    <row r="19" spans="1:16" ht="26.25" customHeight="1" x14ac:dyDescent="0.2">
      <c r="A19" s="280" t="s">
        <v>80</v>
      </c>
      <c r="B19" s="282">
        <v>150</v>
      </c>
      <c r="C19" s="276" t="s">
        <v>81</v>
      </c>
      <c r="D19" s="332" t="s">
        <v>109</v>
      </c>
      <c r="E19" s="336" t="s">
        <v>111</v>
      </c>
      <c r="F19" s="268"/>
      <c r="G19" s="26"/>
      <c r="H19" s="27"/>
      <c r="I19" s="28"/>
      <c r="J19" s="36"/>
      <c r="K19" s="278"/>
      <c r="M19" s="48">
        <f>SUM(F29*10)</f>
        <v>0</v>
      </c>
      <c r="N19" s="49" t="s">
        <v>67</v>
      </c>
      <c r="O19" s="49">
        <v>59</v>
      </c>
      <c r="P19" s="49" t="s">
        <v>72</v>
      </c>
    </row>
    <row r="20" spans="1:16" ht="27" thickBot="1" x14ac:dyDescent="0.25">
      <c r="A20" s="281"/>
      <c r="B20" s="283"/>
      <c r="C20" s="277"/>
      <c r="D20" s="333"/>
      <c r="E20" s="337"/>
      <c r="F20" s="269"/>
      <c r="G20" s="23"/>
      <c r="H20" s="24"/>
      <c r="I20" s="25"/>
      <c r="J20" s="25"/>
      <c r="K20" s="279"/>
    </row>
    <row r="21" spans="1:16" ht="26.25" x14ac:dyDescent="0.2">
      <c r="A21" s="280" t="s">
        <v>53</v>
      </c>
      <c r="B21" s="282">
        <v>6135</v>
      </c>
      <c r="C21" s="276" t="s">
        <v>56</v>
      </c>
      <c r="D21" s="332" t="s">
        <v>109</v>
      </c>
      <c r="E21" s="336" t="s">
        <v>110</v>
      </c>
      <c r="F21" s="268"/>
      <c r="G21" s="26"/>
      <c r="H21" s="27"/>
      <c r="I21" s="28"/>
      <c r="J21" s="36"/>
      <c r="K21" s="278"/>
    </row>
    <row r="22" spans="1:16" ht="27" thickBot="1" x14ac:dyDescent="0.25">
      <c r="A22" s="281"/>
      <c r="B22" s="283"/>
      <c r="C22" s="277"/>
      <c r="D22" s="333"/>
      <c r="E22" s="337"/>
      <c r="F22" s="269"/>
      <c r="G22" s="23"/>
      <c r="H22" s="24"/>
      <c r="I22" s="25"/>
      <c r="J22" s="25"/>
      <c r="K22" s="279"/>
    </row>
    <row r="23" spans="1:16" ht="26.25" x14ac:dyDescent="0.2">
      <c r="A23" s="280" t="s">
        <v>16</v>
      </c>
      <c r="B23" s="282">
        <v>2526</v>
      </c>
      <c r="C23" s="276" t="s">
        <v>23</v>
      </c>
      <c r="D23" s="332" t="s">
        <v>112</v>
      </c>
      <c r="E23" s="336" t="s">
        <v>110</v>
      </c>
      <c r="F23" s="268"/>
      <c r="G23" s="26"/>
      <c r="H23" s="27"/>
      <c r="I23" s="28"/>
      <c r="J23" s="29"/>
      <c r="K23" s="284"/>
    </row>
    <row r="24" spans="1:16" ht="27" thickBot="1" x14ac:dyDescent="0.25">
      <c r="A24" s="281"/>
      <c r="B24" s="283"/>
      <c r="C24" s="277"/>
      <c r="D24" s="333"/>
      <c r="E24" s="337"/>
      <c r="F24" s="269"/>
      <c r="G24" s="23"/>
      <c r="H24" s="24"/>
      <c r="I24" s="25"/>
      <c r="J24" s="30"/>
      <c r="K24" s="285"/>
    </row>
    <row r="25" spans="1:16" ht="26.25" x14ac:dyDescent="0.2">
      <c r="A25" s="280" t="s">
        <v>63</v>
      </c>
      <c r="B25" s="282">
        <v>2527</v>
      </c>
      <c r="C25" s="276" t="s">
        <v>24</v>
      </c>
      <c r="D25" s="332" t="s">
        <v>109</v>
      </c>
      <c r="E25" s="336" t="s">
        <v>110</v>
      </c>
      <c r="F25" s="268"/>
      <c r="G25" s="26"/>
      <c r="H25" s="27"/>
      <c r="I25" s="28"/>
      <c r="J25" s="29"/>
      <c r="K25" s="286"/>
    </row>
    <row r="26" spans="1:16" ht="27" thickBot="1" x14ac:dyDescent="0.25">
      <c r="A26" s="281"/>
      <c r="B26" s="283"/>
      <c r="C26" s="277"/>
      <c r="D26" s="333"/>
      <c r="E26" s="337"/>
      <c r="F26" s="269"/>
      <c r="G26" s="23"/>
      <c r="H26" s="24"/>
      <c r="I26" s="25"/>
      <c r="J26" s="30"/>
      <c r="K26" s="287"/>
    </row>
    <row r="27" spans="1:16" ht="26.25" x14ac:dyDescent="0.2">
      <c r="A27" s="280" t="s">
        <v>14</v>
      </c>
      <c r="B27" s="282">
        <v>3800</v>
      </c>
      <c r="C27" s="276" t="s">
        <v>45</v>
      </c>
      <c r="D27" s="332" t="s">
        <v>112</v>
      </c>
      <c r="E27" s="338" t="s">
        <v>113</v>
      </c>
      <c r="F27" s="268"/>
      <c r="G27" s="26"/>
      <c r="H27" s="27"/>
      <c r="I27" s="26"/>
      <c r="J27" s="29"/>
      <c r="K27" s="284"/>
    </row>
    <row r="28" spans="1:16" ht="27" thickBot="1" x14ac:dyDescent="0.25">
      <c r="A28" s="281"/>
      <c r="B28" s="283"/>
      <c r="C28" s="277"/>
      <c r="D28" s="333"/>
      <c r="E28" s="339"/>
      <c r="F28" s="269"/>
      <c r="G28" s="23"/>
      <c r="H28" s="24"/>
      <c r="I28" s="25"/>
      <c r="J28" s="32"/>
      <c r="K28" s="285"/>
    </row>
    <row r="29" spans="1:16" ht="26.25" x14ac:dyDescent="0.2">
      <c r="A29" s="280" t="s">
        <v>15</v>
      </c>
      <c r="B29" s="282">
        <v>3801</v>
      </c>
      <c r="C29" s="276" t="s">
        <v>25</v>
      </c>
      <c r="D29" s="332" t="s">
        <v>112</v>
      </c>
      <c r="E29" s="338" t="s">
        <v>113</v>
      </c>
      <c r="F29" s="268"/>
      <c r="G29" s="26"/>
      <c r="H29" s="27"/>
      <c r="I29" s="28"/>
      <c r="J29" s="29"/>
      <c r="K29" s="284"/>
    </row>
    <row r="30" spans="1:16" ht="27" thickBot="1" x14ac:dyDescent="0.25">
      <c r="A30" s="281"/>
      <c r="B30" s="283"/>
      <c r="C30" s="277"/>
      <c r="D30" s="333"/>
      <c r="E30" s="339"/>
      <c r="F30" s="269"/>
      <c r="G30" s="23"/>
      <c r="H30" s="24"/>
      <c r="I30" s="25"/>
      <c r="J30" s="30"/>
      <c r="K30" s="285"/>
    </row>
    <row r="31" spans="1:16" ht="26.25" customHeight="1" x14ac:dyDescent="0.2">
      <c r="A31" s="280" t="s">
        <v>17</v>
      </c>
      <c r="B31" s="282">
        <v>3802</v>
      </c>
      <c r="C31" s="276" t="s">
        <v>47</v>
      </c>
      <c r="D31" s="332" t="s">
        <v>112</v>
      </c>
      <c r="E31" s="336" t="s">
        <v>114</v>
      </c>
      <c r="F31" s="268"/>
      <c r="G31" s="26"/>
      <c r="H31" s="27"/>
      <c r="I31" s="28"/>
      <c r="J31" s="63"/>
      <c r="K31" s="284"/>
    </row>
    <row r="32" spans="1:16" ht="27" thickBot="1" x14ac:dyDescent="0.25">
      <c r="A32" s="281"/>
      <c r="B32" s="283"/>
      <c r="C32" s="277"/>
      <c r="D32" s="333"/>
      <c r="E32" s="337"/>
      <c r="F32" s="269"/>
      <c r="G32" s="23"/>
      <c r="H32" s="24"/>
      <c r="I32" s="25"/>
      <c r="J32" s="30"/>
      <c r="K32" s="285"/>
    </row>
    <row r="33" spans="1:11" ht="26.25" x14ac:dyDescent="0.2">
      <c r="A33" s="280" t="s">
        <v>18</v>
      </c>
      <c r="B33" s="282">
        <v>3805</v>
      </c>
      <c r="C33" s="276" t="s">
        <v>26</v>
      </c>
      <c r="D33" s="332" t="s">
        <v>112</v>
      </c>
      <c r="E33" s="336" t="s">
        <v>110</v>
      </c>
      <c r="F33" s="268"/>
      <c r="G33" s="26"/>
      <c r="H33" s="27"/>
      <c r="I33" s="28"/>
      <c r="J33" s="29"/>
      <c r="K33" s="284"/>
    </row>
    <row r="34" spans="1:11" ht="27" thickBot="1" x14ac:dyDescent="0.25">
      <c r="A34" s="281"/>
      <c r="B34" s="283"/>
      <c r="C34" s="277"/>
      <c r="D34" s="333"/>
      <c r="E34" s="337"/>
      <c r="F34" s="269"/>
      <c r="G34" s="23"/>
      <c r="H34" s="24"/>
      <c r="I34" s="25"/>
      <c r="J34" s="32"/>
      <c r="K34" s="285"/>
    </row>
    <row r="35" spans="1:11" ht="26.25" x14ac:dyDescent="0.2">
      <c r="A35" s="280" t="s">
        <v>57</v>
      </c>
      <c r="B35" s="282">
        <v>3808</v>
      </c>
      <c r="C35" s="276" t="s">
        <v>27</v>
      </c>
      <c r="D35" s="332" t="s">
        <v>109</v>
      </c>
      <c r="E35" s="336" t="s">
        <v>110</v>
      </c>
      <c r="F35" s="268"/>
      <c r="G35" s="26"/>
      <c r="H35" s="27"/>
      <c r="I35" s="28"/>
      <c r="J35" s="29"/>
      <c r="K35" s="284"/>
    </row>
    <row r="36" spans="1:11" ht="27" thickBot="1" x14ac:dyDescent="0.25">
      <c r="A36" s="281"/>
      <c r="B36" s="283"/>
      <c r="C36" s="277"/>
      <c r="D36" s="333"/>
      <c r="E36" s="337"/>
      <c r="F36" s="269"/>
      <c r="G36" s="23"/>
      <c r="H36" s="24"/>
      <c r="I36" s="25"/>
      <c r="J36" s="32"/>
      <c r="K36" s="285"/>
    </row>
    <row r="37" spans="1:11" ht="26.25" x14ac:dyDescent="0.2">
      <c r="A37" s="280" t="s">
        <v>21</v>
      </c>
      <c r="B37" s="282">
        <v>3810</v>
      </c>
      <c r="C37" s="276" t="s">
        <v>48</v>
      </c>
      <c r="D37" s="332" t="s">
        <v>112</v>
      </c>
      <c r="E37" s="336" t="s">
        <v>110</v>
      </c>
      <c r="F37" s="268"/>
      <c r="G37" s="26"/>
      <c r="H37" s="27"/>
      <c r="I37" s="28"/>
      <c r="J37" s="29"/>
      <c r="K37" s="288"/>
    </row>
    <row r="38" spans="1:11" ht="27" thickBot="1" x14ac:dyDescent="0.25">
      <c r="A38" s="281"/>
      <c r="B38" s="283"/>
      <c r="C38" s="277"/>
      <c r="D38" s="333"/>
      <c r="E38" s="337"/>
      <c r="F38" s="269"/>
      <c r="G38" s="23"/>
      <c r="H38" s="24"/>
      <c r="I38" s="25"/>
      <c r="J38" s="32"/>
      <c r="K38" s="289"/>
    </row>
    <row r="39" spans="1:11" ht="26.25" x14ac:dyDescent="0.2">
      <c r="A39" s="280" t="s">
        <v>64</v>
      </c>
      <c r="B39" s="282">
        <v>6056</v>
      </c>
      <c r="C39" s="276" t="s">
        <v>31</v>
      </c>
      <c r="D39" s="332" t="s">
        <v>109</v>
      </c>
      <c r="E39" s="338" t="s">
        <v>113</v>
      </c>
      <c r="F39" s="268"/>
      <c r="G39" s="33"/>
      <c r="H39" s="27"/>
      <c r="I39" s="28"/>
      <c r="J39" s="29"/>
      <c r="K39" s="288"/>
    </row>
    <row r="40" spans="1:11" ht="27" thickBot="1" x14ac:dyDescent="0.25">
      <c r="A40" s="281"/>
      <c r="B40" s="283"/>
      <c r="C40" s="277"/>
      <c r="D40" s="333"/>
      <c r="E40" s="339"/>
      <c r="F40" s="269"/>
      <c r="G40" s="34"/>
      <c r="H40" s="24"/>
      <c r="I40" s="25"/>
      <c r="J40" s="30"/>
      <c r="K40" s="289"/>
    </row>
    <row r="41" spans="1:11" ht="26.25" x14ac:dyDescent="0.2">
      <c r="A41" s="280" t="s">
        <v>19</v>
      </c>
      <c r="B41" s="282">
        <v>3820</v>
      </c>
      <c r="C41" s="276" t="s">
        <v>46</v>
      </c>
      <c r="D41" s="332" t="s">
        <v>109</v>
      </c>
      <c r="E41" s="338" t="s">
        <v>113</v>
      </c>
      <c r="F41" s="268"/>
      <c r="G41" s="26"/>
      <c r="H41" s="27"/>
      <c r="I41" s="28"/>
      <c r="J41" s="29"/>
      <c r="K41" s="288"/>
    </row>
    <row r="42" spans="1:11" ht="27" thickBot="1" x14ac:dyDescent="0.25">
      <c r="A42" s="290"/>
      <c r="B42" s="291"/>
      <c r="C42" s="292"/>
      <c r="D42" s="333"/>
      <c r="E42" s="339"/>
      <c r="F42" s="269"/>
      <c r="G42" s="23"/>
      <c r="H42" s="24"/>
      <c r="I42" s="25"/>
      <c r="J42" s="32"/>
      <c r="K42" s="289"/>
    </row>
    <row r="43" spans="1:11" ht="26.25" x14ac:dyDescent="0.2">
      <c r="A43" s="280" t="s">
        <v>20</v>
      </c>
      <c r="B43" s="282">
        <v>3821</v>
      </c>
      <c r="C43" s="276" t="s">
        <v>28</v>
      </c>
      <c r="D43" s="332" t="s">
        <v>112</v>
      </c>
      <c r="E43" s="338" t="s">
        <v>113</v>
      </c>
      <c r="F43" s="268"/>
      <c r="G43" s="26"/>
      <c r="H43" s="27"/>
      <c r="I43" s="28"/>
      <c r="J43" s="31"/>
      <c r="K43" s="288"/>
    </row>
    <row r="44" spans="1:11" ht="27" thickBot="1" x14ac:dyDescent="0.25">
      <c r="A44" s="281"/>
      <c r="B44" s="283"/>
      <c r="C44" s="277"/>
      <c r="D44" s="333"/>
      <c r="E44" s="339"/>
      <c r="F44" s="269"/>
      <c r="G44" s="23"/>
      <c r="H44" s="24"/>
      <c r="I44" s="25"/>
      <c r="J44" s="32"/>
      <c r="K44" s="289"/>
    </row>
    <row r="45" spans="1:11" ht="26.25" x14ac:dyDescent="0.2">
      <c r="A45" s="280" t="s">
        <v>58</v>
      </c>
      <c r="B45" s="282">
        <v>3822</v>
      </c>
      <c r="C45" s="276" t="s">
        <v>38</v>
      </c>
      <c r="D45" s="332" t="s">
        <v>112</v>
      </c>
      <c r="E45" s="336" t="s">
        <v>110</v>
      </c>
      <c r="F45" s="268"/>
      <c r="G45" s="26"/>
      <c r="H45" s="27"/>
      <c r="I45" s="28"/>
      <c r="J45" s="29"/>
      <c r="K45" s="284"/>
    </row>
    <row r="46" spans="1:11" ht="27" thickBot="1" x14ac:dyDescent="0.25">
      <c r="A46" s="281"/>
      <c r="B46" s="283"/>
      <c r="C46" s="277"/>
      <c r="D46" s="333"/>
      <c r="E46" s="337"/>
      <c r="F46" s="269"/>
      <c r="G46" s="23"/>
      <c r="H46" s="24"/>
      <c r="I46" s="25"/>
      <c r="J46" s="32"/>
      <c r="K46" s="285"/>
    </row>
    <row r="47" spans="1:11" ht="26.25" customHeight="1" x14ac:dyDescent="0.2">
      <c r="A47" s="280" t="s">
        <v>32</v>
      </c>
      <c r="B47" s="282">
        <v>3832</v>
      </c>
      <c r="C47" s="276" t="s">
        <v>37</v>
      </c>
      <c r="D47" s="332" t="s">
        <v>109</v>
      </c>
      <c r="E47" s="336" t="s">
        <v>110</v>
      </c>
      <c r="F47" s="268"/>
      <c r="G47" s="27"/>
      <c r="H47" s="27"/>
      <c r="I47" s="28"/>
      <c r="J47" s="31"/>
      <c r="K47" s="288"/>
    </row>
    <row r="48" spans="1:11" ht="27" thickBot="1" x14ac:dyDescent="0.25">
      <c r="A48" s="281"/>
      <c r="B48" s="283"/>
      <c r="C48" s="277"/>
      <c r="D48" s="333"/>
      <c r="E48" s="337"/>
      <c r="F48" s="269"/>
      <c r="G48" s="24"/>
      <c r="H48" s="24"/>
      <c r="I48" s="25"/>
      <c r="J48" s="32"/>
      <c r="K48" s="289"/>
    </row>
    <row r="49" spans="1:13" ht="26.25" x14ac:dyDescent="0.2">
      <c r="A49" s="280" t="s">
        <v>59</v>
      </c>
      <c r="B49" s="282">
        <v>4173</v>
      </c>
      <c r="C49" s="276" t="s">
        <v>12</v>
      </c>
      <c r="D49" s="332" t="s">
        <v>109</v>
      </c>
      <c r="E49" s="336" t="s">
        <v>110</v>
      </c>
      <c r="F49" s="268"/>
      <c r="G49" s="27"/>
      <c r="H49" s="27"/>
      <c r="I49" s="28"/>
      <c r="J49" s="31"/>
      <c r="K49" s="284"/>
    </row>
    <row r="50" spans="1:13" ht="27" thickBot="1" x14ac:dyDescent="0.25">
      <c r="A50" s="281"/>
      <c r="B50" s="283"/>
      <c r="C50" s="277"/>
      <c r="D50" s="333"/>
      <c r="E50" s="337"/>
      <c r="F50" s="269"/>
      <c r="G50" s="24"/>
      <c r="H50" s="24"/>
      <c r="I50" s="25"/>
      <c r="J50" s="32"/>
      <c r="K50" s="285"/>
    </row>
    <row r="51" spans="1:13" ht="26.25" x14ac:dyDescent="0.2">
      <c r="A51" s="280" t="s">
        <v>22</v>
      </c>
      <c r="B51" s="293">
        <v>2</v>
      </c>
      <c r="C51" s="276" t="s">
        <v>30</v>
      </c>
      <c r="D51" s="332" t="s">
        <v>109</v>
      </c>
      <c r="E51" s="334" t="s">
        <v>115</v>
      </c>
      <c r="F51" s="268"/>
      <c r="G51" s="27"/>
      <c r="H51" s="27"/>
      <c r="I51" s="31"/>
      <c r="J51" s="31"/>
      <c r="K51" s="288"/>
    </row>
    <row r="52" spans="1:13" ht="27" thickBot="1" x14ac:dyDescent="0.25">
      <c r="A52" s="281"/>
      <c r="B52" s="294"/>
      <c r="C52" s="277"/>
      <c r="D52" s="333"/>
      <c r="E52" s="335"/>
      <c r="F52" s="269"/>
      <c r="G52" s="24"/>
      <c r="H52" s="24"/>
      <c r="I52" s="32"/>
      <c r="J52" s="32"/>
      <c r="K52" s="289"/>
    </row>
    <row r="53" spans="1:13" s="80" customFormat="1" ht="25.5" customHeight="1" x14ac:dyDescent="0.2">
      <c r="A53" s="78"/>
      <c r="B53" s="329" t="s">
        <v>99</v>
      </c>
      <c r="C53" s="329"/>
      <c r="D53" s="329"/>
      <c r="E53" s="329"/>
      <c r="F53" s="329"/>
      <c r="G53" s="329"/>
      <c r="H53" s="329"/>
      <c r="I53" s="329"/>
      <c r="J53" s="329"/>
      <c r="K53" s="79"/>
    </row>
    <row r="54" spans="1:13" s="76" customFormat="1" ht="25.5" customHeight="1" x14ac:dyDescent="0.2">
      <c r="A54" s="81"/>
      <c r="B54" s="82"/>
      <c r="C54" s="83"/>
      <c r="D54" s="84"/>
      <c r="E54" s="84"/>
      <c r="F54" s="84"/>
      <c r="G54" s="85"/>
      <c r="H54" s="85"/>
      <c r="I54" s="86"/>
      <c r="J54" s="87"/>
      <c r="K54" s="88"/>
    </row>
    <row r="55" spans="1:13" s="76" customFormat="1" ht="25.5" customHeight="1" thickBot="1" x14ac:dyDescent="0.25">
      <c r="A55" s="81"/>
      <c r="C55" s="89" t="s">
        <v>100</v>
      </c>
      <c r="D55" s="90"/>
      <c r="E55" s="86"/>
      <c r="F55" s="84"/>
      <c r="G55" s="330" t="s">
        <v>101</v>
      </c>
      <c r="H55" s="330"/>
      <c r="I55" s="91"/>
      <c r="J55" s="87"/>
      <c r="K55" s="88"/>
    </row>
    <row r="56" spans="1:13" s="76" customFormat="1" ht="25.5" customHeight="1" x14ac:dyDescent="0.2">
      <c r="A56" s="81"/>
      <c r="B56" s="82"/>
      <c r="C56" s="83"/>
      <c r="D56" s="84"/>
      <c r="E56" s="84"/>
      <c r="F56" s="84"/>
      <c r="G56" s="85"/>
      <c r="H56" s="85"/>
      <c r="I56" s="86"/>
      <c r="J56" s="87"/>
      <c r="K56" s="88"/>
    </row>
    <row r="57" spans="1:13" s="76" customFormat="1" ht="30" customHeight="1" x14ac:dyDescent="0.2">
      <c r="A57" s="331" t="s">
        <v>13</v>
      </c>
      <c r="B57" s="331"/>
      <c r="C57" s="331"/>
      <c r="D57" s="331"/>
      <c r="E57" s="331"/>
      <c r="F57" s="331"/>
      <c r="G57" s="331"/>
      <c r="H57" s="331"/>
      <c r="I57" s="331"/>
      <c r="J57" s="331"/>
      <c r="K57" s="331"/>
      <c r="M57" s="76" t="s">
        <v>0</v>
      </c>
    </row>
    <row r="58" spans="1:13" s="76" customFormat="1" ht="30" customHeight="1" x14ac:dyDescent="0.2">
      <c r="A58" s="92"/>
      <c r="B58" s="327"/>
      <c r="C58" s="327"/>
      <c r="D58" s="327"/>
      <c r="E58" s="327"/>
      <c r="F58" s="327"/>
      <c r="G58" s="327"/>
      <c r="H58" s="327"/>
      <c r="I58" s="327"/>
      <c r="J58" s="327"/>
      <c r="K58" s="93"/>
    </row>
    <row r="59" spans="1:13" s="76" customFormat="1" ht="30" customHeight="1" x14ac:dyDescent="0.2">
      <c r="A59" s="92"/>
      <c r="B59" s="327"/>
      <c r="C59" s="327"/>
      <c r="D59" s="327"/>
      <c r="E59" s="327"/>
      <c r="F59" s="327"/>
      <c r="G59" s="327"/>
      <c r="H59" s="327"/>
      <c r="I59" s="327"/>
      <c r="J59" s="327"/>
      <c r="K59" s="92"/>
      <c r="L59" s="92"/>
    </row>
    <row r="60" spans="1:13" s="76" customFormat="1" ht="30" customHeight="1" x14ac:dyDescent="0.2">
      <c r="A60" s="92"/>
      <c r="B60" s="327"/>
      <c r="C60" s="327"/>
      <c r="D60" s="327"/>
      <c r="E60" s="327"/>
      <c r="F60" s="327"/>
      <c r="G60" s="327"/>
      <c r="H60" s="327"/>
      <c r="I60" s="327"/>
      <c r="J60" s="327"/>
      <c r="K60" s="92"/>
      <c r="L60" s="83"/>
    </row>
    <row r="61" spans="1:13" s="76" customFormat="1" ht="30" customHeight="1" x14ac:dyDescent="0.2">
      <c r="A61" s="94"/>
      <c r="B61" s="95"/>
      <c r="C61" s="96"/>
      <c r="D61" s="96"/>
      <c r="E61" s="96"/>
      <c r="F61" s="95"/>
      <c r="G61" s="95"/>
      <c r="H61" s="95"/>
      <c r="I61" s="96"/>
      <c r="J61" s="96"/>
      <c r="K61" s="96"/>
    </row>
    <row r="62" spans="1:13" s="76" customFormat="1" ht="30" customHeight="1" x14ac:dyDescent="0.2">
      <c r="A62" s="94"/>
      <c r="B62" s="95"/>
      <c r="C62" s="96"/>
      <c r="D62" s="96"/>
      <c r="E62" s="96"/>
      <c r="F62" s="95"/>
      <c r="H62" s="95"/>
      <c r="I62" s="95"/>
    </row>
    <row r="63" spans="1:13" s="76" customFormat="1" ht="30" customHeight="1" x14ac:dyDescent="0.2">
      <c r="A63" s="97"/>
      <c r="B63" s="42"/>
      <c r="C63" s="45"/>
      <c r="D63" s="45"/>
      <c r="E63" s="45"/>
      <c r="F63" s="42"/>
      <c r="G63" s="43"/>
      <c r="H63" s="42"/>
      <c r="I63" s="42"/>
      <c r="J63" s="43"/>
      <c r="K63" s="43"/>
    </row>
    <row r="64" spans="1:13" s="75" customFormat="1" ht="20.100000000000001" customHeight="1" x14ac:dyDescent="0.2">
      <c r="A64" s="314" t="s">
        <v>102</v>
      </c>
      <c r="B64" s="314"/>
      <c r="C64" s="314"/>
      <c r="D64" s="46"/>
      <c r="E64" s="46"/>
      <c r="F64" s="42"/>
      <c r="G64" s="98"/>
      <c r="H64" s="315" t="s">
        <v>74</v>
      </c>
      <c r="I64" s="315"/>
      <c r="J64" s="315"/>
      <c r="K64" s="315"/>
      <c r="L64" s="99"/>
    </row>
    <row r="65" spans="1:12" s="75" customFormat="1" ht="20.100000000000001" customHeight="1" x14ac:dyDescent="0.2">
      <c r="A65" s="310" t="s">
        <v>103</v>
      </c>
      <c r="B65" s="310"/>
      <c r="C65" s="310"/>
      <c r="D65" s="42"/>
      <c r="E65" s="42"/>
      <c r="F65" s="42"/>
      <c r="G65" s="98"/>
      <c r="H65" s="310" t="s">
        <v>44</v>
      </c>
      <c r="I65" s="310"/>
      <c r="J65" s="310"/>
      <c r="K65" s="310"/>
    </row>
    <row r="66" spans="1:12" s="75" customFormat="1" ht="30" customHeight="1" x14ac:dyDescent="0.2">
      <c r="A66" s="42"/>
      <c r="B66" s="42"/>
      <c r="C66" s="42"/>
      <c r="D66" s="42"/>
      <c r="E66" s="42"/>
      <c r="F66" s="42"/>
      <c r="G66" s="98"/>
      <c r="H66" s="42"/>
      <c r="I66" s="42"/>
      <c r="J66" s="42"/>
      <c r="K66" s="42"/>
    </row>
    <row r="67" spans="1:12" s="75" customFormat="1" ht="30" customHeight="1" x14ac:dyDescent="0.2">
      <c r="A67" s="42"/>
      <c r="B67" s="42"/>
      <c r="C67" s="42"/>
      <c r="D67" s="42"/>
      <c r="E67" s="42"/>
      <c r="F67" s="42"/>
      <c r="G67" s="98"/>
      <c r="H67" s="42"/>
      <c r="I67" s="42"/>
      <c r="J67" s="42"/>
      <c r="K67" s="42"/>
    </row>
    <row r="68" spans="1:12" s="75" customFormat="1" ht="30" customHeight="1" x14ac:dyDescent="0.2">
      <c r="A68" s="42"/>
      <c r="B68" s="42"/>
      <c r="C68" s="42"/>
      <c r="D68" s="42"/>
      <c r="E68" s="42"/>
      <c r="F68" s="42"/>
      <c r="G68" s="98"/>
      <c r="H68" s="42"/>
      <c r="I68" s="42"/>
      <c r="J68" s="42"/>
      <c r="K68" s="42"/>
    </row>
    <row r="69" spans="1:12" s="75" customFormat="1" ht="30" customHeight="1" x14ac:dyDescent="0.2">
      <c r="A69" s="42"/>
      <c r="B69" s="42"/>
      <c r="C69" s="98"/>
      <c r="D69" s="98"/>
      <c r="E69" s="98"/>
      <c r="F69" s="42"/>
      <c r="G69" s="98"/>
      <c r="H69" s="42"/>
      <c r="I69" s="42"/>
      <c r="J69" s="98"/>
      <c r="K69" s="98"/>
    </row>
    <row r="70" spans="1:12" s="76" customFormat="1" ht="30" customHeight="1" x14ac:dyDescent="0.2">
      <c r="A70" s="328" t="s">
        <v>116</v>
      </c>
      <c r="B70" s="328"/>
      <c r="C70" s="328"/>
      <c r="D70" s="43"/>
      <c r="E70" s="43"/>
      <c r="F70" s="45"/>
      <c r="G70" s="47"/>
      <c r="H70" s="328"/>
      <c r="I70" s="328"/>
      <c r="J70" s="328"/>
      <c r="K70" s="328"/>
      <c r="L70" s="100"/>
    </row>
    <row r="71" spans="1:12" s="76" customFormat="1" ht="30" customHeight="1" x14ac:dyDescent="0.2">
      <c r="A71" s="316" t="s">
        <v>104</v>
      </c>
      <c r="B71" s="316"/>
      <c r="C71" s="316"/>
      <c r="D71" s="42"/>
      <c r="E71" s="42"/>
      <c r="F71" s="46"/>
      <c r="G71" s="43"/>
      <c r="H71" s="314" t="s">
        <v>105</v>
      </c>
      <c r="I71" s="314"/>
      <c r="J71" s="314"/>
      <c r="K71" s="314"/>
      <c r="L71" s="100"/>
    </row>
    <row r="72" spans="1:12" s="69" customFormat="1" ht="30" customHeight="1" x14ac:dyDescent="0.2">
      <c r="A72" s="310"/>
      <c r="B72" s="310"/>
      <c r="C72" s="310"/>
      <c r="D72" s="42"/>
      <c r="E72" s="42"/>
      <c r="F72" s="1"/>
      <c r="G72" s="2"/>
      <c r="H72" s="2"/>
      <c r="I72" s="2"/>
      <c r="J72" s="2"/>
      <c r="K72" s="4"/>
      <c r="L72" s="101"/>
    </row>
    <row r="73" spans="1:12" s="69" customFormat="1" ht="30" customHeight="1" x14ac:dyDescent="0.2">
      <c r="B73" s="326"/>
      <c r="C73" s="326"/>
      <c r="D73" s="102"/>
      <c r="E73" s="102"/>
      <c r="G73" s="103"/>
      <c r="H73" s="103"/>
      <c r="I73" s="103"/>
      <c r="J73" s="103"/>
    </row>
    <row r="74" spans="1:12" s="69" customFormat="1" ht="30" customHeight="1" x14ac:dyDescent="0.2">
      <c r="G74" s="103"/>
      <c r="H74" s="103"/>
      <c r="I74" s="103"/>
      <c r="J74" s="103"/>
    </row>
    <row r="75" spans="1:12" s="69" customFormat="1" ht="30" customHeight="1" x14ac:dyDescent="0.2">
      <c r="G75" s="103"/>
      <c r="H75" s="103"/>
      <c r="I75" s="103"/>
      <c r="J75" s="103"/>
    </row>
    <row r="76" spans="1:12" s="69" customFormat="1" ht="30" customHeight="1" x14ac:dyDescent="0.2">
      <c r="G76" s="103"/>
      <c r="H76" s="103"/>
      <c r="I76" s="103"/>
      <c r="J76" s="103"/>
    </row>
    <row r="77" spans="1:12" s="69" customFormat="1" ht="30" customHeight="1" x14ac:dyDescent="0.2">
      <c r="G77" s="103"/>
      <c r="H77" s="103"/>
      <c r="I77" s="103"/>
      <c r="J77" s="103"/>
    </row>
    <row r="78" spans="1:12" s="69" customFormat="1" ht="30" customHeight="1" x14ac:dyDescent="0.2">
      <c r="G78" s="103"/>
      <c r="H78" s="103"/>
      <c r="I78" s="103"/>
      <c r="J78" s="103"/>
    </row>
    <row r="79" spans="1:12" s="69" customFormat="1" ht="30" customHeight="1" x14ac:dyDescent="0.2">
      <c r="G79" s="103"/>
      <c r="H79" s="103"/>
      <c r="I79" s="103"/>
      <c r="J79" s="103"/>
    </row>
    <row r="80" spans="1:12" s="69" customFormat="1" ht="30" customHeight="1" x14ac:dyDescent="0.2">
      <c r="G80" s="103"/>
      <c r="H80" s="103"/>
      <c r="I80" s="103"/>
      <c r="J80" s="103"/>
    </row>
    <row r="81" spans="7:10" s="69" customFormat="1" ht="30" customHeight="1" x14ac:dyDescent="0.2">
      <c r="G81" s="103"/>
      <c r="H81" s="103"/>
      <c r="I81" s="103"/>
      <c r="J81" s="103"/>
    </row>
    <row r="82" spans="7:10" s="69" customFormat="1" ht="30" customHeight="1" x14ac:dyDescent="0.2">
      <c r="G82" s="103"/>
      <c r="H82" s="103"/>
      <c r="I82" s="103"/>
      <c r="J82" s="103"/>
    </row>
    <row r="83" spans="7:10" s="69" customFormat="1" ht="30" customHeight="1" x14ac:dyDescent="0.2">
      <c r="G83" s="103"/>
      <c r="H83" s="103"/>
      <c r="I83" s="103"/>
      <c r="J83" s="103"/>
    </row>
    <row r="84" spans="7:10" s="69" customFormat="1" ht="30" customHeight="1" x14ac:dyDescent="0.2">
      <c r="G84" s="103"/>
      <c r="H84" s="103"/>
      <c r="I84" s="103"/>
      <c r="J84" s="103"/>
    </row>
    <row r="85" spans="7:10" s="69" customFormat="1" ht="30" customHeight="1" x14ac:dyDescent="0.2">
      <c r="H85" s="104"/>
    </row>
  </sheetData>
  <mergeCells count="167">
    <mergeCell ref="A1:K1"/>
    <mergeCell ref="A2:K2"/>
    <mergeCell ref="A3:K3"/>
    <mergeCell ref="A5:K5"/>
    <mergeCell ref="B7:D7"/>
    <mergeCell ref="H7:J7"/>
    <mergeCell ref="A13:A14"/>
    <mergeCell ref="B13:B14"/>
    <mergeCell ref="C13:C14"/>
    <mergeCell ref="D13:D14"/>
    <mergeCell ref="F13:J13"/>
    <mergeCell ref="K13:K14"/>
    <mergeCell ref="B8:D8"/>
    <mergeCell ref="H8:J8"/>
    <mergeCell ref="B9:D9"/>
    <mergeCell ref="H9:J9"/>
    <mergeCell ref="B10:D10"/>
    <mergeCell ref="H10:J10"/>
    <mergeCell ref="K15:K16"/>
    <mergeCell ref="A17:A18"/>
    <mergeCell ref="B17:B18"/>
    <mergeCell ref="C17:C18"/>
    <mergeCell ref="D17:D18"/>
    <mergeCell ref="E17:E18"/>
    <mergeCell ref="F17:F18"/>
    <mergeCell ref="K17:K18"/>
    <mergeCell ref="A15:A16"/>
    <mergeCell ref="B15:B16"/>
    <mergeCell ref="C15:C16"/>
    <mergeCell ref="D15:D16"/>
    <mergeCell ref="E15:E16"/>
    <mergeCell ref="F15:F16"/>
    <mergeCell ref="K19:K20"/>
    <mergeCell ref="A21:A22"/>
    <mergeCell ref="B21:B22"/>
    <mergeCell ref="C21:C22"/>
    <mergeCell ref="D21:D22"/>
    <mergeCell ref="E21:E22"/>
    <mergeCell ref="F21:F22"/>
    <mergeCell ref="K21:K22"/>
    <mergeCell ref="A19:A20"/>
    <mergeCell ref="B19:B20"/>
    <mergeCell ref="C19:C20"/>
    <mergeCell ref="D19:D20"/>
    <mergeCell ref="E19:E20"/>
    <mergeCell ref="F19:F20"/>
    <mergeCell ref="K23:K24"/>
    <mergeCell ref="A25:A26"/>
    <mergeCell ref="B25:B26"/>
    <mergeCell ref="C25:C26"/>
    <mergeCell ref="D25:D26"/>
    <mergeCell ref="E25:E26"/>
    <mergeCell ref="F25:F26"/>
    <mergeCell ref="K25:K26"/>
    <mergeCell ref="A23:A24"/>
    <mergeCell ref="B23:B24"/>
    <mergeCell ref="C23:C24"/>
    <mergeCell ref="D23:D24"/>
    <mergeCell ref="E23:E24"/>
    <mergeCell ref="F23:F24"/>
    <mergeCell ref="K27:K28"/>
    <mergeCell ref="A29:A30"/>
    <mergeCell ref="B29:B30"/>
    <mergeCell ref="C29:C30"/>
    <mergeCell ref="D29:D30"/>
    <mergeCell ref="E29:E30"/>
    <mergeCell ref="F29:F30"/>
    <mergeCell ref="K29:K30"/>
    <mergeCell ref="A27:A28"/>
    <mergeCell ref="B27:B28"/>
    <mergeCell ref="C27:C28"/>
    <mergeCell ref="D27:D28"/>
    <mergeCell ref="E27:E28"/>
    <mergeCell ref="F27:F28"/>
    <mergeCell ref="K31:K32"/>
    <mergeCell ref="A33:A34"/>
    <mergeCell ref="B33:B34"/>
    <mergeCell ref="C33:C34"/>
    <mergeCell ref="D33:D34"/>
    <mergeCell ref="E33:E34"/>
    <mergeCell ref="F33:F34"/>
    <mergeCell ref="K33:K34"/>
    <mergeCell ref="A31:A32"/>
    <mergeCell ref="B31:B32"/>
    <mergeCell ref="C31:C32"/>
    <mergeCell ref="D31:D32"/>
    <mergeCell ref="E31:E32"/>
    <mergeCell ref="F31:F32"/>
    <mergeCell ref="K35:K36"/>
    <mergeCell ref="A37:A38"/>
    <mergeCell ref="B37:B38"/>
    <mergeCell ref="C37:C38"/>
    <mergeCell ref="D37:D38"/>
    <mergeCell ref="E37:E38"/>
    <mergeCell ref="F37:F38"/>
    <mergeCell ref="K37:K38"/>
    <mergeCell ref="A35:A36"/>
    <mergeCell ref="B35:B36"/>
    <mergeCell ref="C35:C36"/>
    <mergeCell ref="D35:D36"/>
    <mergeCell ref="E35:E36"/>
    <mergeCell ref="F35:F36"/>
    <mergeCell ref="K39:K40"/>
    <mergeCell ref="A41:A42"/>
    <mergeCell ref="B41:B42"/>
    <mergeCell ref="C41:C42"/>
    <mergeCell ref="D41:D42"/>
    <mergeCell ref="E41:E42"/>
    <mergeCell ref="F41:F42"/>
    <mergeCell ref="K41:K42"/>
    <mergeCell ref="A39:A40"/>
    <mergeCell ref="B39:B40"/>
    <mergeCell ref="C39:C40"/>
    <mergeCell ref="D39:D40"/>
    <mergeCell ref="E39:E40"/>
    <mergeCell ref="F39:F40"/>
    <mergeCell ref="K43:K44"/>
    <mergeCell ref="A45:A46"/>
    <mergeCell ref="B45:B46"/>
    <mergeCell ref="C45:C46"/>
    <mergeCell ref="D45:D46"/>
    <mergeCell ref="E45:E46"/>
    <mergeCell ref="F45:F46"/>
    <mergeCell ref="K45:K46"/>
    <mergeCell ref="A43:A44"/>
    <mergeCell ref="B43:B44"/>
    <mergeCell ref="C43:C44"/>
    <mergeCell ref="D43:D44"/>
    <mergeCell ref="E43:E44"/>
    <mergeCell ref="F43:F44"/>
    <mergeCell ref="K47:K48"/>
    <mergeCell ref="A49:A50"/>
    <mergeCell ref="B49:B50"/>
    <mergeCell ref="C49:C50"/>
    <mergeCell ref="D49:D50"/>
    <mergeCell ref="E49:E50"/>
    <mergeCell ref="F49:F50"/>
    <mergeCell ref="K49:K50"/>
    <mergeCell ref="A47:A48"/>
    <mergeCell ref="B47:B48"/>
    <mergeCell ref="C47:C48"/>
    <mergeCell ref="D47:D48"/>
    <mergeCell ref="E47:E48"/>
    <mergeCell ref="F47:F48"/>
    <mergeCell ref="K51:K52"/>
    <mergeCell ref="B53:J53"/>
    <mergeCell ref="G55:H55"/>
    <mergeCell ref="A57:K57"/>
    <mergeCell ref="B58:J58"/>
    <mergeCell ref="B59:J59"/>
    <mergeCell ref="A51:A52"/>
    <mergeCell ref="B51:B52"/>
    <mergeCell ref="C51:C52"/>
    <mergeCell ref="D51:D52"/>
    <mergeCell ref="E51:E52"/>
    <mergeCell ref="F51:F52"/>
    <mergeCell ref="A71:C71"/>
    <mergeCell ref="H71:K71"/>
    <mergeCell ref="A72:C72"/>
    <mergeCell ref="B73:C73"/>
    <mergeCell ref="B60:J60"/>
    <mergeCell ref="A64:C64"/>
    <mergeCell ref="H64:K64"/>
    <mergeCell ref="A65:C65"/>
    <mergeCell ref="H65:K65"/>
    <mergeCell ref="A70:C70"/>
    <mergeCell ref="H70:K70"/>
  </mergeCells>
  <printOptions horizontalCentered="1" verticalCentered="1"/>
  <pageMargins left="0" right="0" top="0.54" bottom="0" header="0" footer="0"/>
  <pageSetup scale="2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A7C4-B9FA-432E-93E3-41693B8FE364}">
  <sheetPr>
    <tabColor theme="6" tint="-0.249977111117893"/>
    <pageSetUpPr fitToPage="1"/>
  </sheetPr>
  <dimension ref="A1:P85"/>
  <sheetViews>
    <sheetView zoomScale="50" zoomScaleNormal="50" workbookViewId="0">
      <selection activeCell="H11" sqref="H11"/>
    </sheetView>
  </sheetViews>
  <sheetFormatPr baseColWidth="10" defaultRowHeight="12.75" x14ac:dyDescent="0.2"/>
  <cols>
    <col min="1" max="1" width="45.28515625" customWidth="1"/>
    <col min="2" max="2" width="22" customWidth="1"/>
    <col min="3" max="3" width="64.28515625" customWidth="1"/>
    <col min="4" max="4" width="30.28515625" customWidth="1"/>
    <col min="5" max="5" width="30.85546875" customWidth="1"/>
    <col min="6" max="6" width="24.85546875" customWidth="1"/>
    <col min="7" max="7" width="25.85546875" customWidth="1"/>
    <col min="8" max="8" width="19.7109375" customWidth="1"/>
    <col min="9" max="9" width="37.28515625" customWidth="1"/>
    <col min="10" max="10" width="22" customWidth="1"/>
    <col min="11" max="11" width="41.85546875" customWidth="1"/>
    <col min="14" max="14" width="21.42578125" customWidth="1"/>
    <col min="16" max="16" width="25.7109375" customWidth="1"/>
  </cols>
  <sheetData>
    <row r="1" spans="1:16" s="69" customFormat="1" ht="30" x14ac:dyDescent="0.2">
      <c r="A1" s="295" t="s">
        <v>49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68"/>
    </row>
    <row r="2" spans="1:16" s="69" customFormat="1" ht="30" x14ac:dyDescent="0.2">
      <c r="A2" s="295" t="s">
        <v>50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70"/>
    </row>
    <row r="3" spans="1:16" s="69" customFormat="1" ht="30" customHeight="1" x14ac:dyDescent="0.2">
      <c r="A3" s="295" t="s">
        <v>90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70"/>
    </row>
    <row r="4" spans="1:16" s="69" customFormat="1" ht="30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70"/>
    </row>
    <row r="5" spans="1:16" s="69" customFormat="1" ht="30" customHeight="1" x14ac:dyDescent="0.2">
      <c r="A5" s="295" t="s">
        <v>91</v>
      </c>
      <c r="B5" s="295"/>
      <c r="C5" s="295"/>
      <c r="D5" s="295"/>
      <c r="E5" s="295"/>
      <c r="F5" s="295"/>
      <c r="G5" s="295"/>
      <c r="H5" s="295"/>
      <c r="I5" s="295"/>
      <c r="J5" s="295"/>
      <c r="K5" s="295"/>
    </row>
    <row r="6" spans="1:16" s="69" customFormat="1" ht="30" customHeight="1" x14ac:dyDescent="0.2">
      <c r="A6" s="67"/>
      <c r="B6" s="67"/>
      <c r="C6" s="67"/>
      <c r="D6" s="67"/>
      <c r="E6" s="71"/>
      <c r="F6" s="67"/>
      <c r="G6" s="67"/>
      <c r="H6" s="67"/>
      <c r="I6" s="67"/>
      <c r="J6" s="67"/>
      <c r="K6" s="71"/>
    </row>
    <row r="7" spans="1:16" s="76" customFormat="1" ht="39.950000000000003" customHeight="1" x14ac:dyDescent="0.4">
      <c r="A7" s="72" t="s">
        <v>92</v>
      </c>
      <c r="B7" s="340" t="s">
        <v>93</v>
      </c>
      <c r="C7" s="340"/>
      <c r="D7" s="340"/>
      <c r="E7" s="73"/>
      <c r="F7" s="74"/>
      <c r="G7" s="72" t="s">
        <v>1</v>
      </c>
      <c r="H7" s="340" t="s">
        <v>94</v>
      </c>
      <c r="I7" s="340"/>
      <c r="J7" s="340"/>
      <c r="K7" s="75"/>
    </row>
    <row r="8" spans="1:16" s="76" customFormat="1" ht="39.950000000000003" customHeight="1" x14ac:dyDescent="0.4">
      <c r="A8" s="72" t="s">
        <v>95</v>
      </c>
      <c r="B8" s="352" t="s">
        <v>96</v>
      </c>
      <c r="C8" s="352"/>
      <c r="D8" s="352"/>
      <c r="E8" s="77"/>
      <c r="F8" s="74"/>
      <c r="G8" s="72" t="s">
        <v>97</v>
      </c>
      <c r="H8" s="353"/>
      <c r="I8" s="353"/>
      <c r="J8" s="353"/>
      <c r="K8" s="75"/>
    </row>
    <row r="9" spans="1:16" s="76" customFormat="1" ht="39.950000000000003" customHeight="1" x14ac:dyDescent="0.4">
      <c r="A9" s="72" t="s">
        <v>98</v>
      </c>
      <c r="B9" s="340" t="s">
        <v>117</v>
      </c>
      <c r="C9" s="340"/>
      <c r="D9" s="340"/>
      <c r="E9" s="73"/>
      <c r="F9" s="74"/>
      <c r="G9" s="72" t="s">
        <v>39</v>
      </c>
      <c r="H9" s="354"/>
      <c r="I9" s="354"/>
      <c r="J9" s="354"/>
      <c r="K9" s="75"/>
    </row>
    <row r="10" spans="1:16" s="76" customFormat="1" ht="39.950000000000003" customHeight="1" x14ac:dyDescent="0.4">
      <c r="A10" s="72" t="s">
        <v>95</v>
      </c>
      <c r="B10" s="355" t="s">
        <v>118</v>
      </c>
      <c r="C10" s="355"/>
      <c r="D10" s="355"/>
      <c r="E10" s="77"/>
      <c r="F10" s="74"/>
      <c r="G10" s="72" t="s">
        <v>36</v>
      </c>
      <c r="H10" s="354" t="e">
        <f>#REF!</f>
        <v>#REF!</v>
      </c>
      <c r="I10" s="354"/>
      <c r="J10" s="354"/>
      <c r="K10" s="75"/>
    </row>
    <row r="11" spans="1:16" s="66" customFormat="1" ht="12.75" customHeight="1" x14ac:dyDescent="0.2"/>
    <row r="12" spans="1:16" ht="26.25" thickBot="1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</row>
    <row r="13" spans="1:16" ht="25.5" customHeight="1" x14ac:dyDescent="0.2">
      <c r="A13" s="341" t="s">
        <v>3</v>
      </c>
      <c r="B13" s="343" t="s">
        <v>43</v>
      </c>
      <c r="C13" s="345" t="s">
        <v>4</v>
      </c>
      <c r="D13" s="343" t="s">
        <v>106</v>
      </c>
      <c r="E13" s="105" t="s">
        <v>107</v>
      </c>
      <c r="F13" s="347" t="s">
        <v>5</v>
      </c>
      <c r="G13" s="348"/>
      <c r="H13" s="348"/>
      <c r="I13" s="348"/>
      <c r="J13" s="349"/>
      <c r="K13" s="350" t="s">
        <v>34</v>
      </c>
    </row>
    <row r="14" spans="1:16" ht="21" thickBot="1" x14ac:dyDescent="0.25">
      <c r="A14" s="342"/>
      <c r="B14" s="344"/>
      <c r="C14" s="346"/>
      <c r="D14" s="344"/>
      <c r="E14" s="106" t="s">
        <v>108</v>
      </c>
      <c r="F14" s="107" t="s">
        <v>6</v>
      </c>
      <c r="G14" s="107" t="s">
        <v>7</v>
      </c>
      <c r="H14" s="107" t="s">
        <v>8</v>
      </c>
      <c r="I14" s="65" t="s">
        <v>9</v>
      </c>
      <c r="J14" s="65" t="s">
        <v>33</v>
      </c>
      <c r="K14" s="351"/>
    </row>
    <row r="15" spans="1:16" ht="26.25" x14ac:dyDescent="0.2">
      <c r="A15" s="262" t="s">
        <v>41</v>
      </c>
      <c r="B15" s="264">
        <v>146</v>
      </c>
      <c r="C15" s="266" t="s">
        <v>29</v>
      </c>
      <c r="D15" s="332" t="s">
        <v>109</v>
      </c>
      <c r="E15" s="336" t="s">
        <v>110</v>
      </c>
      <c r="F15" s="268"/>
      <c r="G15" s="20"/>
      <c r="H15" s="21"/>
      <c r="I15" s="22"/>
      <c r="J15" s="35"/>
      <c r="K15" s="270"/>
      <c r="M15" s="48">
        <f>SUM(F15+(F45*10)+(F33*10)+F23+F35+(F37*10)+F49)</f>
        <v>0</v>
      </c>
      <c r="N15" s="49" t="s">
        <v>67</v>
      </c>
      <c r="O15" s="49">
        <v>2715</v>
      </c>
      <c r="P15" s="49" t="s">
        <v>68</v>
      </c>
    </row>
    <row r="16" spans="1:16" ht="27" thickBot="1" x14ac:dyDescent="0.25">
      <c r="A16" s="263"/>
      <c r="B16" s="265"/>
      <c r="C16" s="267"/>
      <c r="D16" s="333"/>
      <c r="E16" s="337"/>
      <c r="F16" s="269"/>
      <c r="G16" s="23"/>
      <c r="H16" s="24"/>
      <c r="I16" s="25"/>
      <c r="J16" s="25"/>
      <c r="K16" s="271"/>
      <c r="M16" s="48">
        <f>SUM((F45/3)*20+F21)</f>
        <v>0</v>
      </c>
      <c r="N16" s="49" t="s">
        <v>67</v>
      </c>
      <c r="O16" s="49">
        <v>2707</v>
      </c>
      <c r="P16" s="49" t="s">
        <v>69</v>
      </c>
    </row>
    <row r="17" spans="1:16" ht="26.25" x14ac:dyDescent="0.2">
      <c r="A17" s="272" t="s">
        <v>55</v>
      </c>
      <c r="B17" s="273">
        <v>148</v>
      </c>
      <c r="C17" s="274" t="s">
        <v>10</v>
      </c>
      <c r="D17" s="332" t="s">
        <v>109</v>
      </c>
      <c r="E17" s="336" t="s">
        <v>111</v>
      </c>
      <c r="F17" s="268"/>
      <c r="G17" s="26"/>
      <c r="H17" s="27"/>
      <c r="I17" s="28"/>
      <c r="J17" s="36"/>
      <c r="K17" s="275"/>
      <c r="M17" s="48">
        <f>SUM(F25)</f>
        <v>0</v>
      </c>
      <c r="N17" s="49" t="s">
        <v>67</v>
      </c>
      <c r="O17" s="49">
        <v>2699</v>
      </c>
      <c r="P17" s="49" t="s">
        <v>70</v>
      </c>
    </row>
    <row r="18" spans="1:16" ht="27" thickBot="1" x14ac:dyDescent="0.25">
      <c r="A18" s="263"/>
      <c r="B18" s="265"/>
      <c r="C18" s="267"/>
      <c r="D18" s="333"/>
      <c r="E18" s="337"/>
      <c r="F18" s="269"/>
      <c r="G18" s="23"/>
      <c r="H18" s="24"/>
      <c r="I18" s="25"/>
      <c r="J18" s="25"/>
      <c r="K18" s="271"/>
      <c r="M18" s="48">
        <f>SUM(F27+F41)</f>
        <v>0</v>
      </c>
      <c r="N18" s="49" t="s">
        <v>67</v>
      </c>
      <c r="O18" s="49">
        <v>2657</v>
      </c>
      <c r="P18" s="49" t="s">
        <v>71</v>
      </c>
    </row>
    <row r="19" spans="1:16" ht="26.25" customHeight="1" x14ac:dyDescent="0.2">
      <c r="A19" s="280" t="s">
        <v>80</v>
      </c>
      <c r="B19" s="282">
        <v>150</v>
      </c>
      <c r="C19" s="276" t="s">
        <v>81</v>
      </c>
      <c r="D19" s="332" t="s">
        <v>109</v>
      </c>
      <c r="E19" s="336" t="s">
        <v>111</v>
      </c>
      <c r="F19" s="268"/>
      <c r="G19" s="26"/>
      <c r="H19" s="27"/>
      <c r="I19" s="28"/>
      <c r="J19" s="36"/>
      <c r="K19" s="278"/>
      <c r="M19" s="48">
        <f>SUM(F29*10)</f>
        <v>0</v>
      </c>
      <c r="N19" s="49" t="s">
        <v>67</v>
      </c>
      <c r="O19" s="49">
        <v>59</v>
      </c>
      <c r="P19" s="49" t="s">
        <v>72</v>
      </c>
    </row>
    <row r="20" spans="1:16" ht="27" thickBot="1" x14ac:dyDescent="0.25">
      <c r="A20" s="281"/>
      <c r="B20" s="283"/>
      <c r="C20" s="277"/>
      <c r="D20" s="333"/>
      <c r="E20" s="337"/>
      <c r="F20" s="269"/>
      <c r="G20" s="23"/>
      <c r="H20" s="24"/>
      <c r="I20" s="25"/>
      <c r="J20" s="25"/>
      <c r="K20" s="279"/>
    </row>
    <row r="21" spans="1:16" ht="26.25" x14ac:dyDescent="0.2">
      <c r="A21" s="280" t="s">
        <v>53</v>
      </c>
      <c r="B21" s="282">
        <v>6135</v>
      </c>
      <c r="C21" s="276" t="s">
        <v>56</v>
      </c>
      <c r="D21" s="332" t="s">
        <v>109</v>
      </c>
      <c r="E21" s="336" t="s">
        <v>110</v>
      </c>
      <c r="F21" s="268"/>
      <c r="G21" s="26"/>
      <c r="H21" s="27"/>
      <c r="I21" s="28"/>
      <c r="J21" s="36"/>
      <c r="K21" s="278"/>
    </row>
    <row r="22" spans="1:16" ht="27" thickBot="1" x14ac:dyDescent="0.25">
      <c r="A22" s="281"/>
      <c r="B22" s="283"/>
      <c r="C22" s="277"/>
      <c r="D22" s="333"/>
      <c r="E22" s="337"/>
      <c r="F22" s="269"/>
      <c r="G22" s="23"/>
      <c r="H22" s="24"/>
      <c r="I22" s="25"/>
      <c r="J22" s="25"/>
      <c r="K22" s="279"/>
    </row>
    <row r="23" spans="1:16" ht="26.25" x14ac:dyDescent="0.2">
      <c r="A23" s="280" t="s">
        <v>16</v>
      </c>
      <c r="B23" s="282">
        <v>2526</v>
      </c>
      <c r="C23" s="276" t="s">
        <v>23</v>
      </c>
      <c r="D23" s="332" t="s">
        <v>112</v>
      </c>
      <c r="E23" s="336" t="s">
        <v>110</v>
      </c>
      <c r="F23" s="268"/>
      <c r="G23" s="26"/>
      <c r="H23" s="27"/>
      <c r="I23" s="28"/>
      <c r="J23" s="29"/>
      <c r="K23" s="284"/>
    </row>
    <row r="24" spans="1:16" ht="27" thickBot="1" x14ac:dyDescent="0.25">
      <c r="A24" s="281"/>
      <c r="B24" s="283"/>
      <c r="C24" s="277"/>
      <c r="D24" s="333"/>
      <c r="E24" s="337"/>
      <c r="F24" s="269"/>
      <c r="G24" s="23"/>
      <c r="H24" s="24"/>
      <c r="I24" s="25"/>
      <c r="J24" s="30"/>
      <c r="K24" s="285"/>
    </row>
    <row r="25" spans="1:16" ht="26.25" x14ac:dyDescent="0.2">
      <c r="A25" s="280" t="s">
        <v>63</v>
      </c>
      <c r="B25" s="282">
        <v>2527</v>
      </c>
      <c r="C25" s="276" t="s">
        <v>24</v>
      </c>
      <c r="D25" s="332" t="s">
        <v>109</v>
      </c>
      <c r="E25" s="336" t="s">
        <v>110</v>
      </c>
      <c r="F25" s="268"/>
      <c r="G25" s="26"/>
      <c r="H25" s="27"/>
      <c r="I25" s="28"/>
      <c r="J25" s="29"/>
      <c r="K25" s="286"/>
    </row>
    <row r="26" spans="1:16" ht="27" thickBot="1" x14ac:dyDescent="0.25">
      <c r="A26" s="281"/>
      <c r="B26" s="283"/>
      <c r="C26" s="277"/>
      <c r="D26" s="333"/>
      <c r="E26" s="337"/>
      <c r="F26" s="269"/>
      <c r="G26" s="23"/>
      <c r="H26" s="24"/>
      <c r="I26" s="25"/>
      <c r="J26" s="30"/>
      <c r="K26" s="287"/>
    </row>
    <row r="27" spans="1:16" ht="26.25" x14ac:dyDescent="0.2">
      <c r="A27" s="280" t="s">
        <v>14</v>
      </c>
      <c r="B27" s="282">
        <v>3800</v>
      </c>
      <c r="C27" s="276" t="s">
        <v>45</v>
      </c>
      <c r="D27" s="332" t="s">
        <v>112</v>
      </c>
      <c r="E27" s="338" t="s">
        <v>113</v>
      </c>
      <c r="F27" s="268"/>
      <c r="G27" s="26"/>
      <c r="H27" s="27"/>
      <c r="I27" s="26"/>
      <c r="J27" s="29"/>
      <c r="K27" s="284"/>
    </row>
    <row r="28" spans="1:16" ht="27" thickBot="1" x14ac:dyDescent="0.25">
      <c r="A28" s="281"/>
      <c r="B28" s="283"/>
      <c r="C28" s="277"/>
      <c r="D28" s="333"/>
      <c r="E28" s="339"/>
      <c r="F28" s="269"/>
      <c r="G28" s="23"/>
      <c r="H28" s="24"/>
      <c r="I28" s="25"/>
      <c r="J28" s="32"/>
      <c r="K28" s="285"/>
    </row>
    <row r="29" spans="1:16" ht="26.25" x14ac:dyDescent="0.2">
      <c r="A29" s="280" t="s">
        <v>15</v>
      </c>
      <c r="B29" s="282">
        <v>3801</v>
      </c>
      <c r="C29" s="276" t="s">
        <v>25</v>
      </c>
      <c r="D29" s="332" t="s">
        <v>112</v>
      </c>
      <c r="E29" s="338" t="s">
        <v>113</v>
      </c>
      <c r="F29" s="268"/>
      <c r="G29" s="26"/>
      <c r="H29" s="27"/>
      <c r="I29" s="28"/>
      <c r="J29" s="29"/>
      <c r="K29" s="284"/>
    </row>
    <row r="30" spans="1:16" ht="27" thickBot="1" x14ac:dyDescent="0.25">
      <c r="A30" s="281"/>
      <c r="B30" s="283"/>
      <c r="C30" s="277"/>
      <c r="D30" s="333"/>
      <c r="E30" s="339"/>
      <c r="F30" s="269"/>
      <c r="G30" s="23"/>
      <c r="H30" s="24"/>
      <c r="I30" s="25"/>
      <c r="J30" s="30"/>
      <c r="K30" s="285"/>
    </row>
    <row r="31" spans="1:16" ht="26.25" customHeight="1" x14ac:dyDescent="0.2">
      <c r="A31" s="280" t="s">
        <v>17</v>
      </c>
      <c r="B31" s="282">
        <v>3802</v>
      </c>
      <c r="C31" s="276" t="s">
        <v>47</v>
      </c>
      <c r="D31" s="332" t="s">
        <v>112</v>
      </c>
      <c r="E31" s="336" t="s">
        <v>114</v>
      </c>
      <c r="F31" s="268"/>
      <c r="G31" s="26"/>
      <c r="H31" s="27"/>
      <c r="I31" s="28"/>
      <c r="J31" s="63"/>
      <c r="K31" s="284"/>
    </row>
    <row r="32" spans="1:16" ht="27" thickBot="1" x14ac:dyDescent="0.25">
      <c r="A32" s="281"/>
      <c r="B32" s="283"/>
      <c r="C32" s="277"/>
      <c r="D32" s="333"/>
      <c r="E32" s="337"/>
      <c r="F32" s="269"/>
      <c r="G32" s="23"/>
      <c r="H32" s="24"/>
      <c r="I32" s="25"/>
      <c r="J32" s="30"/>
      <c r="K32" s="285"/>
    </row>
    <row r="33" spans="1:11" ht="26.25" x14ac:dyDescent="0.2">
      <c r="A33" s="280" t="s">
        <v>18</v>
      </c>
      <c r="B33" s="282">
        <v>3805</v>
      </c>
      <c r="C33" s="276" t="s">
        <v>26</v>
      </c>
      <c r="D33" s="332" t="s">
        <v>112</v>
      </c>
      <c r="E33" s="336" t="s">
        <v>110</v>
      </c>
      <c r="F33" s="268"/>
      <c r="G33" s="26"/>
      <c r="H33" s="27"/>
      <c r="I33" s="28"/>
      <c r="J33" s="29"/>
      <c r="K33" s="284"/>
    </row>
    <row r="34" spans="1:11" ht="27" thickBot="1" x14ac:dyDescent="0.25">
      <c r="A34" s="281"/>
      <c r="B34" s="283"/>
      <c r="C34" s="277"/>
      <c r="D34" s="333"/>
      <c r="E34" s="337"/>
      <c r="F34" s="269"/>
      <c r="G34" s="23"/>
      <c r="H34" s="24"/>
      <c r="I34" s="25"/>
      <c r="J34" s="32"/>
      <c r="K34" s="285"/>
    </row>
    <row r="35" spans="1:11" ht="26.25" x14ac:dyDescent="0.2">
      <c r="A35" s="280" t="s">
        <v>57</v>
      </c>
      <c r="B35" s="282">
        <v>3808</v>
      </c>
      <c r="C35" s="276" t="s">
        <v>27</v>
      </c>
      <c r="D35" s="332" t="s">
        <v>109</v>
      </c>
      <c r="E35" s="336" t="s">
        <v>110</v>
      </c>
      <c r="F35" s="268"/>
      <c r="G35" s="26"/>
      <c r="H35" s="27"/>
      <c r="I35" s="28"/>
      <c r="J35" s="29"/>
      <c r="K35" s="284"/>
    </row>
    <row r="36" spans="1:11" ht="27" thickBot="1" x14ac:dyDescent="0.25">
      <c r="A36" s="281"/>
      <c r="B36" s="283"/>
      <c r="C36" s="277"/>
      <c r="D36" s="333"/>
      <c r="E36" s="337"/>
      <c r="F36" s="269"/>
      <c r="G36" s="23"/>
      <c r="H36" s="24"/>
      <c r="I36" s="25"/>
      <c r="J36" s="32"/>
      <c r="K36" s="285"/>
    </row>
    <row r="37" spans="1:11" ht="26.25" x14ac:dyDescent="0.2">
      <c r="A37" s="280" t="s">
        <v>21</v>
      </c>
      <c r="B37" s="282">
        <v>3810</v>
      </c>
      <c r="C37" s="276" t="s">
        <v>48</v>
      </c>
      <c r="D37" s="332" t="s">
        <v>112</v>
      </c>
      <c r="E37" s="336" t="s">
        <v>110</v>
      </c>
      <c r="F37" s="268"/>
      <c r="G37" s="26"/>
      <c r="H37" s="27"/>
      <c r="I37" s="28"/>
      <c r="J37" s="29"/>
      <c r="K37" s="288"/>
    </row>
    <row r="38" spans="1:11" ht="27" thickBot="1" x14ac:dyDescent="0.25">
      <c r="A38" s="281"/>
      <c r="B38" s="283"/>
      <c r="C38" s="277"/>
      <c r="D38" s="333"/>
      <c r="E38" s="337"/>
      <c r="F38" s="269"/>
      <c r="G38" s="23"/>
      <c r="H38" s="24"/>
      <c r="I38" s="25"/>
      <c r="J38" s="32"/>
      <c r="K38" s="289"/>
    </row>
    <row r="39" spans="1:11" ht="26.25" x14ac:dyDescent="0.2">
      <c r="A39" s="280" t="s">
        <v>64</v>
      </c>
      <c r="B39" s="282">
        <v>6056</v>
      </c>
      <c r="C39" s="276" t="s">
        <v>31</v>
      </c>
      <c r="D39" s="332" t="s">
        <v>109</v>
      </c>
      <c r="E39" s="338" t="s">
        <v>113</v>
      </c>
      <c r="F39" s="268"/>
      <c r="G39" s="33"/>
      <c r="H39" s="27"/>
      <c r="I39" s="28"/>
      <c r="J39" s="29"/>
      <c r="K39" s="288"/>
    </row>
    <row r="40" spans="1:11" ht="27" thickBot="1" x14ac:dyDescent="0.25">
      <c r="A40" s="281"/>
      <c r="B40" s="283"/>
      <c r="C40" s="277"/>
      <c r="D40" s="333"/>
      <c r="E40" s="339"/>
      <c r="F40" s="269"/>
      <c r="G40" s="34"/>
      <c r="H40" s="24"/>
      <c r="I40" s="25"/>
      <c r="J40" s="30"/>
      <c r="K40" s="289"/>
    </row>
    <row r="41" spans="1:11" ht="26.25" x14ac:dyDescent="0.2">
      <c r="A41" s="280" t="s">
        <v>19</v>
      </c>
      <c r="B41" s="282">
        <v>3820</v>
      </c>
      <c r="C41" s="276" t="s">
        <v>46</v>
      </c>
      <c r="D41" s="332" t="s">
        <v>109</v>
      </c>
      <c r="E41" s="338" t="s">
        <v>113</v>
      </c>
      <c r="F41" s="268"/>
      <c r="G41" s="26"/>
      <c r="H41" s="27"/>
      <c r="I41" s="28"/>
      <c r="J41" s="29"/>
      <c r="K41" s="288"/>
    </row>
    <row r="42" spans="1:11" ht="27" thickBot="1" x14ac:dyDescent="0.25">
      <c r="A42" s="290"/>
      <c r="B42" s="291"/>
      <c r="C42" s="292"/>
      <c r="D42" s="333"/>
      <c r="E42" s="339"/>
      <c r="F42" s="269"/>
      <c r="G42" s="23"/>
      <c r="H42" s="24"/>
      <c r="I42" s="25"/>
      <c r="J42" s="32"/>
      <c r="K42" s="289"/>
    </row>
    <row r="43" spans="1:11" ht="26.25" x14ac:dyDescent="0.2">
      <c r="A43" s="280" t="s">
        <v>20</v>
      </c>
      <c r="B43" s="282">
        <v>3821</v>
      </c>
      <c r="C43" s="276" t="s">
        <v>28</v>
      </c>
      <c r="D43" s="332" t="s">
        <v>112</v>
      </c>
      <c r="E43" s="338" t="s">
        <v>113</v>
      </c>
      <c r="F43" s="268"/>
      <c r="G43" s="26"/>
      <c r="H43" s="27"/>
      <c r="I43" s="28"/>
      <c r="J43" s="31"/>
      <c r="K43" s="288"/>
    </row>
    <row r="44" spans="1:11" ht="27" thickBot="1" x14ac:dyDescent="0.25">
      <c r="A44" s="281"/>
      <c r="B44" s="283"/>
      <c r="C44" s="277"/>
      <c r="D44" s="333"/>
      <c r="E44" s="339"/>
      <c r="F44" s="269"/>
      <c r="G44" s="23"/>
      <c r="H44" s="24"/>
      <c r="I44" s="25"/>
      <c r="J44" s="32"/>
      <c r="K44" s="289"/>
    </row>
    <row r="45" spans="1:11" ht="26.25" x14ac:dyDescent="0.2">
      <c r="A45" s="280" t="s">
        <v>58</v>
      </c>
      <c r="B45" s="282">
        <v>3822</v>
      </c>
      <c r="C45" s="276" t="s">
        <v>38</v>
      </c>
      <c r="D45" s="332" t="s">
        <v>112</v>
      </c>
      <c r="E45" s="336" t="s">
        <v>110</v>
      </c>
      <c r="F45" s="268"/>
      <c r="G45" s="26"/>
      <c r="H45" s="27"/>
      <c r="I45" s="28"/>
      <c r="J45" s="29"/>
      <c r="K45" s="284"/>
    </row>
    <row r="46" spans="1:11" ht="27" thickBot="1" x14ac:dyDescent="0.25">
      <c r="A46" s="281"/>
      <c r="B46" s="283"/>
      <c r="C46" s="277"/>
      <c r="D46" s="333"/>
      <c r="E46" s="337"/>
      <c r="F46" s="269"/>
      <c r="G46" s="23"/>
      <c r="H46" s="24"/>
      <c r="I46" s="25"/>
      <c r="J46" s="32"/>
      <c r="K46" s="285"/>
    </row>
    <row r="47" spans="1:11" ht="26.25" customHeight="1" x14ac:dyDescent="0.2">
      <c r="A47" s="280" t="s">
        <v>32</v>
      </c>
      <c r="B47" s="282">
        <v>3832</v>
      </c>
      <c r="C47" s="276" t="s">
        <v>37</v>
      </c>
      <c r="D47" s="332" t="s">
        <v>109</v>
      </c>
      <c r="E47" s="336" t="s">
        <v>110</v>
      </c>
      <c r="F47" s="268"/>
      <c r="G47" s="27"/>
      <c r="H47" s="27"/>
      <c r="I47" s="28"/>
      <c r="J47" s="31"/>
      <c r="K47" s="288"/>
    </row>
    <row r="48" spans="1:11" ht="27" thickBot="1" x14ac:dyDescent="0.25">
      <c r="A48" s="281"/>
      <c r="B48" s="283"/>
      <c r="C48" s="277"/>
      <c r="D48" s="333"/>
      <c r="E48" s="337"/>
      <c r="F48" s="269"/>
      <c r="G48" s="24"/>
      <c r="H48" s="24"/>
      <c r="I48" s="25"/>
      <c r="J48" s="32"/>
      <c r="K48" s="289"/>
    </row>
    <row r="49" spans="1:13" ht="26.25" x14ac:dyDescent="0.2">
      <c r="A49" s="280" t="s">
        <v>59</v>
      </c>
      <c r="B49" s="282">
        <v>4173</v>
      </c>
      <c r="C49" s="276" t="s">
        <v>12</v>
      </c>
      <c r="D49" s="332" t="s">
        <v>109</v>
      </c>
      <c r="E49" s="336" t="s">
        <v>110</v>
      </c>
      <c r="F49" s="268"/>
      <c r="G49" s="27"/>
      <c r="H49" s="27"/>
      <c r="I49" s="28"/>
      <c r="J49" s="31"/>
      <c r="K49" s="284"/>
    </row>
    <row r="50" spans="1:13" ht="27" thickBot="1" x14ac:dyDescent="0.25">
      <c r="A50" s="281"/>
      <c r="B50" s="283"/>
      <c r="C50" s="277"/>
      <c r="D50" s="333"/>
      <c r="E50" s="337"/>
      <c r="F50" s="269"/>
      <c r="G50" s="24"/>
      <c r="H50" s="24"/>
      <c r="I50" s="25"/>
      <c r="J50" s="32"/>
      <c r="K50" s="285"/>
    </row>
    <row r="51" spans="1:13" ht="26.25" x14ac:dyDescent="0.2">
      <c r="A51" s="280" t="s">
        <v>22</v>
      </c>
      <c r="B51" s="293">
        <v>2</v>
      </c>
      <c r="C51" s="276" t="s">
        <v>30</v>
      </c>
      <c r="D51" s="332" t="s">
        <v>109</v>
      </c>
      <c r="E51" s="334" t="s">
        <v>115</v>
      </c>
      <c r="F51" s="268"/>
      <c r="G51" s="27"/>
      <c r="H51" s="27"/>
      <c r="I51" s="31"/>
      <c r="J51" s="31"/>
      <c r="K51" s="288"/>
    </row>
    <row r="52" spans="1:13" ht="27" thickBot="1" x14ac:dyDescent="0.25">
      <c r="A52" s="281"/>
      <c r="B52" s="294"/>
      <c r="C52" s="277"/>
      <c r="D52" s="333"/>
      <c r="E52" s="335"/>
      <c r="F52" s="269"/>
      <c r="G52" s="24"/>
      <c r="H52" s="24"/>
      <c r="I52" s="32"/>
      <c r="J52" s="32"/>
      <c r="K52" s="289"/>
    </row>
    <row r="53" spans="1:13" s="80" customFormat="1" ht="25.5" customHeight="1" x14ac:dyDescent="0.2">
      <c r="A53" s="78"/>
      <c r="B53" s="329" t="s">
        <v>99</v>
      </c>
      <c r="C53" s="329"/>
      <c r="D53" s="329"/>
      <c r="E53" s="329"/>
      <c r="F53" s="329"/>
      <c r="G53" s="329"/>
      <c r="H53" s="329"/>
      <c r="I53" s="329"/>
      <c r="J53" s="329"/>
      <c r="K53" s="79"/>
    </row>
    <row r="54" spans="1:13" s="76" customFormat="1" ht="25.5" customHeight="1" x14ac:dyDescent="0.2">
      <c r="A54" s="81"/>
      <c r="B54" s="82"/>
      <c r="C54" s="83"/>
      <c r="D54" s="84"/>
      <c r="E54" s="84"/>
      <c r="F54" s="84"/>
      <c r="G54" s="85"/>
      <c r="H54" s="85"/>
      <c r="I54" s="86"/>
      <c r="J54" s="87"/>
      <c r="K54" s="88"/>
    </row>
    <row r="55" spans="1:13" s="76" customFormat="1" ht="25.5" customHeight="1" thickBot="1" x14ac:dyDescent="0.25">
      <c r="A55" s="81"/>
      <c r="C55" s="89" t="s">
        <v>100</v>
      </c>
      <c r="D55" s="90"/>
      <c r="E55" s="86"/>
      <c r="F55" s="84"/>
      <c r="G55" s="330" t="s">
        <v>101</v>
      </c>
      <c r="H55" s="330"/>
      <c r="I55" s="91"/>
      <c r="J55" s="87"/>
      <c r="K55" s="88"/>
    </row>
    <row r="56" spans="1:13" s="76" customFormat="1" ht="25.5" customHeight="1" x14ac:dyDescent="0.2">
      <c r="A56" s="81"/>
      <c r="B56" s="82"/>
      <c r="C56" s="83"/>
      <c r="D56" s="84"/>
      <c r="E56" s="84"/>
      <c r="F56" s="84"/>
      <c r="G56" s="85"/>
      <c r="H56" s="85"/>
      <c r="I56" s="86"/>
      <c r="J56" s="87"/>
      <c r="K56" s="88"/>
    </row>
    <row r="57" spans="1:13" s="76" customFormat="1" ht="30" customHeight="1" x14ac:dyDescent="0.2">
      <c r="A57" s="331" t="s">
        <v>13</v>
      </c>
      <c r="B57" s="331"/>
      <c r="C57" s="331"/>
      <c r="D57" s="331"/>
      <c r="E57" s="331"/>
      <c r="F57" s="331"/>
      <c r="G57" s="331"/>
      <c r="H57" s="331"/>
      <c r="I57" s="331"/>
      <c r="J57" s="331"/>
      <c r="K57" s="331"/>
      <c r="M57" s="76" t="s">
        <v>0</v>
      </c>
    </row>
    <row r="58" spans="1:13" s="76" customFormat="1" ht="30" customHeight="1" x14ac:dyDescent="0.2">
      <c r="A58" s="92"/>
      <c r="B58" s="327"/>
      <c r="C58" s="327"/>
      <c r="D58" s="327"/>
      <c r="E58" s="327"/>
      <c r="F58" s="327"/>
      <c r="G58" s="327"/>
      <c r="H58" s="327"/>
      <c r="I58" s="327"/>
      <c r="J58" s="327"/>
      <c r="K58" s="93"/>
    </row>
    <row r="59" spans="1:13" s="76" customFormat="1" ht="30" customHeight="1" x14ac:dyDescent="0.2">
      <c r="A59" s="92"/>
      <c r="B59" s="327"/>
      <c r="C59" s="327"/>
      <c r="D59" s="327"/>
      <c r="E59" s="327"/>
      <c r="F59" s="327"/>
      <c r="G59" s="327"/>
      <c r="H59" s="327"/>
      <c r="I59" s="327"/>
      <c r="J59" s="327"/>
      <c r="K59" s="92"/>
      <c r="L59" s="92"/>
    </row>
    <row r="60" spans="1:13" s="76" customFormat="1" ht="30" customHeight="1" x14ac:dyDescent="0.2">
      <c r="A60" s="92"/>
      <c r="B60" s="327"/>
      <c r="C60" s="327"/>
      <c r="D60" s="327"/>
      <c r="E60" s="327"/>
      <c r="F60" s="327"/>
      <c r="G60" s="327"/>
      <c r="H60" s="327"/>
      <c r="I60" s="327"/>
      <c r="J60" s="327"/>
      <c r="K60" s="92"/>
      <c r="L60" s="83"/>
    </row>
    <row r="61" spans="1:13" s="76" customFormat="1" ht="30" customHeight="1" x14ac:dyDescent="0.2">
      <c r="A61" s="94"/>
      <c r="B61" s="95"/>
      <c r="C61" s="96"/>
      <c r="D61" s="96"/>
      <c r="E61" s="96"/>
      <c r="F61" s="95"/>
      <c r="G61" s="95"/>
      <c r="H61" s="95"/>
      <c r="I61" s="96"/>
      <c r="J61" s="96"/>
      <c r="K61" s="96"/>
    </row>
    <row r="62" spans="1:13" s="76" customFormat="1" ht="30" customHeight="1" x14ac:dyDescent="0.2">
      <c r="A62" s="94"/>
      <c r="B62" s="95"/>
      <c r="C62" s="96"/>
      <c r="D62" s="96"/>
      <c r="E62" s="96"/>
      <c r="F62" s="95"/>
      <c r="H62" s="95"/>
      <c r="I62" s="95"/>
    </row>
    <row r="63" spans="1:13" s="76" customFormat="1" ht="30" customHeight="1" x14ac:dyDescent="0.2">
      <c r="A63" s="97"/>
      <c r="B63" s="42"/>
      <c r="C63" s="45"/>
      <c r="D63" s="45"/>
      <c r="E63" s="45"/>
      <c r="F63" s="42"/>
      <c r="G63" s="43"/>
      <c r="H63" s="42"/>
      <c r="I63" s="42"/>
      <c r="J63" s="43"/>
      <c r="K63" s="43"/>
    </row>
    <row r="64" spans="1:13" s="75" customFormat="1" ht="20.100000000000001" customHeight="1" x14ac:dyDescent="0.2">
      <c r="A64" s="314" t="s">
        <v>102</v>
      </c>
      <c r="B64" s="314"/>
      <c r="C64" s="314"/>
      <c r="D64" s="46"/>
      <c r="E64" s="46"/>
      <c r="F64" s="42"/>
      <c r="G64" s="98"/>
      <c r="H64" s="315" t="s">
        <v>74</v>
      </c>
      <c r="I64" s="315"/>
      <c r="J64" s="315"/>
      <c r="K64" s="315"/>
      <c r="L64" s="99"/>
    </row>
    <row r="65" spans="1:12" s="75" customFormat="1" ht="20.100000000000001" customHeight="1" x14ac:dyDescent="0.2">
      <c r="A65" s="310" t="s">
        <v>103</v>
      </c>
      <c r="B65" s="310"/>
      <c r="C65" s="310"/>
      <c r="D65" s="42"/>
      <c r="E65" s="42"/>
      <c r="F65" s="42"/>
      <c r="G65" s="98"/>
      <c r="H65" s="310" t="s">
        <v>44</v>
      </c>
      <c r="I65" s="310"/>
      <c r="J65" s="310"/>
      <c r="K65" s="310"/>
    </row>
    <row r="66" spans="1:12" s="75" customFormat="1" ht="30" customHeight="1" x14ac:dyDescent="0.2">
      <c r="A66" s="42"/>
      <c r="B66" s="42"/>
      <c r="C66" s="42"/>
      <c r="D66" s="42"/>
      <c r="E66" s="42"/>
      <c r="F66" s="42"/>
      <c r="G66" s="98"/>
      <c r="H66" s="42"/>
      <c r="I66" s="42"/>
      <c r="J66" s="42"/>
      <c r="K66" s="42"/>
    </row>
    <row r="67" spans="1:12" s="75" customFormat="1" ht="30" customHeight="1" x14ac:dyDescent="0.2">
      <c r="A67" s="42"/>
      <c r="B67" s="42"/>
      <c r="C67" s="42"/>
      <c r="D67" s="42"/>
      <c r="E67" s="42"/>
      <c r="F67" s="42"/>
      <c r="G67" s="98"/>
      <c r="H67" s="42"/>
      <c r="I67" s="42"/>
      <c r="J67" s="42"/>
      <c r="K67" s="42"/>
    </row>
    <row r="68" spans="1:12" s="75" customFormat="1" ht="30" customHeight="1" x14ac:dyDescent="0.2">
      <c r="A68" s="42"/>
      <c r="B68" s="42"/>
      <c r="C68" s="42"/>
      <c r="D68" s="42"/>
      <c r="E68" s="42"/>
      <c r="F68" s="42"/>
      <c r="G68" s="98"/>
      <c r="H68" s="42"/>
      <c r="I68" s="42"/>
      <c r="J68" s="42"/>
      <c r="K68" s="42"/>
    </row>
    <row r="69" spans="1:12" s="75" customFormat="1" ht="30" customHeight="1" x14ac:dyDescent="0.2">
      <c r="A69" s="42"/>
      <c r="B69" s="42"/>
      <c r="C69" s="98"/>
      <c r="D69" s="98"/>
      <c r="E69" s="98"/>
      <c r="F69" s="42"/>
      <c r="G69" s="98"/>
      <c r="H69" s="42"/>
      <c r="I69" s="42"/>
      <c r="J69" s="98"/>
      <c r="K69" s="98"/>
    </row>
    <row r="70" spans="1:12" s="76" customFormat="1" ht="30" customHeight="1" x14ac:dyDescent="0.2">
      <c r="A70" s="328" t="s">
        <v>116</v>
      </c>
      <c r="B70" s="328"/>
      <c r="C70" s="328"/>
      <c r="D70" s="43"/>
      <c r="E70" s="43"/>
      <c r="F70" s="45"/>
      <c r="G70" s="47"/>
      <c r="H70" s="328"/>
      <c r="I70" s="328"/>
      <c r="J70" s="328"/>
      <c r="K70" s="328"/>
      <c r="L70" s="100"/>
    </row>
    <row r="71" spans="1:12" s="76" customFormat="1" ht="30" customHeight="1" x14ac:dyDescent="0.2">
      <c r="A71" s="316" t="s">
        <v>104</v>
      </c>
      <c r="B71" s="316"/>
      <c r="C71" s="316"/>
      <c r="D71" s="42"/>
      <c r="E71" s="42"/>
      <c r="F71" s="46"/>
      <c r="G71" s="43"/>
      <c r="H71" s="314" t="s">
        <v>105</v>
      </c>
      <c r="I71" s="314"/>
      <c r="J71" s="314"/>
      <c r="K71" s="314"/>
      <c r="L71" s="100"/>
    </row>
    <row r="72" spans="1:12" s="69" customFormat="1" ht="30" customHeight="1" x14ac:dyDescent="0.2">
      <c r="A72" s="310"/>
      <c r="B72" s="310"/>
      <c r="C72" s="310"/>
      <c r="D72" s="42"/>
      <c r="E72" s="42"/>
      <c r="F72" s="1"/>
      <c r="G72" s="2"/>
      <c r="H72" s="2"/>
      <c r="I72" s="2"/>
      <c r="J72" s="2"/>
      <c r="K72" s="4"/>
      <c r="L72" s="101"/>
    </row>
    <row r="73" spans="1:12" s="69" customFormat="1" ht="30" customHeight="1" x14ac:dyDescent="0.2">
      <c r="B73" s="326"/>
      <c r="C73" s="326"/>
      <c r="D73" s="102"/>
      <c r="E73" s="102"/>
      <c r="G73" s="103"/>
      <c r="H73" s="103"/>
      <c r="I73" s="103"/>
      <c r="J73" s="103"/>
    </row>
    <row r="74" spans="1:12" s="69" customFormat="1" ht="30" customHeight="1" x14ac:dyDescent="0.2">
      <c r="G74" s="103"/>
      <c r="H74" s="103"/>
      <c r="I74" s="103"/>
      <c r="J74" s="103"/>
    </row>
    <row r="75" spans="1:12" s="69" customFormat="1" ht="30" customHeight="1" x14ac:dyDescent="0.2">
      <c r="G75" s="103"/>
      <c r="H75" s="103"/>
      <c r="I75" s="103"/>
      <c r="J75" s="103"/>
    </row>
    <row r="76" spans="1:12" s="69" customFormat="1" ht="30" customHeight="1" x14ac:dyDescent="0.2">
      <c r="G76" s="103"/>
      <c r="H76" s="103"/>
      <c r="I76" s="103"/>
      <c r="J76" s="103"/>
    </row>
    <row r="77" spans="1:12" s="69" customFormat="1" ht="30" customHeight="1" x14ac:dyDescent="0.2">
      <c r="G77" s="103"/>
      <c r="H77" s="103"/>
      <c r="I77" s="103"/>
      <c r="J77" s="103"/>
    </row>
    <row r="78" spans="1:12" s="69" customFormat="1" ht="30" customHeight="1" x14ac:dyDescent="0.2">
      <c r="G78" s="103"/>
      <c r="H78" s="103"/>
      <c r="I78" s="103"/>
      <c r="J78" s="103"/>
    </row>
    <row r="79" spans="1:12" s="69" customFormat="1" ht="30" customHeight="1" x14ac:dyDescent="0.2">
      <c r="G79" s="103"/>
      <c r="H79" s="103"/>
      <c r="I79" s="103"/>
      <c r="J79" s="103"/>
    </row>
    <row r="80" spans="1:12" s="69" customFormat="1" ht="30" customHeight="1" x14ac:dyDescent="0.2">
      <c r="G80" s="103"/>
      <c r="H80" s="103"/>
      <c r="I80" s="103"/>
      <c r="J80" s="103"/>
    </row>
    <row r="81" spans="7:10" s="69" customFormat="1" ht="30" customHeight="1" x14ac:dyDescent="0.2">
      <c r="G81" s="103"/>
      <c r="H81" s="103"/>
      <c r="I81" s="103"/>
      <c r="J81" s="103"/>
    </row>
    <row r="82" spans="7:10" s="69" customFormat="1" ht="30" customHeight="1" x14ac:dyDescent="0.2">
      <c r="G82" s="103"/>
      <c r="H82" s="103"/>
      <c r="I82" s="103"/>
      <c r="J82" s="103"/>
    </row>
    <row r="83" spans="7:10" s="69" customFormat="1" ht="30" customHeight="1" x14ac:dyDescent="0.2">
      <c r="G83" s="103"/>
      <c r="H83" s="103"/>
      <c r="I83" s="103"/>
      <c r="J83" s="103"/>
    </row>
    <row r="84" spans="7:10" s="69" customFormat="1" ht="30" customHeight="1" x14ac:dyDescent="0.2">
      <c r="G84" s="103"/>
      <c r="H84" s="103"/>
      <c r="I84" s="103"/>
      <c r="J84" s="103"/>
    </row>
    <row r="85" spans="7:10" s="69" customFormat="1" ht="30" customHeight="1" x14ac:dyDescent="0.2">
      <c r="H85" s="104"/>
    </row>
  </sheetData>
  <mergeCells count="167">
    <mergeCell ref="A1:K1"/>
    <mergeCell ref="A2:K2"/>
    <mergeCell ref="A3:K3"/>
    <mergeCell ref="A5:K5"/>
    <mergeCell ref="B7:D7"/>
    <mergeCell ref="H7:J7"/>
    <mergeCell ref="A13:A14"/>
    <mergeCell ref="B13:B14"/>
    <mergeCell ref="C13:C14"/>
    <mergeCell ref="D13:D14"/>
    <mergeCell ref="F13:J13"/>
    <mergeCell ref="K13:K14"/>
    <mergeCell ref="B8:D8"/>
    <mergeCell ref="H8:J8"/>
    <mergeCell ref="B9:D9"/>
    <mergeCell ref="H9:J9"/>
    <mergeCell ref="B10:D10"/>
    <mergeCell ref="H10:J10"/>
    <mergeCell ref="K15:K16"/>
    <mergeCell ref="A17:A18"/>
    <mergeCell ref="B17:B18"/>
    <mergeCell ref="C17:C18"/>
    <mergeCell ref="D17:D18"/>
    <mergeCell ref="E17:E18"/>
    <mergeCell ref="F17:F18"/>
    <mergeCell ref="K17:K18"/>
    <mergeCell ref="A15:A16"/>
    <mergeCell ref="B15:B16"/>
    <mergeCell ref="C15:C16"/>
    <mergeCell ref="D15:D16"/>
    <mergeCell ref="E15:E16"/>
    <mergeCell ref="F15:F16"/>
    <mergeCell ref="K19:K20"/>
    <mergeCell ref="A21:A22"/>
    <mergeCell ref="B21:B22"/>
    <mergeCell ref="C21:C22"/>
    <mergeCell ref="D21:D22"/>
    <mergeCell ref="E21:E22"/>
    <mergeCell ref="F21:F22"/>
    <mergeCell ref="K21:K22"/>
    <mergeCell ref="A19:A20"/>
    <mergeCell ref="B19:B20"/>
    <mergeCell ref="C19:C20"/>
    <mergeCell ref="D19:D20"/>
    <mergeCell ref="E19:E20"/>
    <mergeCell ref="F19:F20"/>
    <mergeCell ref="K23:K24"/>
    <mergeCell ref="A25:A26"/>
    <mergeCell ref="B25:B26"/>
    <mergeCell ref="C25:C26"/>
    <mergeCell ref="D25:D26"/>
    <mergeCell ref="E25:E26"/>
    <mergeCell ref="F25:F26"/>
    <mergeCell ref="K25:K26"/>
    <mergeCell ref="A23:A24"/>
    <mergeCell ref="B23:B24"/>
    <mergeCell ref="C23:C24"/>
    <mergeCell ref="D23:D24"/>
    <mergeCell ref="E23:E24"/>
    <mergeCell ref="F23:F24"/>
    <mergeCell ref="K27:K28"/>
    <mergeCell ref="A29:A30"/>
    <mergeCell ref="B29:B30"/>
    <mergeCell ref="C29:C30"/>
    <mergeCell ref="D29:D30"/>
    <mergeCell ref="E29:E30"/>
    <mergeCell ref="F29:F30"/>
    <mergeCell ref="K29:K30"/>
    <mergeCell ref="A27:A28"/>
    <mergeCell ref="B27:B28"/>
    <mergeCell ref="C27:C28"/>
    <mergeCell ref="D27:D28"/>
    <mergeCell ref="E27:E28"/>
    <mergeCell ref="F27:F28"/>
    <mergeCell ref="K31:K32"/>
    <mergeCell ref="A33:A34"/>
    <mergeCell ref="B33:B34"/>
    <mergeCell ref="C33:C34"/>
    <mergeCell ref="D33:D34"/>
    <mergeCell ref="E33:E34"/>
    <mergeCell ref="F33:F34"/>
    <mergeCell ref="K33:K34"/>
    <mergeCell ref="A31:A32"/>
    <mergeCell ref="B31:B32"/>
    <mergeCell ref="C31:C32"/>
    <mergeCell ref="D31:D32"/>
    <mergeCell ref="E31:E32"/>
    <mergeCell ref="F31:F32"/>
    <mergeCell ref="K35:K36"/>
    <mergeCell ref="A37:A38"/>
    <mergeCell ref="B37:B38"/>
    <mergeCell ref="C37:C38"/>
    <mergeCell ref="D37:D38"/>
    <mergeCell ref="E37:E38"/>
    <mergeCell ref="F37:F38"/>
    <mergeCell ref="K37:K38"/>
    <mergeCell ref="A35:A36"/>
    <mergeCell ref="B35:B36"/>
    <mergeCell ref="C35:C36"/>
    <mergeCell ref="D35:D36"/>
    <mergeCell ref="E35:E36"/>
    <mergeCell ref="F35:F36"/>
    <mergeCell ref="K39:K40"/>
    <mergeCell ref="A41:A42"/>
    <mergeCell ref="B41:B42"/>
    <mergeCell ref="C41:C42"/>
    <mergeCell ref="D41:D42"/>
    <mergeCell ref="E41:E42"/>
    <mergeCell ref="F41:F42"/>
    <mergeCell ref="K41:K42"/>
    <mergeCell ref="A39:A40"/>
    <mergeCell ref="B39:B40"/>
    <mergeCell ref="C39:C40"/>
    <mergeCell ref="D39:D40"/>
    <mergeCell ref="E39:E40"/>
    <mergeCell ref="F39:F40"/>
    <mergeCell ref="K43:K44"/>
    <mergeCell ref="A45:A46"/>
    <mergeCell ref="B45:B46"/>
    <mergeCell ref="C45:C46"/>
    <mergeCell ref="D45:D46"/>
    <mergeCell ref="E45:E46"/>
    <mergeCell ref="F45:F46"/>
    <mergeCell ref="K45:K46"/>
    <mergeCell ref="A43:A44"/>
    <mergeCell ref="B43:B44"/>
    <mergeCell ref="C43:C44"/>
    <mergeCell ref="D43:D44"/>
    <mergeCell ref="E43:E44"/>
    <mergeCell ref="F43:F44"/>
    <mergeCell ref="K47:K48"/>
    <mergeCell ref="A49:A50"/>
    <mergeCell ref="B49:B50"/>
    <mergeCell ref="C49:C50"/>
    <mergeCell ref="D49:D50"/>
    <mergeCell ref="E49:E50"/>
    <mergeCell ref="F49:F50"/>
    <mergeCell ref="K49:K50"/>
    <mergeCell ref="A47:A48"/>
    <mergeCell ref="B47:B48"/>
    <mergeCell ref="C47:C48"/>
    <mergeCell ref="D47:D48"/>
    <mergeCell ref="E47:E48"/>
    <mergeCell ref="F47:F48"/>
    <mergeCell ref="K51:K52"/>
    <mergeCell ref="B53:J53"/>
    <mergeCell ref="G55:H55"/>
    <mergeCell ref="A57:K57"/>
    <mergeCell ref="B58:J58"/>
    <mergeCell ref="B59:J59"/>
    <mergeCell ref="A51:A52"/>
    <mergeCell ref="B51:B52"/>
    <mergeCell ref="C51:C52"/>
    <mergeCell ref="D51:D52"/>
    <mergeCell ref="E51:E52"/>
    <mergeCell ref="F51:F52"/>
    <mergeCell ref="A71:C71"/>
    <mergeCell ref="H71:K71"/>
    <mergeCell ref="A72:C72"/>
    <mergeCell ref="B73:C73"/>
    <mergeCell ref="B60:J60"/>
    <mergeCell ref="A64:C64"/>
    <mergeCell ref="H64:K64"/>
    <mergeCell ref="A65:C65"/>
    <mergeCell ref="H65:K65"/>
    <mergeCell ref="A70:C70"/>
    <mergeCell ref="H70:K70"/>
  </mergeCells>
  <printOptions horizontalCentered="1" verticalCentered="1"/>
  <pageMargins left="0" right="0" top="0.54" bottom="0" header="0" footer="0"/>
  <pageSetup scale="23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0"/>
  </sheetPr>
  <dimension ref="A1:N75"/>
  <sheetViews>
    <sheetView zoomScale="50" zoomScaleNormal="50" workbookViewId="0">
      <selection activeCell="G27" sqref="G27"/>
    </sheetView>
  </sheetViews>
  <sheetFormatPr baseColWidth="10" defaultRowHeight="12.75" x14ac:dyDescent="0.2"/>
  <cols>
    <col min="1" max="1" width="45.140625" customWidth="1"/>
    <col min="2" max="2" width="16" customWidth="1"/>
    <col min="3" max="3" width="60.28515625" customWidth="1"/>
    <col min="4" max="4" width="19.28515625" customWidth="1"/>
    <col min="5" max="5" width="17" customWidth="1"/>
    <col min="6" max="6" width="14.85546875" customWidth="1"/>
    <col min="7" max="7" width="39.42578125" customWidth="1"/>
    <col min="8" max="8" width="22.85546875" customWidth="1"/>
    <col min="9" max="9" width="41.7109375" customWidth="1"/>
    <col min="11" max="11" width="17.85546875" customWidth="1"/>
    <col min="12" max="12" width="20.42578125" customWidth="1"/>
    <col min="14" max="14" width="22.140625" customWidth="1"/>
  </cols>
  <sheetData>
    <row r="1" spans="1:14" ht="30" x14ac:dyDescent="0.2">
      <c r="A1" s="295" t="s">
        <v>49</v>
      </c>
      <c r="B1" s="295"/>
      <c r="C1" s="295"/>
      <c r="D1" s="295"/>
      <c r="E1" s="295"/>
      <c r="F1" s="295"/>
      <c r="G1" s="295"/>
      <c r="H1" s="295"/>
      <c r="I1" s="295"/>
    </row>
    <row r="2" spans="1:14" ht="30" x14ac:dyDescent="0.2">
      <c r="A2" s="295" t="s">
        <v>50</v>
      </c>
      <c r="B2" s="295"/>
      <c r="C2" s="295"/>
      <c r="D2" s="295"/>
      <c r="E2" s="295"/>
      <c r="F2" s="295"/>
      <c r="G2" s="295"/>
      <c r="H2" s="295"/>
      <c r="I2" s="295"/>
    </row>
    <row r="3" spans="1:14" ht="30" x14ac:dyDescent="0.2">
      <c r="A3" s="295"/>
      <c r="B3" s="295"/>
      <c r="C3" s="295"/>
      <c r="D3" s="295"/>
      <c r="E3" s="295"/>
      <c r="F3" s="295"/>
      <c r="G3" s="295"/>
      <c r="H3" s="295"/>
      <c r="I3" s="295"/>
    </row>
    <row r="4" spans="1:14" x14ac:dyDescent="0.2">
      <c r="A4" s="3"/>
      <c r="B4" s="3"/>
      <c r="C4" s="3"/>
      <c r="D4" s="3"/>
      <c r="E4" s="3"/>
      <c r="F4" s="3"/>
      <c r="G4" s="3"/>
      <c r="H4" s="3"/>
      <c r="I4" s="3"/>
    </row>
    <row r="5" spans="1:14" ht="30" x14ac:dyDescent="0.2">
      <c r="A5" s="295" t="s">
        <v>51</v>
      </c>
      <c r="B5" s="295"/>
      <c r="C5" s="295"/>
      <c r="D5" s="295"/>
      <c r="E5" s="295"/>
      <c r="F5" s="295"/>
      <c r="G5" s="295"/>
      <c r="H5" s="295"/>
      <c r="I5" s="295"/>
    </row>
    <row r="6" spans="1:14" x14ac:dyDescent="0.2">
      <c r="A6" s="3"/>
      <c r="B6" s="3"/>
      <c r="C6" s="3"/>
      <c r="D6" s="3"/>
      <c r="E6" s="3"/>
      <c r="F6" s="3"/>
      <c r="G6" s="3"/>
      <c r="H6" s="3"/>
      <c r="I6" s="3"/>
    </row>
    <row r="7" spans="1:14" ht="27" thickBot="1" x14ac:dyDescent="0.25">
      <c r="A7" s="50"/>
      <c r="B7" s="51" t="s">
        <v>35</v>
      </c>
      <c r="C7" s="296" t="s">
        <v>61</v>
      </c>
      <c r="D7" s="296"/>
      <c r="E7" s="50"/>
      <c r="F7" s="51" t="s">
        <v>1</v>
      </c>
      <c r="G7" s="296" t="s">
        <v>54</v>
      </c>
      <c r="H7" s="296"/>
      <c r="I7" s="50"/>
    </row>
    <row r="8" spans="1:14" ht="26.25" x14ac:dyDescent="0.2">
      <c r="A8" s="50"/>
      <c r="B8" s="51"/>
      <c r="C8" s="53"/>
      <c r="D8" s="50"/>
      <c r="E8" s="50"/>
      <c r="F8" s="54"/>
      <c r="G8" s="50"/>
      <c r="H8" s="50"/>
      <c r="I8" s="50"/>
    </row>
    <row r="9" spans="1:14" ht="27" thickBot="1" x14ac:dyDescent="0.25">
      <c r="A9" s="50"/>
      <c r="B9" s="51" t="s">
        <v>42</v>
      </c>
      <c r="C9" s="52"/>
      <c r="D9" s="50"/>
      <c r="E9" s="50"/>
      <c r="F9" s="51" t="s">
        <v>2</v>
      </c>
      <c r="G9" s="297"/>
      <c r="H9" s="297"/>
      <c r="I9" s="50"/>
    </row>
    <row r="10" spans="1:14" ht="26.25" x14ac:dyDescent="0.2">
      <c r="A10" s="50"/>
      <c r="B10" s="54"/>
      <c r="C10" s="53"/>
      <c r="D10" s="50"/>
      <c r="E10" s="50"/>
      <c r="F10" s="51"/>
      <c r="G10" s="50"/>
      <c r="H10" s="50"/>
      <c r="I10" s="50"/>
    </row>
    <row r="11" spans="1:14" ht="27" thickBot="1" x14ac:dyDescent="0.25">
      <c r="A11" s="50"/>
      <c r="B11" s="51" t="s">
        <v>36</v>
      </c>
      <c r="C11" s="52" t="s">
        <v>79</v>
      </c>
      <c r="D11" s="50"/>
      <c r="E11" s="50"/>
      <c r="F11" s="51" t="s">
        <v>39</v>
      </c>
      <c r="G11" s="298"/>
      <c r="H11" s="298"/>
      <c r="I11" s="50"/>
    </row>
    <row r="12" spans="1:14" ht="26.25" thickBot="1" x14ac:dyDescent="0.25">
      <c r="A12" s="55"/>
      <c r="B12" s="55"/>
      <c r="C12" s="55"/>
      <c r="D12" s="55"/>
      <c r="E12" s="55"/>
      <c r="F12" s="55"/>
      <c r="G12" s="55"/>
      <c r="H12" s="55"/>
      <c r="I12" s="55"/>
    </row>
    <row r="13" spans="1:14" ht="25.5" x14ac:dyDescent="0.2">
      <c r="A13" s="253" t="s">
        <v>3</v>
      </c>
      <c r="B13" s="255" t="s">
        <v>43</v>
      </c>
      <c r="C13" s="255" t="s">
        <v>4</v>
      </c>
      <c r="D13" s="257" t="s">
        <v>5</v>
      </c>
      <c r="E13" s="258"/>
      <c r="F13" s="258"/>
      <c r="G13" s="258"/>
      <c r="H13" s="259"/>
      <c r="I13" s="260" t="s">
        <v>34</v>
      </c>
    </row>
    <row r="14" spans="1:14" ht="51.75" thickBot="1" x14ac:dyDescent="0.25">
      <c r="A14" s="254"/>
      <c r="B14" s="256"/>
      <c r="C14" s="256"/>
      <c r="D14" s="57" t="s">
        <v>6</v>
      </c>
      <c r="E14" s="58" t="s">
        <v>7</v>
      </c>
      <c r="F14" s="58" t="s">
        <v>8</v>
      </c>
      <c r="G14" s="59" t="s">
        <v>9</v>
      </c>
      <c r="H14" s="59" t="s">
        <v>33</v>
      </c>
      <c r="I14" s="261"/>
    </row>
    <row r="15" spans="1:14" ht="26.25" customHeight="1" x14ac:dyDescent="0.2">
      <c r="A15" s="262" t="s">
        <v>41</v>
      </c>
      <c r="B15" s="264">
        <v>146</v>
      </c>
      <c r="C15" s="266" t="s">
        <v>29</v>
      </c>
      <c r="D15" s="268"/>
      <c r="E15" s="20"/>
      <c r="F15" s="21"/>
      <c r="G15" s="22"/>
      <c r="H15" s="35"/>
      <c r="I15" s="270"/>
      <c r="K15" s="48">
        <f>SUM(D15+(D45*10)+(D33*10)+D23+D35+(D37*10))</f>
        <v>0</v>
      </c>
      <c r="L15" s="49" t="s">
        <v>67</v>
      </c>
      <c r="M15" s="49">
        <v>2715</v>
      </c>
      <c r="N15" s="49" t="s">
        <v>68</v>
      </c>
    </row>
    <row r="16" spans="1:14" ht="27" thickBot="1" x14ac:dyDescent="0.25">
      <c r="A16" s="263"/>
      <c r="B16" s="265"/>
      <c r="C16" s="267"/>
      <c r="D16" s="269"/>
      <c r="E16" s="23"/>
      <c r="F16" s="24"/>
      <c r="G16" s="25"/>
      <c r="H16" s="25"/>
      <c r="I16" s="271"/>
      <c r="K16" s="48">
        <f>SUM((D45/3)*20+D21)</f>
        <v>0</v>
      </c>
      <c r="L16" s="49" t="s">
        <v>67</v>
      </c>
      <c r="M16" s="49">
        <v>2707</v>
      </c>
      <c r="N16" s="49" t="s">
        <v>69</v>
      </c>
    </row>
    <row r="17" spans="1:14" ht="26.25" x14ac:dyDescent="0.2">
      <c r="A17" s="272" t="s">
        <v>55</v>
      </c>
      <c r="B17" s="273">
        <v>148</v>
      </c>
      <c r="C17" s="274" t="s">
        <v>10</v>
      </c>
      <c r="D17" s="268"/>
      <c r="E17" s="26"/>
      <c r="F17" s="27"/>
      <c r="G17" s="28"/>
      <c r="H17" s="36"/>
      <c r="I17" s="275"/>
      <c r="K17" s="48">
        <f>SUM(D25)</f>
        <v>0</v>
      </c>
      <c r="L17" s="49" t="s">
        <v>67</v>
      </c>
      <c r="M17" s="49">
        <v>2699</v>
      </c>
      <c r="N17" s="49" t="s">
        <v>70</v>
      </c>
    </row>
    <row r="18" spans="1:14" ht="27" thickBot="1" x14ac:dyDescent="0.25">
      <c r="A18" s="263"/>
      <c r="B18" s="265"/>
      <c r="C18" s="267"/>
      <c r="D18" s="269"/>
      <c r="E18" s="23"/>
      <c r="F18" s="24"/>
      <c r="G18" s="25"/>
      <c r="H18" s="25"/>
      <c r="I18" s="271"/>
      <c r="K18" s="48">
        <f>SUM(D27+D41)</f>
        <v>0</v>
      </c>
      <c r="L18" s="49" t="s">
        <v>67</v>
      </c>
      <c r="M18" s="49">
        <v>2657</v>
      </c>
      <c r="N18" s="49" t="s">
        <v>71</v>
      </c>
    </row>
    <row r="19" spans="1:14" ht="26.25" customHeight="1" x14ac:dyDescent="0.2">
      <c r="A19" s="38" t="s">
        <v>62</v>
      </c>
      <c r="B19" s="39">
        <v>151</v>
      </c>
      <c r="C19" s="276" t="s">
        <v>11</v>
      </c>
      <c r="D19" s="268"/>
      <c r="E19" s="26"/>
      <c r="F19" s="27"/>
      <c r="G19" s="28"/>
      <c r="H19" s="36"/>
      <c r="I19" s="278"/>
      <c r="K19" s="48">
        <f>SUM(D29*10)</f>
        <v>0</v>
      </c>
      <c r="L19" s="49" t="s">
        <v>67</v>
      </c>
      <c r="M19" s="49">
        <v>59</v>
      </c>
      <c r="N19" s="49" t="s">
        <v>72</v>
      </c>
    </row>
    <row r="20" spans="1:14" ht="27" thickBot="1" x14ac:dyDescent="0.25">
      <c r="A20" s="40" t="s">
        <v>40</v>
      </c>
      <c r="B20" s="41">
        <v>152</v>
      </c>
      <c r="C20" s="277"/>
      <c r="D20" s="269"/>
      <c r="E20" s="23"/>
      <c r="F20" s="24"/>
      <c r="G20" s="25"/>
      <c r="H20" s="25"/>
      <c r="I20" s="279"/>
    </row>
    <row r="21" spans="1:14" ht="26.25" x14ac:dyDescent="0.2">
      <c r="A21" s="280" t="s">
        <v>53</v>
      </c>
      <c r="B21" s="282">
        <v>6135</v>
      </c>
      <c r="C21" s="276" t="s">
        <v>56</v>
      </c>
      <c r="D21" s="268"/>
      <c r="E21" s="26"/>
      <c r="F21" s="27"/>
      <c r="G21" s="28"/>
      <c r="H21" s="36"/>
      <c r="I21" s="278"/>
    </row>
    <row r="22" spans="1:14" ht="27" thickBot="1" x14ac:dyDescent="0.25">
      <c r="A22" s="281"/>
      <c r="B22" s="283"/>
      <c r="C22" s="277"/>
      <c r="D22" s="269"/>
      <c r="E22" s="23"/>
      <c r="F22" s="24"/>
      <c r="G22" s="25"/>
      <c r="H22" s="25"/>
      <c r="I22" s="279"/>
    </row>
    <row r="23" spans="1:14" ht="26.25" x14ac:dyDescent="0.2">
      <c r="A23" s="280" t="s">
        <v>16</v>
      </c>
      <c r="B23" s="282">
        <v>2526</v>
      </c>
      <c r="C23" s="276" t="s">
        <v>23</v>
      </c>
      <c r="D23" s="268"/>
      <c r="E23" s="26"/>
      <c r="F23" s="27"/>
      <c r="G23" s="28"/>
      <c r="H23" s="29"/>
      <c r="I23" s="284"/>
    </row>
    <row r="24" spans="1:14" ht="27" thickBot="1" x14ac:dyDescent="0.25">
      <c r="A24" s="281"/>
      <c r="B24" s="283"/>
      <c r="C24" s="277"/>
      <c r="D24" s="269"/>
      <c r="E24" s="23"/>
      <c r="F24" s="24"/>
      <c r="G24" s="25"/>
      <c r="H24" s="30"/>
      <c r="I24" s="285"/>
    </row>
    <row r="25" spans="1:14" ht="26.25" x14ac:dyDescent="0.2">
      <c r="A25" s="280" t="s">
        <v>63</v>
      </c>
      <c r="B25" s="282">
        <v>2527</v>
      </c>
      <c r="C25" s="276" t="s">
        <v>24</v>
      </c>
      <c r="D25" s="268"/>
      <c r="E25" s="26"/>
      <c r="F25" s="27"/>
      <c r="G25" s="28"/>
      <c r="H25" s="29"/>
      <c r="I25" s="286"/>
    </row>
    <row r="26" spans="1:14" ht="27" thickBot="1" x14ac:dyDescent="0.25">
      <c r="A26" s="281"/>
      <c r="B26" s="283"/>
      <c r="C26" s="277"/>
      <c r="D26" s="269"/>
      <c r="E26" s="23"/>
      <c r="F26" s="24"/>
      <c r="G26" s="25"/>
      <c r="H26" s="30"/>
      <c r="I26" s="287"/>
    </row>
    <row r="27" spans="1:14" ht="26.25" x14ac:dyDescent="0.2">
      <c r="A27" s="280" t="s">
        <v>14</v>
      </c>
      <c r="B27" s="282">
        <v>3800</v>
      </c>
      <c r="C27" s="276" t="s">
        <v>45</v>
      </c>
      <c r="D27" s="268"/>
      <c r="E27" s="26"/>
      <c r="F27" s="27"/>
      <c r="G27" s="28"/>
      <c r="H27" s="31"/>
      <c r="I27" s="284"/>
    </row>
    <row r="28" spans="1:14" ht="27" thickBot="1" x14ac:dyDescent="0.25">
      <c r="A28" s="281"/>
      <c r="B28" s="283"/>
      <c r="C28" s="277"/>
      <c r="D28" s="269"/>
      <c r="E28" s="23"/>
      <c r="F28" s="24"/>
      <c r="G28" s="25"/>
      <c r="H28" s="32"/>
      <c r="I28" s="285"/>
    </row>
    <row r="29" spans="1:14" ht="26.25" x14ac:dyDescent="0.2">
      <c r="A29" s="280" t="s">
        <v>15</v>
      </c>
      <c r="B29" s="282">
        <v>3801</v>
      </c>
      <c r="C29" s="276" t="s">
        <v>25</v>
      </c>
      <c r="D29" s="268"/>
      <c r="E29" s="26"/>
      <c r="F29" s="27"/>
      <c r="G29" s="28"/>
      <c r="H29" s="29"/>
      <c r="I29" s="284"/>
    </row>
    <row r="30" spans="1:14" ht="27" thickBot="1" x14ac:dyDescent="0.25">
      <c r="A30" s="281"/>
      <c r="B30" s="283"/>
      <c r="C30" s="277"/>
      <c r="D30" s="269"/>
      <c r="E30" s="23"/>
      <c r="F30" s="24"/>
      <c r="G30" s="25"/>
      <c r="H30" s="30"/>
      <c r="I30" s="285"/>
    </row>
    <row r="31" spans="1:14" ht="26.25" customHeight="1" x14ac:dyDescent="0.2">
      <c r="A31" s="280" t="s">
        <v>17</v>
      </c>
      <c r="B31" s="282">
        <v>3802</v>
      </c>
      <c r="C31" s="276" t="s">
        <v>47</v>
      </c>
      <c r="D31" s="268"/>
      <c r="E31" s="26"/>
      <c r="F31" s="27"/>
      <c r="G31" s="28"/>
      <c r="H31" s="63"/>
      <c r="I31" s="284"/>
    </row>
    <row r="32" spans="1:14" ht="27" thickBot="1" x14ac:dyDescent="0.25">
      <c r="A32" s="281"/>
      <c r="B32" s="283"/>
      <c r="C32" s="277"/>
      <c r="D32" s="269"/>
      <c r="E32" s="23"/>
      <c r="F32" s="24"/>
      <c r="G32" s="25"/>
      <c r="H32" s="30"/>
      <c r="I32" s="285"/>
    </row>
    <row r="33" spans="1:9" ht="26.25" x14ac:dyDescent="0.2">
      <c r="A33" s="280" t="s">
        <v>18</v>
      </c>
      <c r="B33" s="282">
        <v>3805</v>
      </c>
      <c r="C33" s="276" t="s">
        <v>26</v>
      </c>
      <c r="D33" s="268"/>
      <c r="E33" s="26"/>
      <c r="F33" s="27"/>
      <c r="G33" s="28"/>
      <c r="H33" s="29"/>
      <c r="I33" s="284"/>
    </row>
    <row r="34" spans="1:9" ht="27" thickBot="1" x14ac:dyDescent="0.25">
      <c r="A34" s="281"/>
      <c r="B34" s="283"/>
      <c r="C34" s="277"/>
      <c r="D34" s="269"/>
      <c r="E34" s="23"/>
      <c r="F34" s="24"/>
      <c r="G34" s="25"/>
      <c r="H34" s="32"/>
      <c r="I34" s="285"/>
    </row>
    <row r="35" spans="1:9" ht="26.25" x14ac:dyDescent="0.2">
      <c r="A35" s="280" t="s">
        <v>57</v>
      </c>
      <c r="B35" s="282">
        <v>3808</v>
      </c>
      <c r="C35" s="276" t="s">
        <v>27</v>
      </c>
      <c r="D35" s="268"/>
      <c r="E35" s="26"/>
      <c r="F35" s="27"/>
      <c r="G35" s="28"/>
      <c r="H35" s="29"/>
      <c r="I35" s="284"/>
    </row>
    <row r="36" spans="1:9" ht="27" thickBot="1" x14ac:dyDescent="0.25">
      <c r="A36" s="281"/>
      <c r="B36" s="283"/>
      <c r="C36" s="277"/>
      <c r="D36" s="269"/>
      <c r="E36" s="23"/>
      <c r="F36" s="24"/>
      <c r="G36" s="25"/>
      <c r="H36" s="32"/>
      <c r="I36" s="285"/>
    </row>
    <row r="37" spans="1:9" ht="26.25" x14ac:dyDescent="0.2">
      <c r="A37" s="280" t="s">
        <v>21</v>
      </c>
      <c r="B37" s="282">
        <v>3810</v>
      </c>
      <c r="C37" s="276" t="s">
        <v>48</v>
      </c>
      <c r="D37" s="268"/>
      <c r="E37" s="26"/>
      <c r="F37" s="27"/>
      <c r="G37" s="28"/>
      <c r="H37" s="29"/>
      <c r="I37" s="288"/>
    </row>
    <row r="38" spans="1:9" ht="27" thickBot="1" x14ac:dyDescent="0.25">
      <c r="A38" s="281"/>
      <c r="B38" s="283"/>
      <c r="C38" s="277"/>
      <c r="D38" s="269"/>
      <c r="E38" s="23"/>
      <c r="F38" s="24"/>
      <c r="G38" s="25"/>
      <c r="H38" s="32"/>
      <c r="I38" s="289"/>
    </row>
    <row r="39" spans="1:9" ht="26.25" x14ac:dyDescent="0.2">
      <c r="A39" s="280" t="s">
        <v>64</v>
      </c>
      <c r="B39" s="282">
        <v>6056</v>
      </c>
      <c r="C39" s="276" t="s">
        <v>31</v>
      </c>
      <c r="D39" s="268"/>
      <c r="E39" s="33"/>
      <c r="F39" s="27"/>
      <c r="G39" s="28"/>
      <c r="H39" s="29"/>
      <c r="I39" s="288"/>
    </row>
    <row r="40" spans="1:9" ht="27" thickBot="1" x14ac:dyDescent="0.25">
      <c r="A40" s="281"/>
      <c r="B40" s="283"/>
      <c r="C40" s="277"/>
      <c r="D40" s="269"/>
      <c r="E40" s="34"/>
      <c r="F40" s="24"/>
      <c r="G40" s="25"/>
      <c r="H40" s="30"/>
      <c r="I40" s="289"/>
    </row>
    <row r="41" spans="1:9" ht="26.25" x14ac:dyDescent="0.2">
      <c r="A41" s="280" t="s">
        <v>19</v>
      </c>
      <c r="B41" s="282">
        <v>3820</v>
      </c>
      <c r="C41" s="276" t="s">
        <v>46</v>
      </c>
      <c r="D41" s="268"/>
      <c r="E41" s="26"/>
      <c r="F41" s="27"/>
      <c r="G41" s="28"/>
      <c r="H41" s="29"/>
      <c r="I41" s="288"/>
    </row>
    <row r="42" spans="1:9" ht="27" thickBot="1" x14ac:dyDescent="0.25">
      <c r="A42" s="290"/>
      <c r="B42" s="291"/>
      <c r="C42" s="292"/>
      <c r="D42" s="269"/>
      <c r="E42" s="23"/>
      <c r="F42" s="24"/>
      <c r="G42" s="25"/>
      <c r="H42" s="32"/>
      <c r="I42" s="289"/>
    </row>
    <row r="43" spans="1:9" ht="26.25" x14ac:dyDescent="0.2">
      <c r="A43" s="280" t="s">
        <v>20</v>
      </c>
      <c r="B43" s="282">
        <v>3821</v>
      </c>
      <c r="C43" s="276" t="s">
        <v>28</v>
      </c>
      <c r="D43" s="268"/>
      <c r="E43" s="26"/>
      <c r="F43" s="27"/>
      <c r="G43" s="28"/>
      <c r="H43" s="31"/>
      <c r="I43" s="288"/>
    </row>
    <row r="44" spans="1:9" ht="27" thickBot="1" x14ac:dyDescent="0.25">
      <c r="A44" s="281"/>
      <c r="B44" s="283"/>
      <c r="C44" s="277"/>
      <c r="D44" s="269"/>
      <c r="E44" s="23"/>
      <c r="F44" s="24"/>
      <c r="G44" s="25"/>
      <c r="H44" s="32"/>
      <c r="I44" s="289"/>
    </row>
    <row r="45" spans="1:9" ht="26.25" x14ac:dyDescent="0.2">
      <c r="A45" s="280" t="s">
        <v>58</v>
      </c>
      <c r="B45" s="282">
        <v>3822</v>
      </c>
      <c r="C45" s="276" t="s">
        <v>38</v>
      </c>
      <c r="D45" s="268"/>
      <c r="E45" s="26"/>
      <c r="F45" s="27"/>
      <c r="G45" s="28"/>
      <c r="H45" s="29"/>
      <c r="I45" s="284"/>
    </row>
    <row r="46" spans="1:9" ht="27" thickBot="1" x14ac:dyDescent="0.25">
      <c r="A46" s="281"/>
      <c r="B46" s="283"/>
      <c r="C46" s="277"/>
      <c r="D46" s="269"/>
      <c r="E46" s="23"/>
      <c r="F46" s="24"/>
      <c r="G46" s="25"/>
      <c r="H46" s="32"/>
      <c r="I46" s="285"/>
    </row>
    <row r="47" spans="1:9" ht="26.25" customHeight="1" x14ac:dyDescent="0.2">
      <c r="A47" s="280" t="s">
        <v>32</v>
      </c>
      <c r="B47" s="282">
        <v>3832</v>
      </c>
      <c r="C47" s="276" t="s">
        <v>37</v>
      </c>
      <c r="D47" s="268"/>
      <c r="E47" s="27"/>
      <c r="F47" s="27"/>
      <c r="G47" s="28"/>
      <c r="H47" s="31"/>
      <c r="I47" s="288"/>
    </row>
    <row r="48" spans="1:9" ht="27" thickBot="1" x14ac:dyDescent="0.25">
      <c r="A48" s="281"/>
      <c r="B48" s="283"/>
      <c r="C48" s="277"/>
      <c r="D48" s="269"/>
      <c r="E48" s="24"/>
      <c r="F48" s="24"/>
      <c r="G48" s="25"/>
      <c r="H48" s="32"/>
      <c r="I48" s="289"/>
    </row>
    <row r="49" spans="1:9" ht="26.25" x14ac:dyDescent="0.2">
      <c r="A49" s="280" t="s">
        <v>59</v>
      </c>
      <c r="B49" s="282">
        <v>4173</v>
      </c>
      <c r="C49" s="276" t="s">
        <v>12</v>
      </c>
      <c r="D49" s="268"/>
      <c r="E49" s="27"/>
      <c r="F49" s="27"/>
      <c r="G49" s="28"/>
      <c r="H49" s="31"/>
      <c r="I49" s="284"/>
    </row>
    <row r="50" spans="1:9" ht="27" thickBot="1" x14ac:dyDescent="0.25">
      <c r="A50" s="281"/>
      <c r="B50" s="283"/>
      <c r="C50" s="277"/>
      <c r="D50" s="269"/>
      <c r="E50" s="24"/>
      <c r="F50" s="24"/>
      <c r="G50" s="25"/>
      <c r="H50" s="32"/>
      <c r="I50" s="285"/>
    </row>
    <row r="51" spans="1:9" ht="26.25" x14ac:dyDescent="0.2">
      <c r="A51" s="280" t="s">
        <v>22</v>
      </c>
      <c r="B51" s="293">
        <v>2</v>
      </c>
      <c r="C51" s="276" t="s">
        <v>30</v>
      </c>
      <c r="D51" s="268"/>
      <c r="E51" s="27"/>
      <c r="F51" s="27"/>
      <c r="G51" s="31"/>
      <c r="H51" s="31"/>
      <c r="I51" s="288"/>
    </row>
    <row r="52" spans="1:9" ht="27" thickBot="1" x14ac:dyDescent="0.25">
      <c r="A52" s="281"/>
      <c r="B52" s="294"/>
      <c r="C52" s="277"/>
      <c r="D52" s="269"/>
      <c r="E52" s="24"/>
      <c r="F52" s="24"/>
      <c r="G52" s="32"/>
      <c r="H52" s="32"/>
      <c r="I52" s="289"/>
    </row>
    <row r="53" spans="1:9" ht="27" x14ac:dyDescent="0.2">
      <c r="A53" s="311" t="s">
        <v>13</v>
      </c>
      <c r="B53" s="311"/>
      <c r="C53" s="311"/>
      <c r="D53" s="311"/>
      <c r="E53" s="311"/>
      <c r="F53" s="311"/>
      <c r="G53" s="311"/>
      <c r="H53" s="311"/>
      <c r="I53" s="311"/>
    </row>
    <row r="54" spans="1:9" ht="18.75" x14ac:dyDescent="0.2">
      <c r="A54" s="11"/>
      <c r="B54" s="312"/>
      <c r="C54" s="312"/>
      <c r="D54" s="312"/>
      <c r="E54" s="312"/>
      <c r="F54" s="312"/>
      <c r="G54" s="312"/>
      <c r="H54" s="312"/>
      <c r="I54" s="12"/>
    </row>
    <row r="55" spans="1:9" ht="18.75" x14ac:dyDescent="0.2">
      <c r="A55" s="11"/>
      <c r="B55" s="13"/>
      <c r="C55" s="13"/>
      <c r="D55" s="13"/>
      <c r="E55" s="13"/>
      <c r="F55" s="13"/>
      <c r="G55" s="13"/>
      <c r="H55" s="13"/>
      <c r="I55" s="11"/>
    </row>
    <row r="56" spans="1:9" ht="18.75" x14ac:dyDescent="0.2">
      <c r="A56" s="11"/>
      <c r="B56" s="13"/>
      <c r="C56" s="13"/>
      <c r="D56" s="13"/>
      <c r="E56" s="13"/>
      <c r="F56" s="13"/>
      <c r="G56" s="13"/>
      <c r="H56" s="13"/>
      <c r="I56" s="11"/>
    </row>
    <row r="57" spans="1:9" ht="18.75" x14ac:dyDescent="0.2">
      <c r="A57" s="11"/>
      <c r="B57" s="13"/>
      <c r="C57" s="13"/>
      <c r="D57" s="13"/>
      <c r="E57" s="13"/>
      <c r="F57" s="13"/>
      <c r="G57" s="13"/>
      <c r="H57" s="13"/>
      <c r="I57" s="11"/>
    </row>
    <row r="58" spans="1:9" ht="18.75" x14ac:dyDescent="0.2">
      <c r="A58" s="14"/>
      <c r="B58" s="15"/>
      <c r="C58" s="16"/>
      <c r="D58" s="15"/>
      <c r="E58" s="15"/>
      <c r="F58" s="15"/>
      <c r="G58" s="16"/>
      <c r="H58" s="16"/>
      <c r="I58" s="16"/>
    </row>
    <row r="59" spans="1:9" ht="18.75" x14ac:dyDescent="0.2">
      <c r="A59" s="14"/>
      <c r="B59" s="313"/>
      <c r="C59" s="313"/>
      <c r="D59" s="17"/>
      <c r="E59" s="7"/>
      <c r="F59" s="16"/>
      <c r="G59" s="16"/>
      <c r="H59" s="4"/>
      <c r="I59" s="7"/>
    </row>
    <row r="60" spans="1:9" ht="20.25" x14ac:dyDescent="0.2">
      <c r="A60" s="42"/>
      <c r="B60" s="42"/>
      <c r="C60" s="43"/>
      <c r="D60" s="44"/>
      <c r="E60" s="43"/>
      <c r="F60" s="45"/>
      <c r="G60" s="45"/>
      <c r="H60" s="43"/>
      <c r="I60" s="43"/>
    </row>
    <row r="61" spans="1:9" ht="20.25" x14ac:dyDescent="0.2">
      <c r="A61" s="314" t="s">
        <v>73</v>
      </c>
      <c r="B61" s="314"/>
      <c r="C61" s="314"/>
      <c r="D61" s="46"/>
      <c r="E61" s="43"/>
      <c r="F61" s="315" t="s">
        <v>74</v>
      </c>
      <c r="G61" s="315"/>
      <c r="H61" s="315"/>
      <c r="I61" s="315"/>
    </row>
    <row r="62" spans="1:9" ht="20.25" x14ac:dyDescent="0.2">
      <c r="A62" s="310" t="s">
        <v>65</v>
      </c>
      <c r="B62" s="310"/>
      <c r="C62" s="310"/>
      <c r="D62" s="42"/>
      <c r="E62" s="43"/>
      <c r="F62" s="310" t="s">
        <v>44</v>
      </c>
      <c r="G62" s="310"/>
      <c r="H62" s="310"/>
      <c r="I62" s="310"/>
    </row>
    <row r="63" spans="1:9" ht="20.25" x14ac:dyDescent="0.2">
      <c r="A63" s="45"/>
      <c r="B63" s="45"/>
      <c r="C63" s="43"/>
      <c r="D63" s="45"/>
      <c r="E63" s="45"/>
      <c r="F63" s="43"/>
      <c r="G63" s="43"/>
      <c r="H63" s="43"/>
      <c r="I63" s="43"/>
    </row>
    <row r="64" spans="1:9" ht="20.25" x14ac:dyDescent="0.2">
      <c r="A64" s="45"/>
      <c r="B64" s="45"/>
      <c r="C64" s="43"/>
      <c r="D64" s="45"/>
      <c r="E64" s="45"/>
      <c r="F64" s="43"/>
      <c r="G64" s="43"/>
      <c r="H64" s="43"/>
      <c r="I64" s="43"/>
    </row>
    <row r="65" spans="1:9" ht="20.25" x14ac:dyDescent="0.2">
      <c r="A65" s="42"/>
      <c r="B65" s="42"/>
      <c r="C65" s="43"/>
      <c r="D65" s="42"/>
      <c r="E65" s="45"/>
      <c r="F65" s="43"/>
      <c r="G65" s="43"/>
      <c r="H65" s="43"/>
      <c r="I65" s="43"/>
    </row>
    <row r="66" spans="1:9" ht="20.25" x14ac:dyDescent="0.2">
      <c r="A66" s="42"/>
      <c r="B66" s="42" t="s">
        <v>75</v>
      </c>
      <c r="C66" s="43"/>
      <c r="D66" s="45"/>
      <c r="E66" s="47"/>
      <c r="F66" s="43"/>
      <c r="G66" s="43"/>
      <c r="H66" s="43"/>
      <c r="I66" s="46"/>
    </row>
    <row r="67" spans="1:9" ht="20.25" x14ac:dyDescent="0.2">
      <c r="A67" s="316" t="s">
        <v>66</v>
      </c>
      <c r="B67" s="316"/>
      <c r="C67" s="316"/>
      <c r="D67" s="46"/>
      <c r="E67" s="43"/>
      <c r="F67" s="314" t="s">
        <v>52</v>
      </c>
      <c r="G67" s="314"/>
      <c r="H67" s="314"/>
      <c r="I67" s="314"/>
    </row>
    <row r="68" spans="1:9" ht="20.25" x14ac:dyDescent="0.2">
      <c r="A68" s="310"/>
      <c r="B68" s="310"/>
      <c r="C68" s="310"/>
      <c r="D68" s="1"/>
      <c r="E68" s="2"/>
      <c r="F68" s="2"/>
      <c r="G68" s="2"/>
      <c r="H68" s="2"/>
      <c r="I68" s="4"/>
    </row>
    <row r="69" spans="1:9" x14ac:dyDescent="0.2">
      <c r="A69" s="4"/>
      <c r="B69" s="4"/>
      <c r="C69" s="4"/>
      <c r="D69" s="4"/>
      <c r="E69" s="2"/>
      <c r="F69" s="2"/>
      <c r="G69" s="2"/>
      <c r="H69" s="2"/>
      <c r="I69" s="4"/>
    </row>
    <row r="70" spans="1:9" x14ac:dyDescent="0.2">
      <c r="A70" s="4"/>
      <c r="B70" s="4"/>
      <c r="C70" s="4"/>
      <c r="D70" s="4"/>
      <c r="E70" s="2"/>
      <c r="F70" s="2"/>
      <c r="G70" s="2"/>
      <c r="H70" s="2"/>
      <c r="I70" s="4"/>
    </row>
    <row r="71" spans="1:9" x14ac:dyDescent="0.2">
      <c r="A71" s="4"/>
      <c r="B71" s="4"/>
      <c r="C71" s="4"/>
      <c r="D71" s="4"/>
      <c r="E71" s="2"/>
      <c r="F71" s="2"/>
      <c r="G71" s="2"/>
      <c r="H71" s="2"/>
      <c r="I71" s="4"/>
    </row>
    <row r="72" spans="1:9" x14ac:dyDescent="0.2">
      <c r="A72" s="4"/>
      <c r="B72" s="4"/>
      <c r="C72" s="4"/>
      <c r="D72" s="4"/>
      <c r="E72" s="4"/>
      <c r="F72" s="5"/>
      <c r="G72" s="4"/>
      <c r="H72" s="4"/>
      <c r="I72" s="4"/>
    </row>
    <row r="73" spans="1:9" x14ac:dyDescent="0.2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">
      <c r="A75" s="4"/>
      <c r="B75" s="4"/>
      <c r="C75" s="4"/>
      <c r="D75" s="4"/>
      <c r="E75" s="4"/>
      <c r="F75" s="4"/>
      <c r="G75" s="4"/>
      <c r="H75" s="4"/>
      <c r="I75" s="4"/>
    </row>
  </sheetData>
  <mergeCells count="116">
    <mergeCell ref="A68:C68"/>
    <mergeCell ref="A61:C61"/>
    <mergeCell ref="F61:I61"/>
    <mergeCell ref="A62:C62"/>
    <mergeCell ref="F62:I62"/>
    <mergeCell ref="A67:C67"/>
    <mergeCell ref="F67:I67"/>
    <mergeCell ref="G9:H9"/>
    <mergeCell ref="G11:H11"/>
    <mergeCell ref="A13:A14"/>
    <mergeCell ref="B13:B14"/>
    <mergeCell ref="C13:C14"/>
    <mergeCell ref="D13:H13"/>
    <mergeCell ref="C19:C20"/>
    <mergeCell ref="D19:D20"/>
    <mergeCell ref="I19:I20"/>
    <mergeCell ref="A21:A22"/>
    <mergeCell ref="B21:B22"/>
    <mergeCell ref="C21:C22"/>
    <mergeCell ref="D21:D22"/>
    <mergeCell ref="I21:I22"/>
    <mergeCell ref="A23:A24"/>
    <mergeCell ref="B23:B24"/>
    <mergeCell ref="C23:C24"/>
    <mergeCell ref="A1:I1"/>
    <mergeCell ref="A2:I2"/>
    <mergeCell ref="A3:I3"/>
    <mergeCell ref="A5:I5"/>
    <mergeCell ref="C7:D7"/>
    <mergeCell ref="G7:H7"/>
    <mergeCell ref="A17:A18"/>
    <mergeCell ref="B17:B18"/>
    <mergeCell ref="C17:C18"/>
    <mergeCell ref="D17:D18"/>
    <mergeCell ref="I17:I18"/>
    <mergeCell ref="I13:I14"/>
    <mergeCell ref="A15:A16"/>
    <mergeCell ref="B15:B16"/>
    <mergeCell ref="C15:C16"/>
    <mergeCell ref="D15:D16"/>
    <mergeCell ref="I15:I16"/>
    <mergeCell ref="D23:D24"/>
    <mergeCell ref="I23:I24"/>
    <mergeCell ref="A25:A26"/>
    <mergeCell ref="B25:B26"/>
    <mergeCell ref="C25:C26"/>
    <mergeCell ref="D25:D26"/>
    <mergeCell ref="I25:I26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31:A32"/>
    <mergeCell ref="B31:B32"/>
    <mergeCell ref="C31:C32"/>
    <mergeCell ref="D31:D32"/>
    <mergeCell ref="I31:I32"/>
    <mergeCell ref="A33:A34"/>
    <mergeCell ref="B33:B34"/>
    <mergeCell ref="C33:C34"/>
    <mergeCell ref="D33:D34"/>
    <mergeCell ref="I33:I34"/>
    <mergeCell ref="A35:A36"/>
    <mergeCell ref="B35:B36"/>
    <mergeCell ref="C35:C36"/>
    <mergeCell ref="D35:D36"/>
    <mergeCell ref="I35:I36"/>
    <mergeCell ref="A37:A38"/>
    <mergeCell ref="B37:B38"/>
    <mergeCell ref="C37:C38"/>
    <mergeCell ref="D37:D38"/>
    <mergeCell ref="I37:I38"/>
    <mergeCell ref="A39:A40"/>
    <mergeCell ref="B39:B40"/>
    <mergeCell ref="C39:C40"/>
    <mergeCell ref="D39:D40"/>
    <mergeCell ref="I39:I40"/>
    <mergeCell ref="A41:A42"/>
    <mergeCell ref="B41:B42"/>
    <mergeCell ref="C41:C42"/>
    <mergeCell ref="D41:D42"/>
    <mergeCell ref="I41:I42"/>
    <mergeCell ref="A43:A44"/>
    <mergeCell ref="B43:B44"/>
    <mergeCell ref="C43:C44"/>
    <mergeCell ref="D43:D44"/>
    <mergeCell ref="I43:I44"/>
    <mergeCell ref="A45:A46"/>
    <mergeCell ref="B45:B46"/>
    <mergeCell ref="C45:C46"/>
    <mergeCell ref="D45:D46"/>
    <mergeCell ref="I45:I46"/>
    <mergeCell ref="A47:A48"/>
    <mergeCell ref="B47:B48"/>
    <mergeCell ref="C47:C48"/>
    <mergeCell ref="D47:D48"/>
    <mergeCell ref="I47:I48"/>
    <mergeCell ref="A53:I53"/>
    <mergeCell ref="B54:H54"/>
    <mergeCell ref="B59:C59"/>
    <mergeCell ref="A49:A50"/>
    <mergeCell ref="B49:B50"/>
    <mergeCell ref="C49:C50"/>
    <mergeCell ref="D49:D50"/>
    <mergeCell ref="I49:I50"/>
    <mergeCell ref="A51:A52"/>
    <mergeCell ref="B51:B52"/>
    <mergeCell ref="C51:C52"/>
    <mergeCell ref="D51:D52"/>
    <mergeCell ref="I51:I52"/>
  </mergeCells>
  <printOptions horizontalCentered="1" verticalCentered="1"/>
  <pageMargins left="0" right="0" top="0.54" bottom="0" header="0" footer="0"/>
  <pageSetup paperSize="9" scale="35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75"/>
  <sheetViews>
    <sheetView zoomScale="50" zoomScaleNormal="50" workbookViewId="0">
      <selection activeCell="L26" sqref="L26"/>
    </sheetView>
  </sheetViews>
  <sheetFormatPr baseColWidth="10" defaultRowHeight="12.75" x14ac:dyDescent="0.2"/>
  <cols>
    <col min="1" max="1" width="46.140625" customWidth="1"/>
    <col min="2" max="2" width="16.42578125" customWidth="1"/>
    <col min="3" max="3" width="68.7109375" customWidth="1"/>
    <col min="4" max="4" width="25" customWidth="1"/>
    <col min="5" max="5" width="19.28515625" customWidth="1"/>
    <col min="6" max="6" width="18.28515625" customWidth="1"/>
    <col min="7" max="7" width="47.85546875" customWidth="1"/>
    <col min="8" max="8" width="21.42578125" customWidth="1"/>
    <col min="9" max="9" width="42.42578125" customWidth="1"/>
    <col min="12" max="12" width="22.140625" customWidth="1"/>
    <col min="14" max="14" width="26.140625" customWidth="1"/>
  </cols>
  <sheetData>
    <row r="1" spans="1:14" ht="30" x14ac:dyDescent="0.2">
      <c r="A1" s="295" t="s">
        <v>49</v>
      </c>
      <c r="B1" s="295"/>
      <c r="C1" s="295"/>
      <c r="D1" s="295"/>
      <c r="E1" s="295"/>
      <c r="F1" s="295"/>
      <c r="G1" s="295"/>
      <c r="H1" s="295"/>
      <c r="I1" s="295"/>
    </row>
    <row r="2" spans="1:14" ht="30" x14ac:dyDescent="0.2">
      <c r="A2" s="295" t="s">
        <v>50</v>
      </c>
      <c r="B2" s="295"/>
      <c r="C2" s="295"/>
      <c r="D2" s="295"/>
      <c r="E2" s="295"/>
      <c r="F2" s="295"/>
      <c r="G2" s="295"/>
      <c r="H2" s="295"/>
      <c r="I2" s="295"/>
    </row>
    <row r="3" spans="1:14" ht="30" x14ac:dyDescent="0.2">
      <c r="A3" s="295"/>
      <c r="B3" s="295"/>
      <c r="C3" s="295"/>
      <c r="D3" s="295"/>
      <c r="E3" s="295"/>
      <c r="F3" s="295"/>
      <c r="G3" s="295"/>
      <c r="H3" s="295"/>
      <c r="I3" s="295"/>
    </row>
    <row r="4" spans="1:14" x14ac:dyDescent="0.2">
      <c r="A4" s="3"/>
      <c r="B4" s="3"/>
      <c r="C4" s="3"/>
      <c r="D4" s="3"/>
      <c r="E4" s="3"/>
      <c r="F4" s="3"/>
      <c r="G4" s="3"/>
      <c r="H4" s="3"/>
      <c r="I4" s="3"/>
    </row>
    <row r="5" spans="1:14" ht="25.5" x14ac:dyDescent="0.2">
      <c r="A5" s="356" t="s">
        <v>51</v>
      </c>
      <c r="B5" s="356"/>
      <c r="C5" s="356"/>
      <c r="D5" s="356"/>
      <c r="E5" s="356"/>
      <c r="F5" s="356"/>
      <c r="G5" s="356"/>
      <c r="H5" s="356"/>
      <c r="I5" s="356"/>
    </row>
    <row r="6" spans="1:14" ht="25.5" x14ac:dyDescent="0.2">
      <c r="A6" s="54"/>
      <c r="B6" s="54"/>
      <c r="C6" s="54"/>
      <c r="D6" s="54"/>
      <c r="E6" s="54"/>
      <c r="F6" s="54"/>
      <c r="G6" s="54"/>
      <c r="H6" s="54"/>
      <c r="I6" s="54"/>
    </row>
    <row r="7" spans="1:14" ht="27" thickBot="1" x14ac:dyDescent="0.25">
      <c r="A7" s="50"/>
      <c r="B7" s="51" t="s">
        <v>35</v>
      </c>
      <c r="C7" s="52" t="s">
        <v>77</v>
      </c>
      <c r="D7" s="50"/>
      <c r="E7" s="50"/>
      <c r="F7" s="51" t="s">
        <v>1</v>
      </c>
      <c r="G7" s="296" t="s">
        <v>54</v>
      </c>
      <c r="H7" s="296"/>
      <c r="I7" s="50"/>
    </row>
    <row r="8" spans="1:14" ht="26.25" x14ac:dyDescent="0.2">
      <c r="A8" s="50"/>
      <c r="B8" s="51"/>
      <c r="C8" s="53"/>
      <c r="D8" s="50"/>
      <c r="E8" s="50"/>
      <c r="F8" s="54"/>
      <c r="G8" s="50"/>
      <c r="H8" s="50"/>
      <c r="I8" s="50"/>
    </row>
    <row r="9" spans="1:14" ht="27" thickBot="1" x14ac:dyDescent="0.25">
      <c r="A9" s="50"/>
      <c r="B9" s="51" t="s">
        <v>42</v>
      </c>
      <c r="C9" s="52"/>
      <c r="D9" s="50"/>
      <c r="E9" s="50"/>
      <c r="F9" s="51" t="s">
        <v>2</v>
      </c>
      <c r="G9" s="297"/>
      <c r="H9" s="297"/>
      <c r="I9" s="50"/>
    </row>
    <row r="10" spans="1:14" ht="26.25" x14ac:dyDescent="0.2">
      <c r="A10" s="50"/>
      <c r="B10" s="54"/>
      <c r="C10" s="53"/>
      <c r="D10" s="50"/>
      <c r="E10" s="50"/>
      <c r="F10" s="51"/>
      <c r="G10" s="50"/>
      <c r="H10" s="50"/>
      <c r="I10" s="50"/>
    </row>
    <row r="11" spans="1:14" ht="27" thickBot="1" x14ac:dyDescent="0.25">
      <c r="A11" s="50"/>
      <c r="B11" s="51" t="s">
        <v>36</v>
      </c>
      <c r="C11" s="52" t="s">
        <v>88</v>
      </c>
      <c r="D11" s="50"/>
      <c r="E11" s="50"/>
      <c r="F11" s="51" t="s">
        <v>39</v>
      </c>
      <c r="G11" s="298"/>
      <c r="H11" s="298"/>
      <c r="I11" s="50"/>
    </row>
    <row r="12" spans="1:14" ht="26.25" thickBot="1" x14ac:dyDescent="0.25">
      <c r="A12" s="55"/>
      <c r="B12" s="55"/>
      <c r="C12" s="55"/>
      <c r="D12" s="55"/>
      <c r="E12" s="55"/>
      <c r="F12" s="55"/>
      <c r="G12" s="55"/>
      <c r="H12" s="55"/>
      <c r="I12" s="55"/>
    </row>
    <row r="13" spans="1:14" ht="25.5" x14ac:dyDescent="0.2">
      <c r="A13" s="253" t="s">
        <v>3</v>
      </c>
      <c r="B13" s="255" t="s">
        <v>43</v>
      </c>
      <c r="C13" s="255" t="s">
        <v>4</v>
      </c>
      <c r="D13" s="257" t="s">
        <v>5</v>
      </c>
      <c r="E13" s="258"/>
      <c r="F13" s="258"/>
      <c r="G13" s="258"/>
      <c r="H13" s="259"/>
      <c r="I13" s="260" t="s">
        <v>34</v>
      </c>
    </row>
    <row r="14" spans="1:14" ht="51.75" thickBot="1" x14ac:dyDescent="0.25">
      <c r="A14" s="254"/>
      <c r="B14" s="256"/>
      <c r="C14" s="256"/>
      <c r="D14" s="58" t="s">
        <v>6</v>
      </c>
      <c r="E14" s="58" t="s">
        <v>7</v>
      </c>
      <c r="F14" s="58" t="s">
        <v>8</v>
      </c>
      <c r="G14" s="59" t="s">
        <v>9</v>
      </c>
      <c r="H14" s="59" t="s">
        <v>33</v>
      </c>
      <c r="I14" s="261"/>
    </row>
    <row r="15" spans="1:14" ht="26.25" x14ac:dyDescent="0.2">
      <c r="A15" s="262" t="s">
        <v>41</v>
      </c>
      <c r="B15" s="264">
        <v>146</v>
      </c>
      <c r="C15" s="266" t="s">
        <v>29</v>
      </c>
      <c r="D15" s="268"/>
      <c r="E15" s="20"/>
      <c r="F15" s="21"/>
      <c r="G15" s="22"/>
      <c r="H15" s="35"/>
      <c r="I15" s="270"/>
      <c r="K15" s="48">
        <f>SUM(D15+(D45*10)+(D33*10)+D23+D35+(D37*10)+D49)</f>
        <v>0</v>
      </c>
      <c r="L15" s="49" t="s">
        <v>67</v>
      </c>
      <c r="M15" s="49">
        <v>2715</v>
      </c>
      <c r="N15" s="49" t="s">
        <v>68</v>
      </c>
    </row>
    <row r="16" spans="1:14" ht="27" thickBot="1" x14ac:dyDescent="0.25">
      <c r="A16" s="263"/>
      <c r="B16" s="265"/>
      <c r="C16" s="267"/>
      <c r="D16" s="269"/>
      <c r="E16" s="23"/>
      <c r="F16" s="24"/>
      <c r="G16" s="25"/>
      <c r="H16" s="25"/>
      <c r="I16" s="271"/>
      <c r="K16" s="48">
        <f>SUM((D45/3)*20+D21)</f>
        <v>0</v>
      </c>
      <c r="L16" s="49" t="s">
        <v>67</v>
      </c>
      <c r="M16" s="49">
        <v>2707</v>
      </c>
      <c r="N16" s="49" t="s">
        <v>69</v>
      </c>
    </row>
    <row r="17" spans="1:14" ht="26.25" x14ac:dyDescent="0.2">
      <c r="A17" s="272" t="s">
        <v>55</v>
      </c>
      <c r="B17" s="273">
        <v>148</v>
      </c>
      <c r="C17" s="274" t="s">
        <v>10</v>
      </c>
      <c r="D17" s="268"/>
      <c r="E17" s="26"/>
      <c r="F17" s="27"/>
      <c r="G17" s="28"/>
      <c r="H17" s="36"/>
      <c r="I17" s="275"/>
      <c r="K17" s="48">
        <f>SUM(D25)</f>
        <v>0</v>
      </c>
      <c r="L17" s="49" t="s">
        <v>67</v>
      </c>
      <c r="M17" s="49">
        <v>2699</v>
      </c>
      <c r="N17" s="49" t="s">
        <v>70</v>
      </c>
    </row>
    <row r="18" spans="1:14" ht="27" thickBot="1" x14ac:dyDescent="0.25">
      <c r="A18" s="263"/>
      <c r="B18" s="265"/>
      <c r="C18" s="267"/>
      <c r="D18" s="269"/>
      <c r="E18" s="23"/>
      <c r="F18" s="24"/>
      <c r="G18" s="25"/>
      <c r="H18" s="25"/>
      <c r="I18" s="271"/>
      <c r="K18" s="48">
        <f>SUM(D27+D41)</f>
        <v>0</v>
      </c>
      <c r="L18" s="49" t="s">
        <v>67</v>
      </c>
      <c r="M18" s="49">
        <v>2657</v>
      </c>
      <c r="N18" s="49" t="s">
        <v>71</v>
      </c>
    </row>
    <row r="19" spans="1:14" ht="26.25" customHeight="1" x14ac:dyDescent="0.2">
      <c r="A19" s="280" t="s">
        <v>80</v>
      </c>
      <c r="B19" s="282">
        <v>150</v>
      </c>
      <c r="C19" s="276" t="s">
        <v>81</v>
      </c>
      <c r="D19" s="268"/>
      <c r="E19" s="26"/>
      <c r="F19" s="27"/>
      <c r="G19" s="28"/>
      <c r="H19" s="36"/>
      <c r="I19" s="278"/>
      <c r="K19" s="48">
        <f>SUM(D29*10)</f>
        <v>0</v>
      </c>
      <c r="L19" s="49" t="s">
        <v>67</v>
      </c>
      <c r="M19" s="49">
        <v>59</v>
      </c>
      <c r="N19" s="49" t="s">
        <v>72</v>
      </c>
    </row>
    <row r="20" spans="1:14" ht="27" thickBot="1" x14ac:dyDescent="0.25">
      <c r="A20" s="281"/>
      <c r="B20" s="283"/>
      <c r="C20" s="277"/>
      <c r="D20" s="269"/>
      <c r="E20" s="23"/>
      <c r="F20" s="24"/>
      <c r="G20" s="25"/>
      <c r="H20" s="25"/>
      <c r="I20" s="279"/>
    </row>
    <row r="21" spans="1:14" ht="26.25" x14ac:dyDescent="0.2">
      <c r="A21" s="280" t="s">
        <v>53</v>
      </c>
      <c r="B21" s="282">
        <v>6135</v>
      </c>
      <c r="C21" s="276" t="s">
        <v>56</v>
      </c>
      <c r="D21" s="268"/>
      <c r="E21" s="26"/>
      <c r="F21" s="27"/>
      <c r="G21" s="28"/>
      <c r="H21" s="36"/>
      <c r="I21" s="278"/>
    </row>
    <row r="22" spans="1:14" ht="27" thickBot="1" x14ac:dyDescent="0.25">
      <c r="A22" s="281"/>
      <c r="B22" s="283"/>
      <c r="C22" s="277"/>
      <c r="D22" s="269"/>
      <c r="E22" s="23"/>
      <c r="F22" s="24"/>
      <c r="G22" s="25"/>
      <c r="H22" s="25"/>
      <c r="I22" s="279"/>
    </row>
    <row r="23" spans="1:14" ht="26.25" x14ac:dyDescent="0.2">
      <c r="A23" s="280" t="s">
        <v>16</v>
      </c>
      <c r="B23" s="282">
        <v>2526</v>
      </c>
      <c r="C23" s="276" t="s">
        <v>23</v>
      </c>
      <c r="D23" s="268"/>
      <c r="E23" s="26"/>
      <c r="F23" s="27"/>
      <c r="G23" s="28"/>
      <c r="H23" s="29"/>
      <c r="I23" s="284"/>
    </row>
    <row r="24" spans="1:14" ht="27" thickBot="1" x14ac:dyDescent="0.25">
      <c r="A24" s="281"/>
      <c r="B24" s="283"/>
      <c r="C24" s="277"/>
      <c r="D24" s="269"/>
      <c r="E24" s="23"/>
      <c r="F24" s="24"/>
      <c r="G24" s="25"/>
      <c r="H24" s="30"/>
      <c r="I24" s="285"/>
    </row>
    <row r="25" spans="1:14" ht="26.25" x14ac:dyDescent="0.2">
      <c r="A25" s="280" t="s">
        <v>63</v>
      </c>
      <c r="B25" s="282">
        <v>2527</v>
      </c>
      <c r="C25" s="276" t="s">
        <v>24</v>
      </c>
      <c r="D25" s="268"/>
      <c r="E25" s="26"/>
      <c r="F25" s="27"/>
      <c r="G25" s="28"/>
      <c r="H25" s="29"/>
      <c r="I25" s="286"/>
    </row>
    <row r="26" spans="1:14" ht="27" thickBot="1" x14ac:dyDescent="0.25">
      <c r="A26" s="281"/>
      <c r="B26" s="283"/>
      <c r="C26" s="277"/>
      <c r="D26" s="269"/>
      <c r="E26" s="23"/>
      <c r="F26" s="24"/>
      <c r="G26" s="25"/>
      <c r="H26" s="30"/>
      <c r="I26" s="287"/>
    </row>
    <row r="27" spans="1:14" ht="26.25" x14ac:dyDescent="0.2">
      <c r="A27" s="280" t="s">
        <v>14</v>
      </c>
      <c r="B27" s="282">
        <v>3800</v>
      </c>
      <c r="C27" s="276" t="s">
        <v>45</v>
      </c>
      <c r="D27" s="268"/>
      <c r="E27" s="26"/>
      <c r="F27" s="27"/>
      <c r="G27" s="28"/>
      <c r="H27" s="29"/>
      <c r="I27" s="284"/>
    </row>
    <row r="28" spans="1:14" ht="27" thickBot="1" x14ac:dyDescent="0.25">
      <c r="A28" s="281"/>
      <c r="B28" s="283"/>
      <c r="C28" s="277"/>
      <c r="D28" s="269"/>
      <c r="E28" s="23"/>
      <c r="F28" s="24"/>
      <c r="G28" s="25"/>
      <c r="H28" s="32"/>
      <c r="I28" s="285"/>
    </row>
    <row r="29" spans="1:14" ht="26.25" x14ac:dyDescent="0.2">
      <c r="A29" s="280" t="s">
        <v>15</v>
      </c>
      <c r="B29" s="282">
        <v>3801</v>
      </c>
      <c r="C29" s="276" t="s">
        <v>25</v>
      </c>
      <c r="D29" s="268"/>
      <c r="E29" s="26"/>
      <c r="F29" s="27"/>
      <c r="G29" s="28"/>
      <c r="H29" s="29"/>
      <c r="I29" s="284"/>
    </row>
    <row r="30" spans="1:14" ht="27" thickBot="1" x14ac:dyDescent="0.25">
      <c r="A30" s="281"/>
      <c r="B30" s="283"/>
      <c r="C30" s="277"/>
      <c r="D30" s="269"/>
      <c r="E30" s="23"/>
      <c r="F30" s="24"/>
      <c r="G30" s="25"/>
      <c r="H30" s="30"/>
      <c r="I30" s="285"/>
    </row>
    <row r="31" spans="1:14" ht="26.25" x14ac:dyDescent="0.2">
      <c r="A31" s="280" t="s">
        <v>17</v>
      </c>
      <c r="B31" s="282">
        <v>3802</v>
      </c>
      <c r="C31" s="276" t="s">
        <v>47</v>
      </c>
      <c r="D31" s="268"/>
      <c r="E31" s="26"/>
      <c r="F31" s="27"/>
      <c r="G31" s="28"/>
      <c r="H31" s="63"/>
      <c r="I31" s="284"/>
    </row>
    <row r="32" spans="1:14" ht="27" thickBot="1" x14ac:dyDescent="0.25">
      <c r="A32" s="281"/>
      <c r="B32" s="283"/>
      <c r="C32" s="277"/>
      <c r="D32" s="269"/>
      <c r="E32" s="23"/>
      <c r="F32" s="24"/>
      <c r="G32" s="25"/>
      <c r="H32" s="30"/>
      <c r="I32" s="285"/>
    </row>
    <row r="33" spans="1:9" ht="26.25" x14ac:dyDescent="0.2">
      <c r="A33" s="280" t="s">
        <v>18</v>
      </c>
      <c r="B33" s="282">
        <v>3805</v>
      </c>
      <c r="C33" s="276" t="s">
        <v>26</v>
      </c>
      <c r="D33" s="268"/>
      <c r="E33" s="26"/>
      <c r="F33" s="27"/>
      <c r="G33" s="28"/>
      <c r="H33" s="29"/>
      <c r="I33" s="284"/>
    </row>
    <row r="34" spans="1:9" ht="27" thickBot="1" x14ac:dyDescent="0.25">
      <c r="A34" s="281"/>
      <c r="B34" s="283"/>
      <c r="C34" s="277"/>
      <c r="D34" s="269"/>
      <c r="E34" s="23"/>
      <c r="F34" s="24"/>
      <c r="G34" s="25"/>
      <c r="H34" s="32"/>
      <c r="I34" s="285"/>
    </row>
    <row r="35" spans="1:9" ht="26.25" x14ac:dyDescent="0.2">
      <c r="A35" s="280" t="s">
        <v>57</v>
      </c>
      <c r="B35" s="282">
        <v>3808</v>
      </c>
      <c r="C35" s="276" t="s">
        <v>27</v>
      </c>
      <c r="D35" s="268"/>
      <c r="E35" s="26"/>
      <c r="F35" s="27"/>
      <c r="G35" s="28"/>
      <c r="H35" s="29"/>
      <c r="I35" s="284"/>
    </row>
    <row r="36" spans="1:9" ht="27" thickBot="1" x14ac:dyDescent="0.25">
      <c r="A36" s="281"/>
      <c r="B36" s="283"/>
      <c r="C36" s="277"/>
      <c r="D36" s="269"/>
      <c r="E36" s="23"/>
      <c r="F36" s="24"/>
      <c r="G36" s="25"/>
      <c r="H36" s="32"/>
      <c r="I36" s="285"/>
    </row>
    <row r="37" spans="1:9" ht="26.25" x14ac:dyDescent="0.2">
      <c r="A37" s="280" t="s">
        <v>21</v>
      </c>
      <c r="B37" s="282">
        <v>3810</v>
      </c>
      <c r="C37" s="276" t="s">
        <v>48</v>
      </c>
      <c r="D37" s="268"/>
      <c r="E37" s="26"/>
      <c r="F37" s="27"/>
      <c r="G37" s="28"/>
      <c r="H37" s="29"/>
      <c r="I37" s="288"/>
    </row>
    <row r="38" spans="1:9" ht="27" thickBot="1" x14ac:dyDescent="0.25">
      <c r="A38" s="281"/>
      <c r="B38" s="283"/>
      <c r="C38" s="277"/>
      <c r="D38" s="269"/>
      <c r="E38" s="23"/>
      <c r="F38" s="24"/>
      <c r="G38" s="25"/>
      <c r="H38" s="32"/>
      <c r="I38" s="289"/>
    </row>
    <row r="39" spans="1:9" ht="26.25" x14ac:dyDescent="0.2">
      <c r="A39" s="280" t="s">
        <v>64</v>
      </c>
      <c r="B39" s="282">
        <v>6056</v>
      </c>
      <c r="C39" s="276" t="s">
        <v>31</v>
      </c>
      <c r="D39" s="268"/>
      <c r="E39" s="33"/>
      <c r="F39" s="27"/>
      <c r="G39" s="28"/>
      <c r="H39" s="29"/>
      <c r="I39" s="288"/>
    </row>
    <row r="40" spans="1:9" ht="27" thickBot="1" x14ac:dyDescent="0.25">
      <c r="A40" s="281"/>
      <c r="B40" s="283"/>
      <c r="C40" s="277"/>
      <c r="D40" s="269"/>
      <c r="E40" s="34"/>
      <c r="F40" s="24"/>
      <c r="G40" s="25"/>
      <c r="H40" s="30"/>
      <c r="I40" s="289"/>
    </row>
    <row r="41" spans="1:9" ht="26.25" x14ac:dyDescent="0.2">
      <c r="A41" s="280" t="s">
        <v>19</v>
      </c>
      <c r="B41" s="282">
        <v>3820</v>
      </c>
      <c r="C41" s="276" t="s">
        <v>46</v>
      </c>
      <c r="D41" s="268"/>
      <c r="E41" s="26"/>
      <c r="F41" s="27"/>
      <c r="G41" s="28"/>
      <c r="H41" s="29"/>
      <c r="I41" s="288"/>
    </row>
    <row r="42" spans="1:9" ht="27" thickBot="1" x14ac:dyDescent="0.25">
      <c r="A42" s="290"/>
      <c r="B42" s="291"/>
      <c r="C42" s="292"/>
      <c r="D42" s="269"/>
      <c r="E42" s="23"/>
      <c r="F42" s="24"/>
      <c r="G42" s="25"/>
      <c r="H42" s="32"/>
      <c r="I42" s="289"/>
    </row>
    <row r="43" spans="1:9" ht="26.25" x14ac:dyDescent="0.2">
      <c r="A43" s="280" t="s">
        <v>20</v>
      </c>
      <c r="B43" s="282">
        <v>3821</v>
      </c>
      <c r="C43" s="276" t="s">
        <v>28</v>
      </c>
      <c r="D43" s="268"/>
      <c r="E43" s="26"/>
      <c r="F43" s="27"/>
      <c r="G43" s="28"/>
      <c r="H43" s="31"/>
      <c r="I43" s="288"/>
    </row>
    <row r="44" spans="1:9" ht="27" thickBot="1" x14ac:dyDescent="0.25">
      <c r="A44" s="281"/>
      <c r="B44" s="283"/>
      <c r="C44" s="277"/>
      <c r="D44" s="269"/>
      <c r="E44" s="23"/>
      <c r="F44" s="24"/>
      <c r="G44" s="25"/>
      <c r="H44" s="32"/>
      <c r="I44" s="289"/>
    </row>
    <row r="45" spans="1:9" ht="26.25" x14ac:dyDescent="0.2">
      <c r="A45" s="280" t="s">
        <v>58</v>
      </c>
      <c r="B45" s="282">
        <v>3822</v>
      </c>
      <c r="C45" s="276" t="s">
        <v>38</v>
      </c>
      <c r="D45" s="268"/>
      <c r="E45" s="26"/>
      <c r="F45" s="27"/>
      <c r="G45" s="28"/>
      <c r="H45" s="29"/>
      <c r="I45" s="284"/>
    </row>
    <row r="46" spans="1:9" ht="27" thickBot="1" x14ac:dyDescent="0.25">
      <c r="A46" s="281"/>
      <c r="B46" s="283"/>
      <c r="C46" s="277"/>
      <c r="D46" s="269"/>
      <c r="E46" s="23"/>
      <c r="F46" s="24"/>
      <c r="G46" s="25"/>
      <c r="H46" s="32"/>
      <c r="I46" s="285"/>
    </row>
    <row r="47" spans="1:9" ht="26.25" customHeight="1" x14ac:dyDescent="0.2">
      <c r="A47" s="280" t="s">
        <v>32</v>
      </c>
      <c r="B47" s="282">
        <v>3832</v>
      </c>
      <c r="C47" s="276" t="s">
        <v>37</v>
      </c>
      <c r="D47" s="268"/>
      <c r="E47" s="27"/>
      <c r="F47" s="27"/>
      <c r="G47" s="28"/>
      <c r="H47" s="31"/>
      <c r="I47" s="288"/>
    </row>
    <row r="48" spans="1:9" ht="27" thickBot="1" x14ac:dyDescent="0.25">
      <c r="A48" s="281"/>
      <c r="B48" s="283"/>
      <c r="C48" s="277"/>
      <c r="D48" s="269"/>
      <c r="E48" s="24"/>
      <c r="F48" s="24"/>
      <c r="G48" s="25"/>
      <c r="H48" s="32"/>
      <c r="I48" s="289"/>
    </row>
    <row r="49" spans="1:9" ht="26.25" x14ac:dyDescent="0.2">
      <c r="A49" s="280" t="s">
        <v>59</v>
      </c>
      <c r="B49" s="282">
        <v>4173</v>
      </c>
      <c r="C49" s="276" t="s">
        <v>12</v>
      </c>
      <c r="D49" s="268"/>
      <c r="E49" s="27"/>
      <c r="F49" s="27"/>
      <c r="G49" s="28"/>
      <c r="H49" s="31"/>
      <c r="I49" s="284"/>
    </row>
    <row r="50" spans="1:9" ht="27" thickBot="1" x14ac:dyDescent="0.25">
      <c r="A50" s="281"/>
      <c r="B50" s="283"/>
      <c r="C50" s="277"/>
      <c r="D50" s="269"/>
      <c r="E50" s="24"/>
      <c r="F50" s="24"/>
      <c r="G50" s="25"/>
      <c r="H50" s="32"/>
      <c r="I50" s="285"/>
    </row>
    <row r="51" spans="1:9" ht="26.25" x14ac:dyDescent="0.2">
      <c r="A51" s="280" t="s">
        <v>22</v>
      </c>
      <c r="B51" s="293">
        <v>2</v>
      </c>
      <c r="C51" s="276" t="s">
        <v>30</v>
      </c>
      <c r="D51" s="268"/>
      <c r="E51" s="27"/>
      <c r="F51" s="27"/>
      <c r="G51" s="31"/>
      <c r="H51" s="31"/>
      <c r="I51" s="288"/>
    </row>
    <row r="52" spans="1:9" ht="27" thickBot="1" x14ac:dyDescent="0.25">
      <c r="A52" s="281"/>
      <c r="B52" s="294"/>
      <c r="C52" s="277"/>
      <c r="D52" s="269"/>
      <c r="E52" s="24"/>
      <c r="F52" s="24"/>
      <c r="G52" s="32"/>
      <c r="H52" s="32"/>
      <c r="I52" s="289"/>
    </row>
    <row r="53" spans="1:9" ht="27" x14ac:dyDescent="0.2">
      <c r="A53" s="311" t="s">
        <v>13</v>
      </c>
      <c r="B53" s="311"/>
      <c r="C53" s="311"/>
      <c r="D53" s="311"/>
      <c r="E53" s="311"/>
      <c r="F53" s="311"/>
      <c r="G53" s="311"/>
      <c r="H53" s="311"/>
      <c r="I53" s="311"/>
    </row>
    <row r="54" spans="1:9" ht="18.75" x14ac:dyDescent="0.2">
      <c r="A54" s="11"/>
      <c r="B54" s="312"/>
      <c r="C54" s="312"/>
      <c r="D54" s="312"/>
      <c r="E54" s="312"/>
      <c r="F54" s="312"/>
      <c r="G54" s="312"/>
      <c r="H54" s="312"/>
      <c r="I54" s="12"/>
    </row>
    <row r="55" spans="1:9" ht="18.75" x14ac:dyDescent="0.2">
      <c r="A55" s="11"/>
      <c r="B55" s="13"/>
      <c r="C55" s="13"/>
      <c r="D55" s="13"/>
      <c r="E55" s="13"/>
      <c r="F55" s="13"/>
      <c r="G55" s="13"/>
      <c r="H55" s="13"/>
      <c r="I55" s="11"/>
    </row>
    <row r="56" spans="1:9" ht="18.75" x14ac:dyDescent="0.2">
      <c r="A56" s="11"/>
      <c r="B56" s="13"/>
      <c r="C56" s="13"/>
      <c r="D56" s="13"/>
      <c r="E56" s="13"/>
      <c r="F56" s="13"/>
      <c r="G56" s="13"/>
      <c r="H56" s="13"/>
      <c r="I56" s="11"/>
    </row>
    <row r="57" spans="1:9" ht="18.75" x14ac:dyDescent="0.2">
      <c r="A57" s="11"/>
      <c r="B57" s="13"/>
      <c r="C57" s="13"/>
      <c r="D57" s="13"/>
      <c r="E57" s="13"/>
      <c r="F57" s="13"/>
      <c r="G57" s="13"/>
      <c r="H57" s="13"/>
      <c r="I57" s="11"/>
    </row>
    <row r="58" spans="1:9" ht="18.75" x14ac:dyDescent="0.2">
      <c r="A58" s="14"/>
      <c r="B58" s="15"/>
      <c r="C58" s="16"/>
      <c r="D58" s="15"/>
      <c r="E58" s="15"/>
      <c r="F58" s="15"/>
      <c r="G58" s="16"/>
      <c r="H58" s="16"/>
      <c r="I58" s="16"/>
    </row>
    <row r="59" spans="1:9" ht="18.75" x14ac:dyDescent="0.2">
      <c r="A59" s="14"/>
      <c r="B59" s="313"/>
      <c r="C59" s="313"/>
      <c r="D59" s="17"/>
      <c r="E59" s="7"/>
      <c r="F59" s="16"/>
      <c r="G59" s="16"/>
      <c r="H59" s="4"/>
      <c r="I59" s="7"/>
    </row>
    <row r="60" spans="1:9" ht="20.25" x14ac:dyDescent="0.2">
      <c r="A60" s="42"/>
      <c r="B60" s="42"/>
      <c r="C60" s="43"/>
      <c r="D60" s="44"/>
      <c r="E60" s="43"/>
      <c r="F60" s="45"/>
      <c r="G60" s="45"/>
      <c r="H60" s="43"/>
      <c r="I60" s="43"/>
    </row>
    <row r="61" spans="1:9" ht="20.25" x14ac:dyDescent="0.2">
      <c r="A61" s="314" t="s">
        <v>73</v>
      </c>
      <c r="B61" s="314"/>
      <c r="C61" s="314"/>
      <c r="D61" s="46"/>
      <c r="E61" s="43"/>
      <c r="F61" s="315" t="s">
        <v>74</v>
      </c>
      <c r="G61" s="315"/>
      <c r="H61" s="315"/>
      <c r="I61" s="315"/>
    </row>
    <row r="62" spans="1:9" ht="20.25" x14ac:dyDescent="0.2">
      <c r="A62" s="310" t="s">
        <v>65</v>
      </c>
      <c r="B62" s="310"/>
      <c r="C62" s="310"/>
      <c r="D62" s="42"/>
      <c r="E62" s="43"/>
      <c r="F62" s="310" t="s">
        <v>44</v>
      </c>
      <c r="G62" s="310"/>
      <c r="H62" s="310"/>
      <c r="I62" s="310"/>
    </row>
    <row r="63" spans="1:9" ht="20.25" x14ac:dyDescent="0.2">
      <c r="A63" s="45"/>
      <c r="B63" s="45"/>
      <c r="C63" s="43"/>
      <c r="D63" s="45"/>
      <c r="E63" s="45"/>
      <c r="F63" s="43"/>
      <c r="G63" s="43"/>
      <c r="H63" s="43"/>
      <c r="I63" s="43"/>
    </row>
    <row r="64" spans="1:9" ht="20.25" x14ac:dyDescent="0.2">
      <c r="A64" s="45"/>
      <c r="B64" s="45"/>
      <c r="C64" s="43"/>
      <c r="D64" s="45"/>
      <c r="E64" s="45"/>
      <c r="F64" s="43"/>
      <c r="G64" s="43"/>
      <c r="H64" s="43"/>
      <c r="I64" s="43"/>
    </row>
    <row r="65" spans="1:9" ht="20.25" x14ac:dyDescent="0.2">
      <c r="A65" s="42"/>
      <c r="B65" s="42"/>
      <c r="C65" s="43"/>
      <c r="D65" s="42"/>
      <c r="E65" s="45"/>
      <c r="F65" s="43"/>
      <c r="G65" s="43"/>
      <c r="H65" s="43"/>
      <c r="I65" s="43"/>
    </row>
    <row r="66" spans="1:9" ht="20.25" x14ac:dyDescent="0.2">
      <c r="A66" s="42"/>
      <c r="B66" s="42" t="s">
        <v>75</v>
      </c>
      <c r="C66" s="43"/>
      <c r="D66" s="45"/>
      <c r="E66" s="47"/>
      <c r="F66" s="43"/>
      <c r="G66" s="43"/>
      <c r="H66" s="43"/>
      <c r="I66" s="46"/>
    </row>
    <row r="67" spans="1:9" ht="20.25" x14ac:dyDescent="0.2">
      <c r="A67" s="316" t="s">
        <v>66</v>
      </c>
      <c r="B67" s="316"/>
      <c r="C67" s="316"/>
      <c r="D67" s="46"/>
      <c r="E67" s="43"/>
      <c r="F67" s="314" t="s">
        <v>52</v>
      </c>
      <c r="G67" s="314"/>
      <c r="H67" s="314"/>
      <c r="I67" s="314"/>
    </row>
    <row r="68" spans="1:9" ht="20.25" x14ac:dyDescent="0.2">
      <c r="A68" s="310"/>
      <c r="B68" s="310"/>
      <c r="C68" s="310"/>
      <c r="D68" s="1"/>
      <c r="E68" s="2"/>
      <c r="F68" s="2"/>
      <c r="G68" s="2"/>
      <c r="H68" s="2"/>
      <c r="I68" s="4"/>
    </row>
    <row r="69" spans="1:9" x14ac:dyDescent="0.2">
      <c r="A69" s="4"/>
      <c r="B69" s="4"/>
      <c r="C69" s="4"/>
      <c r="D69" s="4"/>
      <c r="E69" s="2"/>
      <c r="F69" s="2"/>
      <c r="G69" s="2"/>
      <c r="H69" s="2"/>
      <c r="I69" s="4"/>
    </row>
    <row r="70" spans="1:9" x14ac:dyDescent="0.2">
      <c r="A70" s="4"/>
      <c r="B70" s="4"/>
      <c r="C70" s="4"/>
      <c r="D70" s="4"/>
      <c r="E70" s="2"/>
      <c r="F70" s="2"/>
      <c r="G70" s="2"/>
      <c r="H70" s="2"/>
      <c r="I70" s="4"/>
    </row>
    <row r="71" spans="1:9" x14ac:dyDescent="0.2">
      <c r="A71" s="4"/>
      <c r="B71" s="4"/>
      <c r="C71" s="4"/>
      <c r="D71" s="4"/>
      <c r="E71" s="2"/>
      <c r="F71" s="2"/>
      <c r="G71" s="2"/>
      <c r="H71" s="2"/>
      <c r="I71" s="4"/>
    </row>
    <row r="72" spans="1:9" x14ac:dyDescent="0.2">
      <c r="A72" s="4"/>
      <c r="B72" s="4"/>
      <c r="C72" s="4"/>
      <c r="D72" s="4"/>
      <c r="E72" s="4"/>
      <c r="F72" s="5"/>
      <c r="G72" s="4"/>
      <c r="H72" s="4"/>
      <c r="I72" s="4"/>
    </row>
    <row r="73" spans="1:9" x14ac:dyDescent="0.2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">
      <c r="A75" s="4"/>
      <c r="B75" s="4"/>
      <c r="C75" s="4"/>
      <c r="D75" s="4"/>
      <c r="E75" s="4"/>
      <c r="F75" s="4"/>
      <c r="G75" s="4"/>
      <c r="H75" s="4"/>
      <c r="I75" s="4"/>
    </row>
  </sheetData>
  <mergeCells count="117">
    <mergeCell ref="A43:A44"/>
    <mergeCell ref="B43:B44"/>
    <mergeCell ref="C43:C44"/>
    <mergeCell ref="D43:D44"/>
    <mergeCell ref="I43:I44"/>
    <mergeCell ref="A37:A38"/>
    <mergeCell ref="A68:C68"/>
    <mergeCell ref="A61:C61"/>
    <mergeCell ref="A49:A50"/>
    <mergeCell ref="B49:B50"/>
    <mergeCell ref="C49:C50"/>
    <mergeCell ref="A67:C67"/>
    <mergeCell ref="F67:I67"/>
    <mergeCell ref="A47:A48"/>
    <mergeCell ref="B47:B48"/>
    <mergeCell ref="A53:I53"/>
    <mergeCell ref="B54:H54"/>
    <mergeCell ref="B59:C59"/>
    <mergeCell ref="F61:I61"/>
    <mergeCell ref="A62:C62"/>
    <mergeCell ref="F62:I62"/>
    <mergeCell ref="B37:B38"/>
    <mergeCell ref="C37:C38"/>
    <mergeCell ref="D45:D46"/>
    <mergeCell ref="A51:A52"/>
    <mergeCell ref="B51:B52"/>
    <mergeCell ref="C51:C52"/>
    <mergeCell ref="D51:D52"/>
    <mergeCell ref="I51:I52"/>
    <mergeCell ref="A45:A46"/>
    <mergeCell ref="B45:B46"/>
    <mergeCell ref="C45:C46"/>
    <mergeCell ref="C47:C48"/>
    <mergeCell ref="D47:D48"/>
    <mergeCell ref="I47:I48"/>
    <mergeCell ref="D49:D50"/>
    <mergeCell ref="I49:I50"/>
    <mergeCell ref="I45:I46"/>
    <mergeCell ref="D41:D42"/>
    <mergeCell ref="I41:I42"/>
    <mergeCell ref="A35:A36"/>
    <mergeCell ref="B35:B36"/>
    <mergeCell ref="C35:C36"/>
    <mergeCell ref="D35:D36"/>
    <mergeCell ref="I35:I36"/>
    <mergeCell ref="A19:A20"/>
    <mergeCell ref="B19:B20"/>
    <mergeCell ref="A41:A42"/>
    <mergeCell ref="B41:B42"/>
    <mergeCell ref="C41:C42"/>
    <mergeCell ref="A21:A22"/>
    <mergeCell ref="A39:A40"/>
    <mergeCell ref="B39:B40"/>
    <mergeCell ref="C39:C40"/>
    <mergeCell ref="D39:D40"/>
    <mergeCell ref="D37:D38"/>
    <mergeCell ref="I37:I38"/>
    <mergeCell ref="A31:A32"/>
    <mergeCell ref="B31:B32"/>
    <mergeCell ref="C31:C32"/>
    <mergeCell ref="D31:D32"/>
    <mergeCell ref="I31:I32"/>
    <mergeCell ref="A25:A26"/>
    <mergeCell ref="B25:B26"/>
    <mergeCell ref="C25:C26"/>
    <mergeCell ref="I39:I40"/>
    <mergeCell ref="A33:A34"/>
    <mergeCell ref="B33:B34"/>
    <mergeCell ref="C33:C34"/>
    <mergeCell ref="D33:D34"/>
    <mergeCell ref="I33:I34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15:A16"/>
    <mergeCell ref="B15:B16"/>
    <mergeCell ref="C15:C16"/>
    <mergeCell ref="D15:D16"/>
    <mergeCell ref="I15:I16"/>
    <mergeCell ref="I19:I20"/>
    <mergeCell ref="D25:D26"/>
    <mergeCell ref="I25:I26"/>
    <mergeCell ref="C19:C20"/>
    <mergeCell ref="D19:D20"/>
    <mergeCell ref="A17:A18"/>
    <mergeCell ref="B17:B18"/>
    <mergeCell ref="C17:C18"/>
    <mergeCell ref="D17:D18"/>
    <mergeCell ref="I17:I18"/>
    <mergeCell ref="C23:C24"/>
    <mergeCell ref="D23:D24"/>
    <mergeCell ref="I23:I24"/>
    <mergeCell ref="A23:A24"/>
    <mergeCell ref="B23:B24"/>
    <mergeCell ref="B21:B22"/>
    <mergeCell ref="C21:C22"/>
    <mergeCell ref="D21:D22"/>
    <mergeCell ref="I21:I22"/>
    <mergeCell ref="A1:I1"/>
    <mergeCell ref="A2:I2"/>
    <mergeCell ref="A3:I3"/>
    <mergeCell ref="A5:I5"/>
    <mergeCell ref="G7:H7"/>
    <mergeCell ref="G9:H9"/>
    <mergeCell ref="G11:H11"/>
    <mergeCell ref="A13:A14"/>
    <mergeCell ref="B13:B14"/>
    <mergeCell ref="C13:C14"/>
    <mergeCell ref="D13:H13"/>
    <mergeCell ref="I13:I14"/>
  </mergeCells>
  <printOptions horizontalCentered="1" verticalCentered="1"/>
  <pageMargins left="0" right="0" top="1.0811811023622049" bottom="0" header="0" footer="0"/>
  <pageSetup paperSize="9" scale="2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/>
  </sheetPr>
  <dimension ref="A1:N75"/>
  <sheetViews>
    <sheetView topLeftCell="A7" zoomScale="50" zoomScaleNormal="50" workbookViewId="0">
      <selection activeCell="G24" sqref="G24"/>
    </sheetView>
  </sheetViews>
  <sheetFormatPr baseColWidth="10" defaultRowHeight="12.75" x14ac:dyDescent="0.2"/>
  <cols>
    <col min="1" max="1" width="44.7109375" customWidth="1"/>
    <col min="2" max="2" width="14.7109375" customWidth="1"/>
    <col min="3" max="3" width="60.85546875" customWidth="1"/>
    <col min="4" max="4" width="19.28515625" customWidth="1"/>
    <col min="5" max="5" width="16.42578125" customWidth="1"/>
    <col min="6" max="6" width="17.28515625" customWidth="1"/>
    <col min="7" max="7" width="39.28515625" customWidth="1"/>
    <col min="8" max="8" width="26.42578125" customWidth="1"/>
    <col min="9" max="9" width="47" customWidth="1"/>
    <col min="12" max="12" width="20.7109375" customWidth="1"/>
    <col min="14" max="14" width="21.85546875" customWidth="1"/>
  </cols>
  <sheetData>
    <row r="1" spans="1:14" ht="30" x14ac:dyDescent="0.2">
      <c r="A1" s="295" t="s">
        <v>49</v>
      </c>
      <c r="B1" s="295"/>
      <c r="C1" s="295"/>
      <c r="D1" s="295"/>
      <c r="E1" s="295"/>
      <c r="F1" s="295"/>
      <c r="G1" s="295"/>
      <c r="H1" s="295"/>
      <c r="I1" s="295"/>
    </row>
    <row r="2" spans="1:14" ht="30" x14ac:dyDescent="0.2">
      <c r="A2" s="295" t="s">
        <v>50</v>
      </c>
      <c r="B2" s="295"/>
      <c r="C2" s="295"/>
      <c r="D2" s="295"/>
      <c r="E2" s="295"/>
      <c r="F2" s="295"/>
      <c r="G2" s="295"/>
      <c r="H2" s="295"/>
      <c r="I2" s="295"/>
    </row>
    <row r="3" spans="1:14" ht="30" x14ac:dyDescent="0.2">
      <c r="A3" s="295"/>
      <c r="B3" s="295"/>
      <c r="C3" s="295"/>
      <c r="D3" s="295"/>
      <c r="E3" s="295"/>
      <c r="F3" s="295"/>
      <c r="G3" s="295"/>
      <c r="H3" s="295"/>
      <c r="I3" s="295"/>
    </row>
    <row r="4" spans="1:14" x14ac:dyDescent="0.2">
      <c r="A4" s="3"/>
      <c r="B4" s="3"/>
      <c r="C4" s="3"/>
      <c r="D4" s="3"/>
      <c r="E4" s="3"/>
      <c r="F4" s="3"/>
      <c r="G4" s="3"/>
      <c r="H4" s="3"/>
      <c r="I4" s="3"/>
    </row>
    <row r="5" spans="1:14" ht="30" x14ac:dyDescent="0.2">
      <c r="A5" s="295" t="s">
        <v>51</v>
      </c>
      <c r="B5" s="295"/>
      <c r="C5" s="295"/>
      <c r="D5" s="295"/>
      <c r="E5" s="295"/>
      <c r="F5" s="295"/>
      <c r="G5" s="295"/>
      <c r="H5" s="295"/>
      <c r="I5" s="295"/>
    </row>
    <row r="6" spans="1:14" x14ac:dyDescent="0.2">
      <c r="A6" s="3"/>
      <c r="B6" s="3"/>
      <c r="C6" s="3"/>
      <c r="D6" s="3"/>
      <c r="E6" s="3"/>
      <c r="F6" s="3"/>
      <c r="G6" s="3"/>
      <c r="H6" s="3"/>
      <c r="I6" s="3"/>
    </row>
    <row r="7" spans="1:14" ht="27" thickBot="1" x14ac:dyDescent="0.25">
      <c r="A7" s="50"/>
      <c r="B7" s="51" t="s">
        <v>35</v>
      </c>
      <c r="C7" s="296" t="s">
        <v>78</v>
      </c>
      <c r="D7" s="296"/>
      <c r="E7" s="50"/>
      <c r="F7" s="51" t="s">
        <v>1</v>
      </c>
      <c r="G7" s="325" t="s">
        <v>54</v>
      </c>
      <c r="H7" s="325"/>
      <c r="I7" s="50"/>
    </row>
    <row r="8" spans="1:14" ht="26.25" x14ac:dyDescent="0.2">
      <c r="A8" s="50"/>
      <c r="B8" s="51"/>
      <c r="C8" s="53"/>
      <c r="D8" s="50"/>
      <c r="E8" s="50"/>
      <c r="F8" s="54"/>
      <c r="G8" s="50"/>
      <c r="H8" s="50"/>
      <c r="I8" s="50"/>
    </row>
    <row r="9" spans="1:14" ht="27" thickBot="1" x14ac:dyDescent="0.25">
      <c r="A9" s="50"/>
      <c r="B9" s="51" t="s">
        <v>42</v>
      </c>
      <c r="C9" s="52"/>
      <c r="D9" s="50"/>
      <c r="E9" s="50"/>
      <c r="F9" s="51" t="s">
        <v>2</v>
      </c>
      <c r="G9" s="297"/>
      <c r="H9" s="297"/>
      <c r="I9" s="50"/>
    </row>
    <row r="10" spans="1:14" ht="26.25" x14ac:dyDescent="0.2">
      <c r="A10" s="50"/>
      <c r="B10" s="54"/>
      <c r="C10" s="53"/>
      <c r="D10" s="50"/>
      <c r="E10" s="50"/>
      <c r="F10" s="51"/>
      <c r="G10" s="50"/>
      <c r="H10" s="50"/>
      <c r="I10" s="50"/>
    </row>
    <row r="11" spans="1:14" ht="27" thickBot="1" x14ac:dyDescent="0.25">
      <c r="A11" s="50"/>
      <c r="B11" s="51" t="s">
        <v>36</v>
      </c>
      <c r="C11" s="52" t="s">
        <v>79</v>
      </c>
      <c r="D11" s="50"/>
      <c r="E11" s="50"/>
      <c r="F11" s="51" t="s">
        <v>39</v>
      </c>
      <c r="G11" s="298"/>
      <c r="H11" s="298"/>
      <c r="I11" s="50"/>
    </row>
    <row r="12" spans="1:14" ht="26.25" thickBot="1" x14ac:dyDescent="0.25">
      <c r="A12" s="55"/>
      <c r="B12" s="55"/>
      <c r="C12" s="55"/>
      <c r="D12" s="55"/>
      <c r="E12" s="55"/>
      <c r="F12" s="55"/>
      <c r="G12" s="55"/>
      <c r="H12" s="55"/>
      <c r="I12" s="55"/>
    </row>
    <row r="13" spans="1:14" ht="25.5" x14ac:dyDescent="0.2">
      <c r="A13" s="253" t="s">
        <v>3</v>
      </c>
      <c r="B13" s="255" t="s">
        <v>43</v>
      </c>
      <c r="C13" s="255" t="s">
        <v>4</v>
      </c>
      <c r="D13" s="257" t="s">
        <v>5</v>
      </c>
      <c r="E13" s="258"/>
      <c r="F13" s="258"/>
      <c r="G13" s="258"/>
      <c r="H13" s="259"/>
      <c r="I13" s="260" t="s">
        <v>34</v>
      </c>
    </row>
    <row r="14" spans="1:14" ht="51.75" thickBot="1" x14ac:dyDescent="0.25">
      <c r="A14" s="254"/>
      <c r="B14" s="256"/>
      <c r="C14" s="256"/>
      <c r="D14" s="58" t="s">
        <v>6</v>
      </c>
      <c r="E14" s="58" t="s">
        <v>7</v>
      </c>
      <c r="F14" s="58" t="s">
        <v>8</v>
      </c>
      <c r="G14" s="59" t="s">
        <v>9</v>
      </c>
      <c r="H14" s="60" t="s">
        <v>33</v>
      </c>
      <c r="I14" s="261"/>
    </row>
    <row r="15" spans="1:14" ht="26.25" x14ac:dyDescent="0.2">
      <c r="A15" s="262" t="s">
        <v>41</v>
      </c>
      <c r="B15" s="264">
        <v>146</v>
      </c>
      <c r="C15" s="266" t="s">
        <v>29</v>
      </c>
      <c r="D15" s="268"/>
      <c r="E15" s="20"/>
      <c r="F15" s="21"/>
      <c r="G15" s="22"/>
      <c r="H15" s="35"/>
      <c r="I15" s="270"/>
      <c r="K15" s="48">
        <f>SUM(D15+(D45*10)+(D33*10)+D23+D35+(D37*10)+D49)</f>
        <v>0</v>
      </c>
      <c r="L15" s="49" t="s">
        <v>67</v>
      </c>
      <c r="M15" s="49">
        <v>2715</v>
      </c>
      <c r="N15" s="49" t="s">
        <v>68</v>
      </c>
    </row>
    <row r="16" spans="1:14" ht="27" thickBot="1" x14ac:dyDescent="0.25">
      <c r="A16" s="263"/>
      <c r="B16" s="265"/>
      <c r="C16" s="267"/>
      <c r="D16" s="269"/>
      <c r="E16" s="23"/>
      <c r="F16" s="24"/>
      <c r="G16" s="25"/>
      <c r="H16" s="25"/>
      <c r="I16" s="271"/>
      <c r="K16" s="48">
        <f>SUM((D45/3)*20+D21)</f>
        <v>0</v>
      </c>
      <c r="L16" s="49" t="s">
        <v>67</v>
      </c>
      <c r="M16" s="49">
        <v>2707</v>
      </c>
      <c r="N16" s="49" t="s">
        <v>69</v>
      </c>
    </row>
    <row r="17" spans="1:14" ht="26.25" x14ac:dyDescent="0.2">
      <c r="A17" s="272" t="s">
        <v>55</v>
      </c>
      <c r="B17" s="273">
        <v>148</v>
      </c>
      <c r="C17" s="274" t="s">
        <v>10</v>
      </c>
      <c r="D17" s="268"/>
      <c r="E17" s="26"/>
      <c r="F17" s="27"/>
      <c r="G17" s="28"/>
      <c r="H17" s="36"/>
      <c r="I17" s="275"/>
      <c r="K17" s="48">
        <f>SUM(D25)</f>
        <v>0</v>
      </c>
      <c r="L17" s="49" t="s">
        <v>67</v>
      </c>
      <c r="M17" s="49">
        <v>2699</v>
      </c>
      <c r="N17" s="49" t="s">
        <v>70</v>
      </c>
    </row>
    <row r="18" spans="1:14" ht="27" thickBot="1" x14ac:dyDescent="0.25">
      <c r="A18" s="263"/>
      <c r="B18" s="265"/>
      <c r="C18" s="267"/>
      <c r="D18" s="269"/>
      <c r="E18" s="23"/>
      <c r="F18" s="24"/>
      <c r="G18" s="25"/>
      <c r="H18" s="25"/>
      <c r="I18" s="271"/>
      <c r="K18" s="48">
        <f>SUM(D27+D41)</f>
        <v>0</v>
      </c>
      <c r="L18" s="49" t="s">
        <v>67</v>
      </c>
      <c r="M18" s="49">
        <v>2657</v>
      </c>
      <c r="N18" s="49" t="s">
        <v>71</v>
      </c>
    </row>
    <row r="19" spans="1:14" ht="26.25" customHeight="1" x14ac:dyDescent="0.2">
      <c r="A19" s="38" t="s">
        <v>62</v>
      </c>
      <c r="B19" s="39">
        <v>151</v>
      </c>
      <c r="C19" s="276" t="s">
        <v>11</v>
      </c>
      <c r="D19" s="268"/>
      <c r="E19" s="26"/>
      <c r="F19" s="27"/>
      <c r="G19" s="28"/>
      <c r="H19" s="36"/>
      <c r="I19" s="278"/>
      <c r="K19" s="48">
        <f>SUM(D29*10)</f>
        <v>0</v>
      </c>
      <c r="L19" s="49" t="s">
        <v>67</v>
      </c>
      <c r="M19" s="49">
        <v>59</v>
      </c>
      <c r="N19" s="49" t="s">
        <v>72</v>
      </c>
    </row>
    <row r="20" spans="1:14" ht="27" thickBot="1" x14ac:dyDescent="0.25">
      <c r="A20" s="40" t="s">
        <v>40</v>
      </c>
      <c r="B20" s="41">
        <v>152</v>
      </c>
      <c r="C20" s="277"/>
      <c r="D20" s="269"/>
      <c r="E20" s="23"/>
      <c r="F20" s="24"/>
      <c r="G20" s="25"/>
      <c r="H20" s="25"/>
      <c r="I20" s="279"/>
    </row>
    <row r="21" spans="1:14" ht="26.25" x14ac:dyDescent="0.2">
      <c r="A21" s="280" t="s">
        <v>53</v>
      </c>
      <c r="B21" s="282">
        <v>6135</v>
      </c>
      <c r="C21" s="276" t="s">
        <v>56</v>
      </c>
      <c r="D21" s="268"/>
      <c r="E21" s="26"/>
      <c r="F21" s="27"/>
      <c r="G21" s="28"/>
      <c r="H21" s="36"/>
      <c r="I21" s="278"/>
    </row>
    <row r="22" spans="1:14" ht="27" thickBot="1" x14ac:dyDescent="0.25">
      <c r="A22" s="281"/>
      <c r="B22" s="283"/>
      <c r="C22" s="277"/>
      <c r="D22" s="269"/>
      <c r="E22" s="23"/>
      <c r="F22" s="24"/>
      <c r="G22" s="25"/>
      <c r="H22" s="25"/>
      <c r="I22" s="279"/>
    </row>
    <row r="23" spans="1:14" ht="26.25" x14ac:dyDescent="0.2">
      <c r="A23" s="280" t="s">
        <v>16</v>
      </c>
      <c r="B23" s="282">
        <v>2526</v>
      </c>
      <c r="C23" s="276" t="s">
        <v>23</v>
      </c>
      <c r="D23" s="268"/>
      <c r="E23" s="26"/>
      <c r="F23" s="27"/>
      <c r="G23" s="28"/>
      <c r="H23" s="29"/>
      <c r="I23" s="284"/>
    </row>
    <row r="24" spans="1:14" ht="27" thickBot="1" x14ac:dyDescent="0.25">
      <c r="A24" s="281"/>
      <c r="B24" s="283"/>
      <c r="C24" s="277"/>
      <c r="D24" s="269"/>
      <c r="E24" s="23"/>
      <c r="F24" s="24"/>
      <c r="G24" s="25"/>
      <c r="H24" s="30"/>
      <c r="I24" s="285"/>
    </row>
    <row r="25" spans="1:14" ht="26.25" x14ac:dyDescent="0.2">
      <c r="A25" s="280" t="s">
        <v>63</v>
      </c>
      <c r="B25" s="282">
        <v>2527</v>
      </c>
      <c r="C25" s="276" t="s">
        <v>24</v>
      </c>
      <c r="D25" s="268"/>
      <c r="E25" s="26"/>
      <c r="F25" s="27"/>
      <c r="G25" s="28"/>
      <c r="H25" s="29"/>
      <c r="I25" s="286"/>
    </row>
    <row r="26" spans="1:14" ht="27" thickBot="1" x14ac:dyDescent="0.25">
      <c r="A26" s="281"/>
      <c r="B26" s="283"/>
      <c r="C26" s="277"/>
      <c r="D26" s="269"/>
      <c r="E26" s="23"/>
      <c r="F26" s="24"/>
      <c r="G26" s="25"/>
      <c r="H26" s="30"/>
      <c r="I26" s="287"/>
    </row>
    <row r="27" spans="1:14" ht="26.25" x14ac:dyDescent="0.2">
      <c r="A27" s="280" t="s">
        <v>14</v>
      </c>
      <c r="B27" s="282">
        <v>3800</v>
      </c>
      <c r="C27" s="276" t="s">
        <v>45</v>
      </c>
      <c r="D27" s="268"/>
      <c r="E27" s="26"/>
      <c r="F27" s="27"/>
      <c r="G27" s="28"/>
      <c r="H27" s="31"/>
      <c r="I27" s="284"/>
    </row>
    <row r="28" spans="1:14" ht="27" thickBot="1" x14ac:dyDescent="0.25">
      <c r="A28" s="281"/>
      <c r="B28" s="283"/>
      <c r="C28" s="277"/>
      <c r="D28" s="269"/>
      <c r="E28" s="23"/>
      <c r="F28" s="24"/>
      <c r="G28" s="25"/>
      <c r="H28" s="32"/>
      <c r="I28" s="285"/>
    </row>
    <row r="29" spans="1:14" ht="26.25" x14ac:dyDescent="0.2">
      <c r="A29" s="280" t="s">
        <v>15</v>
      </c>
      <c r="B29" s="282">
        <v>3801</v>
      </c>
      <c r="C29" s="276" t="s">
        <v>25</v>
      </c>
      <c r="D29" s="268"/>
      <c r="E29" s="26"/>
      <c r="F29" s="27"/>
      <c r="G29" s="28"/>
      <c r="H29" s="29"/>
      <c r="I29" s="284"/>
    </row>
    <row r="30" spans="1:14" ht="27" thickBot="1" x14ac:dyDescent="0.25">
      <c r="A30" s="281"/>
      <c r="B30" s="283"/>
      <c r="C30" s="277"/>
      <c r="D30" s="269"/>
      <c r="E30" s="23"/>
      <c r="F30" s="24"/>
      <c r="G30" s="25"/>
      <c r="H30" s="30"/>
      <c r="I30" s="285"/>
    </row>
    <row r="31" spans="1:14" ht="26.25" customHeight="1" x14ac:dyDescent="0.2">
      <c r="A31" s="280" t="s">
        <v>17</v>
      </c>
      <c r="B31" s="282">
        <v>3802</v>
      </c>
      <c r="C31" s="276" t="s">
        <v>47</v>
      </c>
      <c r="D31" s="268"/>
      <c r="E31" s="26"/>
      <c r="F31" s="27"/>
      <c r="G31" s="28"/>
      <c r="H31" s="63"/>
      <c r="I31" s="284"/>
    </row>
    <row r="32" spans="1:14" ht="27" thickBot="1" x14ac:dyDescent="0.25">
      <c r="A32" s="281"/>
      <c r="B32" s="283"/>
      <c r="C32" s="277"/>
      <c r="D32" s="269"/>
      <c r="E32" s="23"/>
      <c r="F32" s="24"/>
      <c r="G32" s="25"/>
      <c r="H32" s="30"/>
      <c r="I32" s="285"/>
    </row>
    <row r="33" spans="1:9" ht="26.25" x14ac:dyDescent="0.2">
      <c r="A33" s="280" t="s">
        <v>18</v>
      </c>
      <c r="B33" s="282">
        <v>3805</v>
      </c>
      <c r="C33" s="276" t="s">
        <v>26</v>
      </c>
      <c r="D33" s="268"/>
      <c r="E33" s="26"/>
      <c r="F33" s="27"/>
      <c r="G33" s="28"/>
      <c r="H33" s="29"/>
      <c r="I33" s="284"/>
    </row>
    <row r="34" spans="1:9" ht="27" thickBot="1" x14ac:dyDescent="0.25">
      <c r="A34" s="281"/>
      <c r="B34" s="283"/>
      <c r="C34" s="277"/>
      <c r="D34" s="269"/>
      <c r="E34" s="23"/>
      <c r="F34" s="24"/>
      <c r="G34" s="25"/>
      <c r="H34" s="32"/>
      <c r="I34" s="285"/>
    </row>
    <row r="35" spans="1:9" ht="26.25" x14ac:dyDescent="0.2">
      <c r="A35" s="280" t="s">
        <v>57</v>
      </c>
      <c r="B35" s="282">
        <v>3808</v>
      </c>
      <c r="C35" s="276" t="s">
        <v>27</v>
      </c>
      <c r="D35" s="268"/>
      <c r="E35" s="26"/>
      <c r="F35" s="27"/>
      <c r="G35" s="28"/>
      <c r="H35" s="29"/>
      <c r="I35" s="284"/>
    </row>
    <row r="36" spans="1:9" ht="27" thickBot="1" x14ac:dyDescent="0.25">
      <c r="A36" s="281"/>
      <c r="B36" s="283"/>
      <c r="C36" s="277"/>
      <c r="D36" s="269"/>
      <c r="E36" s="23"/>
      <c r="F36" s="24"/>
      <c r="G36" s="25"/>
      <c r="H36" s="32"/>
      <c r="I36" s="285"/>
    </row>
    <row r="37" spans="1:9" ht="26.25" x14ac:dyDescent="0.2">
      <c r="A37" s="280" t="s">
        <v>21</v>
      </c>
      <c r="B37" s="282">
        <v>3810</v>
      </c>
      <c r="C37" s="276" t="s">
        <v>48</v>
      </c>
      <c r="D37" s="268"/>
      <c r="E37" s="26"/>
      <c r="F37" s="27"/>
      <c r="G37" s="28"/>
      <c r="H37" s="29"/>
      <c r="I37" s="288"/>
    </row>
    <row r="38" spans="1:9" ht="27" thickBot="1" x14ac:dyDescent="0.25">
      <c r="A38" s="281"/>
      <c r="B38" s="283"/>
      <c r="C38" s="277"/>
      <c r="D38" s="269"/>
      <c r="E38" s="23"/>
      <c r="F38" s="24"/>
      <c r="G38" s="25"/>
      <c r="H38" s="32"/>
      <c r="I38" s="289"/>
    </row>
    <row r="39" spans="1:9" ht="26.25" x14ac:dyDescent="0.2">
      <c r="A39" s="280" t="s">
        <v>64</v>
      </c>
      <c r="B39" s="282">
        <v>6056</v>
      </c>
      <c r="C39" s="276" t="s">
        <v>31</v>
      </c>
      <c r="D39" s="268"/>
      <c r="E39" s="26"/>
      <c r="F39" s="27"/>
      <c r="G39" s="28"/>
      <c r="H39" s="29"/>
      <c r="I39" s="288"/>
    </row>
    <row r="40" spans="1:9" ht="27" thickBot="1" x14ac:dyDescent="0.25">
      <c r="A40" s="281"/>
      <c r="B40" s="283"/>
      <c r="C40" s="277"/>
      <c r="D40" s="269"/>
      <c r="E40" s="23"/>
      <c r="F40" s="24"/>
      <c r="G40" s="25"/>
      <c r="H40" s="30"/>
      <c r="I40" s="289"/>
    </row>
    <row r="41" spans="1:9" ht="26.25" x14ac:dyDescent="0.2">
      <c r="A41" s="280" t="s">
        <v>19</v>
      </c>
      <c r="B41" s="282">
        <v>3820</v>
      </c>
      <c r="C41" s="276" t="s">
        <v>46</v>
      </c>
      <c r="D41" s="268"/>
      <c r="E41" s="26"/>
      <c r="F41" s="27"/>
      <c r="G41" s="28"/>
      <c r="H41" s="29"/>
      <c r="I41" s="288"/>
    </row>
    <row r="42" spans="1:9" ht="27" thickBot="1" x14ac:dyDescent="0.25">
      <c r="A42" s="290"/>
      <c r="B42" s="291"/>
      <c r="C42" s="292"/>
      <c r="D42" s="269"/>
      <c r="E42" s="23"/>
      <c r="F42" s="24"/>
      <c r="G42" s="25"/>
      <c r="H42" s="32"/>
      <c r="I42" s="289"/>
    </row>
    <row r="43" spans="1:9" ht="26.25" x14ac:dyDescent="0.2">
      <c r="A43" s="280" t="s">
        <v>20</v>
      </c>
      <c r="B43" s="282">
        <v>3821</v>
      </c>
      <c r="C43" s="276" t="s">
        <v>28</v>
      </c>
      <c r="D43" s="268"/>
      <c r="E43" s="26"/>
      <c r="F43" s="27"/>
      <c r="G43" s="28"/>
      <c r="H43" s="31"/>
      <c r="I43" s="288"/>
    </row>
    <row r="44" spans="1:9" ht="27" thickBot="1" x14ac:dyDescent="0.25">
      <c r="A44" s="281"/>
      <c r="B44" s="283"/>
      <c r="C44" s="277"/>
      <c r="D44" s="269"/>
      <c r="E44" s="23"/>
      <c r="F44" s="24"/>
      <c r="G44" s="25"/>
      <c r="H44" s="32"/>
      <c r="I44" s="289"/>
    </row>
    <row r="45" spans="1:9" ht="26.25" x14ac:dyDescent="0.2">
      <c r="A45" s="280" t="s">
        <v>58</v>
      </c>
      <c r="B45" s="282">
        <v>3822</v>
      </c>
      <c r="C45" s="276" t="s">
        <v>38</v>
      </c>
      <c r="D45" s="268"/>
      <c r="E45" s="26"/>
      <c r="F45" s="27"/>
      <c r="G45" s="28"/>
      <c r="H45" s="29"/>
      <c r="I45" s="284"/>
    </row>
    <row r="46" spans="1:9" ht="27" thickBot="1" x14ac:dyDescent="0.25">
      <c r="A46" s="281"/>
      <c r="B46" s="283"/>
      <c r="C46" s="277"/>
      <c r="D46" s="269"/>
      <c r="E46" s="23"/>
      <c r="F46" s="24"/>
      <c r="G46" s="25"/>
      <c r="H46" s="32"/>
      <c r="I46" s="285"/>
    </row>
    <row r="47" spans="1:9" ht="26.25" customHeight="1" x14ac:dyDescent="0.2">
      <c r="A47" s="280" t="s">
        <v>32</v>
      </c>
      <c r="B47" s="282">
        <v>3832</v>
      </c>
      <c r="C47" s="276" t="s">
        <v>37</v>
      </c>
      <c r="D47" s="268"/>
      <c r="E47" s="27"/>
      <c r="F47" s="27"/>
      <c r="G47" s="28"/>
      <c r="H47" s="31"/>
      <c r="I47" s="288"/>
    </row>
    <row r="48" spans="1:9" ht="27" thickBot="1" x14ac:dyDescent="0.25">
      <c r="A48" s="281"/>
      <c r="B48" s="283"/>
      <c r="C48" s="277"/>
      <c r="D48" s="269"/>
      <c r="E48" s="24"/>
      <c r="F48" s="24"/>
      <c r="G48" s="25"/>
      <c r="H48" s="32"/>
      <c r="I48" s="289"/>
    </row>
    <row r="49" spans="1:9" ht="26.25" x14ac:dyDescent="0.2">
      <c r="A49" s="280" t="s">
        <v>59</v>
      </c>
      <c r="B49" s="282">
        <v>4173</v>
      </c>
      <c r="C49" s="276" t="s">
        <v>12</v>
      </c>
      <c r="D49" s="268"/>
      <c r="E49" s="27"/>
      <c r="F49" s="27"/>
      <c r="G49" s="28"/>
      <c r="H49" s="31"/>
      <c r="I49" s="284"/>
    </row>
    <row r="50" spans="1:9" ht="27" thickBot="1" x14ac:dyDescent="0.25">
      <c r="A50" s="281"/>
      <c r="B50" s="283"/>
      <c r="C50" s="277"/>
      <c r="D50" s="269"/>
      <c r="E50" s="24"/>
      <c r="F50" s="24"/>
      <c r="G50" s="25"/>
      <c r="H50" s="32"/>
      <c r="I50" s="285"/>
    </row>
    <row r="51" spans="1:9" ht="26.25" x14ac:dyDescent="0.2">
      <c r="A51" s="280" t="s">
        <v>22</v>
      </c>
      <c r="B51" s="293">
        <v>2</v>
      </c>
      <c r="C51" s="276" t="s">
        <v>30</v>
      </c>
      <c r="D51" s="268"/>
      <c r="E51" s="27"/>
      <c r="F51" s="27"/>
      <c r="G51" s="31"/>
      <c r="H51" s="31"/>
      <c r="I51" s="288"/>
    </row>
    <row r="52" spans="1:9" ht="27" thickBot="1" x14ac:dyDescent="0.25">
      <c r="A52" s="281"/>
      <c r="B52" s="294"/>
      <c r="C52" s="277"/>
      <c r="D52" s="269"/>
      <c r="E52" s="24"/>
      <c r="F52" s="24"/>
      <c r="G52" s="32"/>
      <c r="H52" s="32"/>
      <c r="I52" s="289"/>
    </row>
    <row r="53" spans="1:9" ht="27" x14ac:dyDescent="0.2">
      <c r="A53" s="311" t="s">
        <v>13</v>
      </c>
      <c r="B53" s="311"/>
      <c r="C53" s="311"/>
      <c r="D53" s="311"/>
      <c r="E53" s="311"/>
      <c r="F53" s="311"/>
      <c r="G53" s="311"/>
      <c r="H53" s="311"/>
      <c r="I53" s="311"/>
    </row>
    <row r="54" spans="1:9" ht="18.75" x14ac:dyDescent="0.2">
      <c r="A54" s="11"/>
      <c r="B54" s="312"/>
      <c r="C54" s="312"/>
      <c r="D54" s="312"/>
      <c r="E54" s="312"/>
      <c r="F54" s="312"/>
      <c r="G54" s="312"/>
      <c r="H54" s="312"/>
      <c r="I54" s="12"/>
    </row>
    <row r="55" spans="1:9" ht="18.75" x14ac:dyDescent="0.2">
      <c r="A55" s="11"/>
      <c r="B55" s="13"/>
      <c r="C55" s="13"/>
      <c r="D55" s="13"/>
      <c r="E55" s="13"/>
      <c r="F55" s="13"/>
      <c r="G55" s="13"/>
      <c r="H55" s="13"/>
      <c r="I55" s="11"/>
    </row>
    <row r="56" spans="1:9" ht="18.75" x14ac:dyDescent="0.2">
      <c r="A56" s="11"/>
      <c r="B56" s="13"/>
      <c r="C56" s="13"/>
      <c r="D56" s="13"/>
      <c r="E56" s="13"/>
      <c r="F56" s="13"/>
      <c r="G56" s="13"/>
      <c r="H56" s="13"/>
      <c r="I56" s="11"/>
    </row>
    <row r="57" spans="1:9" ht="18.75" x14ac:dyDescent="0.2">
      <c r="A57" s="11"/>
      <c r="B57" s="13"/>
      <c r="C57" s="13"/>
      <c r="D57" s="13"/>
      <c r="E57" s="13"/>
      <c r="F57" s="13"/>
      <c r="G57" s="13"/>
      <c r="H57" s="13"/>
      <c r="I57" s="11"/>
    </row>
    <row r="58" spans="1:9" ht="18.75" x14ac:dyDescent="0.2">
      <c r="A58" s="14"/>
      <c r="B58" s="15"/>
      <c r="C58" s="16"/>
      <c r="D58" s="15"/>
      <c r="E58" s="15"/>
      <c r="F58" s="15"/>
      <c r="G58" s="16"/>
      <c r="H58" s="16"/>
      <c r="I58" s="16"/>
    </row>
    <row r="59" spans="1:9" ht="18.75" x14ac:dyDescent="0.2">
      <c r="A59" s="14"/>
      <c r="B59" s="313"/>
      <c r="C59" s="313"/>
      <c r="D59" s="17"/>
      <c r="E59" s="7"/>
      <c r="F59" s="16"/>
      <c r="G59" s="16"/>
      <c r="H59" s="4"/>
      <c r="I59" s="7"/>
    </row>
    <row r="60" spans="1:9" ht="20.25" x14ac:dyDescent="0.2">
      <c r="A60" s="42"/>
      <c r="B60" s="42"/>
      <c r="C60" s="43"/>
      <c r="D60" s="44"/>
      <c r="E60" s="43"/>
      <c r="F60" s="45"/>
      <c r="G60" s="45"/>
      <c r="H60" s="43"/>
      <c r="I60" s="43"/>
    </row>
    <row r="61" spans="1:9" ht="20.25" x14ac:dyDescent="0.2">
      <c r="A61" s="314" t="s">
        <v>73</v>
      </c>
      <c r="B61" s="314"/>
      <c r="C61" s="314"/>
      <c r="D61" s="46"/>
      <c r="E61" s="43"/>
      <c r="F61" s="315" t="s">
        <v>74</v>
      </c>
      <c r="G61" s="315"/>
      <c r="H61" s="315"/>
      <c r="I61" s="315"/>
    </row>
    <row r="62" spans="1:9" ht="20.25" x14ac:dyDescent="0.2">
      <c r="A62" s="310" t="s">
        <v>65</v>
      </c>
      <c r="B62" s="310"/>
      <c r="C62" s="310"/>
      <c r="D62" s="42"/>
      <c r="E62" s="43"/>
      <c r="F62" s="310" t="s">
        <v>44</v>
      </c>
      <c r="G62" s="310"/>
      <c r="H62" s="310"/>
      <c r="I62" s="310"/>
    </row>
    <row r="63" spans="1:9" ht="20.25" x14ac:dyDescent="0.2">
      <c r="A63" s="45"/>
      <c r="B63" s="45"/>
      <c r="C63" s="43"/>
      <c r="D63" s="45"/>
      <c r="E63" s="45"/>
      <c r="F63" s="43"/>
      <c r="G63" s="43"/>
      <c r="H63" s="43"/>
      <c r="I63" s="43"/>
    </row>
    <row r="64" spans="1:9" ht="20.25" x14ac:dyDescent="0.2">
      <c r="A64" s="45"/>
      <c r="B64" s="45"/>
      <c r="C64" s="43"/>
      <c r="D64" s="45"/>
      <c r="E64" s="45"/>
      <c r="F64" s="43"/>
      <c r="G64" s="43"/>
      <c r="H64" s="43"/>
      <c r="I64" s="43"/>
    </row>
    <row r="65" spans="1:9" ht="20.25" x14ac:dyDescent="0.2">
      <c r="A65" s="42"/>
      <c r="B65" s="42"/>
      <c r="C65" s="43"/>
      <c r="D65" s="42"/>
      <c r="E65" s="45"/>
      <c r="F65" s="43"/>
      <c r="G65" s="43"/>
      <c r="H65" s="43"/>
      <c r="I65" s="43"/>
    </row>
    <row r="66" spans="1:9" ht="20.25" x14ac:dyDescent="0.2">
      <c r="A66" s="42"/>
      <c r="B66" s="42" t="s">
        <v>75</v>
      </c>
      <c r="C66" s="43"/>
      <c r="D66" s="45"/>
      <c r="E66" s="47"/>
      <c r="F66" s="43"/>
      <c r="G66" s="43"/>
      <c r="H66" s="43"/>
      <c r="I66" s="46"/>
    </row>
    <row r="67" spans="1:9" ht="20.25" x14ac:dyDescent="0.2">
      <c r="A67" s="316" t="s">
        <v>66</v>
      </c>
      <c r="B67" s="316"/>
      <c r="C67" s="316"/>
      <c r="D67" s="46"/>
      <c r="E67" s="43"/>
      <c r="F67" s="314" t="s">
        <v>52</v>
      </c>
      <c r="G67" s="314"/>
      <c r="H67" s="314"/>
      <c r="I67" s="314"/>
    </row>
    <row r="68" spans="1:9" ht="20.25" x14ac:dyDescent="0.2">
      <c r="A68" s="310"/>
      <c r="B68" s="310"/>
      <c r="C68" s="310"/>
      <c r="D68" s="1"/>
      <c r="E68" s="2"/>
      <c r="F68" s="2"/>
      <c r="G68" s="2"/>
      <c r="H68" s="2"/>
      <c r="I68" s="4"/>
    </row>
    <row r="69" spans="1:9" x14ac:dyDescent="0.2">
      <c r="A69" s="4"/>
      <c r="B69" s="4"/>
      <c r="C69" s="4"/>
      <c r="D69" s="4"/>
      <c r="E69" s="2"/>
      <c r="F69" s="2"/>
      <c r="G69" s="2"/>
      <c r="H69" s="2"/>
      <c r="I69" s="4"/>
    </row>
    <row r="70" spans="1:9" x14ac:dyDescent="0.2">
      <c r="A70" s="4"/>
      <c r="B70" s="4"/>
      <c r="C70" s="4"/>
      <c r="D70" s="4"/>
      <c r="E70" s="2"/>
      <c r="F70" s="2"/>
      <c r="G70" s="2"/>
      <c r="H70" s="2"/>
      <c r="I70" s="4"/>
    </row>
    <row r="71" spans="1:9" x14ac:dyDescent="0.2">
      <c r="A71" s="4"/>
      <c r="B71" s="4"/>
      <c r="C71" s="4"/>
      <c r="D71" s="4"/>
      <c r="E71" s="2"/>
      <c r="F71" s="2"/>
      <c r="G71" s="2"/>
      <c r="H71" s="2"/>
      <c r="I71" s="4"/>
    </row>
    <row r="72" spans="1:9" x14ac:dyDescent="0.2">
      <c r="A72" s="4"/>
      <c r="B72" s="4"/>
      <c r="C72" s="4"/>
      <c r="D72" s="4"/>
      <c r="E72" s="4"/>
      <c r="F72" s="5"/>
      <c r="G72" s="4"/>
      <c r="H72" s="4"/>
      <c r="I72" s="4"/>
    </row>
    <row r="73" spans="1:9" x14ac:dyDescent="0.2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">
      <c r="A75" s="4"/>
      <c r="B75" s="4"/>
      <c r="C75" s="4"/>
      <c r="D75" s="4"/>
      <c r="E75" s="4"/>
      <c r="F75" s="4"/>
      <c r="G75" s="4"/>
      <c r="H75" s="4"/>
      <c r="I75" s="4"/>
    </row>
  </sheetData>
  <mergeCells count="116">
    <mergeCell ref="A68:C68"/>
    <mergeCell ref="A61:C61"/>
    <mergeCell ref="F61:I61"/>
    <mergeCell ref="A62:C62"/>
    <mergeCell ref="F62:I62"/>
    <mergeCell ref="A67:C67"/>
    <mergeCell ref="F67:I67"/>
    <mergeCell ref="G9:H9"/>
    <mergeCell ref="G11:H11"/>
    <mergeCell ref="A13:A14"/>
    <mergeCell ref="B13:B14"/>
    <mergeCell ref="C13:C14"/>
    <mergeCell ref="D13:H13"/>
    <mergeCell ref="C19:C20"/>
    <mergeCell ref="D19:D20"/>
    <mergeCell ref="I19:I20"/>
    <mergeCell ref="A21:A22"/>
    <mergeCell ref="B21:B22"/>
    <mergeCell ref="C21:C22"/>
    <mergeCell ref="D21:D22"/>
    <mergeCell ref="I21:I22"/>
    <mergeCell ref="A23:A24"/>
    <mergeCell ref="B23:B24"/>
    <mergeCell ref="C23:C24"/>
    <mergeCell ref="A1:I1"/>
    <mergeCell ref="A2:I2"/>
    <mergeCell ref="A3:I3"/>
    <mergeCell ref="A5:I5"/>
    <mergeCell ref="C7:D7"/>
    <mergeCell ref="G7:H7"/>
    <mergeCell ref="A17:A18"/>
    <mergeCell ref="B17:B18"/>
    <mergeCell ref="C17:C18"/>
    <mergeCell ref="D17:D18"/>
    <mergeCell ref="I17:I18"/>
    <mergeCell ref="I13:I14"/>
    <mergeCell ref="A15:A16"/>
    <mergeCell ref="B15:B16"/>
    <mergeCell ref="C15:C16"/>
    <mergeCell ref="D15:D16"/>
    <mergeCell ref="I15:I16"/>
    <mergeCell ref="D23:D24"/>
    <mergeCell ref="I23:I24"/>
    <mergeCell ref="A25:A26"/>
    <mergeCell ref="B25:B26"/>
    <mergeCell ref="C25:C26"/>
    <mergeCell ref="D25:D26"/>
    <mergeCell ref="I25:I26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31:A32"/>
    <mergeCell ref="B31:B32"/>
    <mergeCell ref="C31:C32"/>
    <mergeCell ref="D31:D32"/>
    <mergeCell ref="I31:I32"/>
    <mergeCell ref="A33:A34"/>
    <mergeCell ref="B33:B34"/>
    <mergeCell ref="C33:C34"/>
    <mergeCell ref="D33:D34"/>
    <mergeCell ref="I33:I34"/>
    <mergeCell ref="A35:A36"/>
    <mergeCell ref="B35:B36"/>
    <mergeCell ref="C35:C36"/>
    <mergeCell ref="D35:D36"/>
    <mergeCell ref="I35:I36"/>
    <mergeCell ref="A37:A38"/>
    <mergeCell ref="B37:B38"/>
    <mergeCell ref="C37:C38"/>
    <mergeCell ref="D37:D38"/>
    <mergeCell ref="I37:I38"/>
    <mergeCell ref="A39:A40"/>
    <mergeCell ref="B39:B40"/>
    <mergeCell ref="C39:C40"/>
    <mergeCell ref="D39:D40"/>
    <mergeCell ref="I39:I40"/>
    <mergeCell ref="A41:A42"/>
    <mergeCell ref="B41:B42"/>
    <mergeCell ref="C41:C42"/>
    <mergeCell ref="D41:D42"/>
    <mergeCell ref="I41:I42"/>
    <mergeCell ref="A43:A44"/>
    <mergeCell ref="B43:B44"/>
    <mergeCell ref="C43:C44"/>
    <mergeCell ref="D43:D44"/>
    <mergeCell ref="I43:I44"/>
    <mergeCell ref="A45:A46"/>
    <mergeCell ref="B45:B46"/>
    <mergeCell ref="C45:C46"/>
    <mergeCell ref="D45:D46"/>
    <mergeCell ref="I45:I46"/>
    <mergeCell ref="A47:A48"/>
    <mergeCell ref="B47:B48"/>
    <mergeCell ref="C47:C48"/>
    <mergeCell ref="D47:D48"/>
    <mergeCell ref="I47:I48"/>
    <mergeCell ref="A53:I53"/>
    <mergeCell ref="B54:H54"/>
    <mergeCell ref="B59:C59"/>
    <mergeCell ref="A49:A50"/>
    <mergeCell ref="B49:B50"/>
    <mergeCell ref="C49:C50"/>
    <mergeCell ref="D49:D50"/>
    <mergeCell ref="I49:I50"/>
    <mergeCell ref="A51:A52"/>
    <mergeCell ref="B51:B52"/>
    <mergeCell ref="C51:C52"/>
    <mergeCell ref="D51:D52"/>
    <mergeCell ref="I51:I52"/>
  </mergeCells>
  <printOptions horizontalCentered="1" verticalCentered="1"/>
  <pageMargins left="0" right="0" top="0.54" bottom="0" header="0" footer="0"/>
  <pageSetup paperSize="9" scale="3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GRAN TOTAL JURIS</vt:lpstr>
      <vt:lpstr>CAR. SAN PEDRITO</vt:lpstr>
      <vt:lpstr>CAR. P ESCOBEDO</vt:lpstr>
      <vt:lpstr>CAR. BARRETA</vt:lpstr>
      <vt:lpstr>CAR. LA LUZ</vt:lpstr>
      <vt:lpstr>CV. SN J BUENAVISTA </vt:lpstr>
      <vt:lpstr>CV. PALO ALTO </vt:lpstr>
      <vt:lpstr>UMQ</vt:lpstr>
      <vt:lpstr>SATÉLITE</vt:lpstr>
      <vt:lpstr>LOMAS</vt:lpstr>
      <vt:lpstr>P ESCOBEDO</vt:lpstr>
      <vt:lpstr>AMB 1</vt:lpstr>
      <vt:lpstr>C. CERRO. CRUZ</vt:lpstr>
      <vt:lpstr>RANCHO LARGO</vt:lpstr>
      <vt:lpstr>'GRAN TOTAL JURIS'!Área_de_impresión</vt:lpstr>
    </vt:vector>
  </TitlesOfParts>
  <Company>SESEQ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MIGUELL</dc:creator>
  <cp:lastModifiedBy>LESLIE ENCISO</cp:lastModifiedBy>
  <cp:lastPrinted>2023-08-28T16:23:37Z</cp:lastPrinted>
  <dcterms:created xsi:type="dcterms:W3CDTF">2013-03-21T18:12:10Z</dcterms:created>
  <dcterms:modified xsi:type="dcterms:W3CDTF">2026-09-04T16:46:56Z</dcterms:modified>
</cp:coreProperties>
</file>